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Mohit\PEOJECT\"/>
    </mc:Choice>
  </mc:AlternateContent>
  <xr:revisionPtr revIDLastSave="0" documentId="13_ncr:1_{BE63CD50-FA0D-4FAF-A601-5267326FB2C4}" xr6:coauthVersionLast="47" xr6:coauthVersionMax="47" xr10:uidLastSave="{00000000-0000-0000-0000-000000000000}"/>
  <bookViews>
    <workbookView xWindow="-120" yWindow="-120" windowWidth="29040" windowHeight="16440" xr2:uid="{B290825D-856E-4BEC-BAB5-875915C3C70C}"/>
  </bookViews>
  <sheets>
    <sheet name="Report" sheetId="3" r:id="rId1"/>
    <sheet name="EmployeeMaster" sheetId="2" r:id="rId2"/>
    <sheet name="Pay Roll" sheetId="1" r:id="rId3"/>
  </sheets>
  <definedNames>
    <definedName name="ExternalData_1" localSheetId="1" hidden="1">EmployeeMaster!$A$1:$I$1471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D2" i="1"/>
  <c r="D3" i="1"/>
  <c r="G3" i="1" s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G18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E3" i="1"/>
  <c r="E4" i="1"/>
  <c r="E5" i="1"/>
  <c r="E6" i="1"/>
  <c r="E7" i="1"/>
  <c r="E8" i="1"/>
  <c r="E9" i="1"/>
  <c r="H9" i="1" s="1"/>
  <c r="E10" i="1"/>
  <c r="E11" i="1"/>
  <c r="E12" i="1"/>
  <c r="E13" i="1"/>
  <c r="E14" i="1"/>
  <c r="E15" i="1"/>
  <c r="E16" i="1"/>
  <c r="E17" i="1"/>
  <c r="E18" i="1"/>
  <c r="E19" i="1"/>
  <c r="E20" i="1"/>
  <c r="E21" i="1"/>
  <c r="H21" i="1" s="1"/>
  <c r="E22" i="1"/>
  <c r="E23" i="1"/>
  <c r="E24" i="1"/>
  <c r="E25" i="1"/>
  <c r="E26" i="1"/>
  <c r="E27" i="1"/>
  <c r="E28" i="1"/>
  <c r="E29" i="1"/>
  <c r="H29" i="1" s="1"/>
  <c r="E30" i="1"/>
  <c r="E31" i="1"/>
  <c r="E32" i="1"/>
  <c r="E33" i="1"/>
  <c r="H33" i="1" s="1"/>
  <c r="E34" i="1"/>
  <c r="E35" i="1"/>
  <c r="E36" i="1"/>
  <c r="E37" i="1"/>
  <c r="E38" i="1"/>
  <c r="E39" i="1"/>
  <c r="E40" i="1"/>
  <c r="E41" i="1"/>
  <c r="H41" i="1" s="1"/>
  <c r="E42" i="1"/>
  <c r="E43" i="1"/>
  <c r="E44" i="1"/>
  <c r="E45" i="1"/>
  <c r="H45" i="1" s="1"/>
  <c r="E46" i="1"/>
  <c r="E47" i="1"/>
  <c r="E48" i="1"/>
  <c r="E49" i="1"/>
  <c r="E50" i="1"/>
  <c r="E51" i="1"/>
  <c r="E52" i="1"/>
  <c r="E53" i="1"/>
  <c r="H53" i="1" s="1"/>
  <c r="E54" i="1"/>
  <c r="E55" i="1"/>
  <c r="E56" i="1"/>
  <c r="E57" i="1"/>
  <c r="H57" i="1" s="1"/>
  <c r="E58" i="1"/>
  <c r="E59" i="1"/>
  <c r="E60" i="1"/>
  <c r="E61" i="1"/>
  <c r="E62" i="1"/>
  <c r="E63" i="1"/>
  <c r="E64" i="1"/>
  <c r="E65" i="1"/>
  <c r="H65" i="1" s="1"/>
  <c r="E66" i="1"/>
  <c r="E67" i="1"/>
  <c r="E68" i="1"/>
  <c r="E69" i="1"/>
  <c r="H69" i="1" s="1"/>
  <c r="E70" i="1"/>
  <c r="E71" i="1"/>
  <c r="E72" i="1"/>
  <c r="E73" i="1"/>
  <c r="E74" i="1"/>
  <c r="E75" i="1"/>
  <c r="E76" i="1"/>
  <c r="E77" i="1"/>
  <c r="H77" i="1" s="1"/>
  <c r="E78" i="1"/>
  <c r="E79" i="1"/>
  <c r="E80" i="1"/>
  <c r="E81" i="1"/>
  <c r="H81" i="1" s="1"/>
  <c r="E82" i="1"/>
  <c r="E83" i="1"/>
  <c r="E84" i="1"/>
  <c r="E85" i="1"/>
  <c r="E86" i="1"/>
  <c r="E87" i="1"/>
  <c r="E88" i="1"/>
  <c r="E89" i="1"/>
  <c r="H89" i="1" s="1"/>
  <c r="E90" i="1"/>
  <c r="E91" i="1"/>
  <c r="E92" i="1"/>
  <c r="E93" i="1"/>
  <c r="H93" i="1" s="1"/>
  <c r="E94" i="1"/>
  <c r="E95" i="1"/>
  <c r="E96" i="1"/>
  <c r="E97" i="1"/>
  <c r="E98" i="1"/>
  <c r="E99" i="1"/>
  <c r="E100" i="1"/>
  <c r="E101" i="1"/>
  <c r="H101" i="1" s="1"/>
  <c r="E102" i="1"/>
  <c r="E103" i="1"/>
  <c r="E104" i="1"/>
  <c r="E105" i="1"/>
  <c r="H105" i="1" s="1"/>
  <c r="E106" i="1"/>
  <c r="E107" i="1"/>
  <c r="E108" i="1"/>
  <c r="E109" i="1"/>
  <c r="E110" i="1"/>
  <c r="E111" i="1"/>
  <c r="E112" i="1"/>
  <c r="E113" i="1"/>
  <c r="H113" i="1" s="1"/>
  <c r="E114" i="1"/>
  <c r="E115" i="1"/>
  <c r="E116" i="1"/>
  <c r="E117" i="1"/>
  <c r="H117" i="1" s="1"/>
  <c r="E118" i="1"/>
  <c r="E119" i="1"/>
  <c r="E120" i="1"/>
  <c r="E121" i="1"/>
  <c r="E122" i="1"/>
  <c r="E123" i="1"/>
  <c r="E124" i="1"/>
  <c r="E125" i="1"/>
  <c r="H125" i="1" s="1"/>
  <c r="E126" i="1"/>
  <c r="E127" i="1"/>
  <c r="E128" i="1"/>
  <c r="E129" i="1"/>
  <c r="H129" i="1" s="1"/>
  <c r="E130" i="1"/>
  <c r="E131" i="1"/>
  <c r="E132" i="1"/>
  <c r="E133" i="1"/>
  <c r="E134" i="1"/>
  <c r="E135" i="1"/>
  <c r="E136" i="1"/>
  <c r="E137" i="1"/>
  <c r="H137" i="1" s="1"/>
  <c r="E138" i="1"/>
  <c r="E139" i="1"/>
  <c r="E140" i="1"/>
  <c r="E141" i="1"/>
  <c r="H141" i="1" s="1"/>
  <c r="E142" i="1"/>
  <c r="E143" i="1"/>
  <c r="E144" i="1"/>
  <c r="E145" i="1"/>
  <c r="E146" i="1"/>
  <c r="E147" i="1"/>
  <c r="E148" i="1"/>
  <c r="E149" i="1"/>
  <c r="H149" i="1" s="1"/>
  <c r="E150" i="1"/>
  <c r="E151" i="1"/>
  <c r="E152" i="1"/>
  <c r="E153" i="1"/>
  <c r="H153" i="1" s="1"/>
  <c r="E154" i="1"/>
  <c r="E155" i="1"/>
  <c r="E156" i="1"/>
  <c r="E157" i="1"/>
  <c r="E158" i="1"/>
  <c r="E159" i="1"/>
  <c r="E160" i="1"/>
  <c r="E161" i="1"/>
  <c r="H161" i="1" s="1"/>
  <c r="E162" i="1"/>
  <c r="E163" i="1"/>
  <c r="E164" i="1"/>
  <c r="E165" i="1"/>
  <c r="H165" i="1" s="1"/>
  <c r="E166" i="1"/>
  <c r="E167" i="1"/>
  <c r="E168" i="1"/>
  <c r="E169" i="1"/>
  <c r="E170" i="1"/>
  <c r="E171" i="1"/>
  <c r="E172" i="1"/>
  <c r="E173" i="1"/>
  <c r="H173" i="1" s="1"/>
  <c r="E174" i="1"/>
  <c r="E175" i="1"/>
  <c r="E176" i="1"/>
  <c r="E177" i="1"/>
  <c r="H177" i="1" s="1"/>
  <c r="E178" i="1"/>
  <c r="E179" i="1"/>
  <c r="E180" i="1"/>
  <c r="E181" i="1"/>
  <c r="E182" i="1"/>
  <c r="E183" i="1"/>
  <c r="E184" i="1"/>
  <c r="E185" i="1"/>
  <c r="H185" i="1" s="1"/>
  <c r="E186" i="1"/>
  <c r="E187" i="1"/>
  <c r="E188" i="1"/>
  <c r="E189" i="1"/>
  <c r="H189" i="1" s="1"/>
  <c r="E190" i="1"/>
  <c r="E191" i="1"/>
  <c r="E192" i="1"/>
  <c r="E193" i="1"/>
  <c r="E194" i="1"/>
  <c r="E195" i="1"/>
  <c r="E196" i="1"/>
  <c r="E197" i="1"/>
  <c r="H197" i="1" s="1"/>
  <c r="E198" i="1"/>
  <c r="E199" i="1"/>
  <c r="E200" i="1"/>
  <c r="E201" i="1"/>
  <c r="H201" i="1" s="1"/>
  <c r="E202" i="1"/>
  <c r="E203" i="1"/>
  <c r="E204" i="1"/>
  <c r="E205" i="1"/>
  <c r="E206" i="1"/>
  <c r="E207" i="1"/>
  <c r="E208" i="1"/>
  <c r="E209" i="1"/>
  <c r="H209" i="1" s="1"/>
  <c r="E210" i="1"/>
  <c r="E211" i="1"/>
  <c r="E212" i="1"/>
  <c r="E213" i="1"/>
  <c r="H213" i="1" s="1"/>
  <c r="E214" i="1"/>
  <c r="E215" i="1"/>
  <c r="E216" i="1"/>
  <c r="E217" i="1"/>
  <c r="E218" i="1"/>
  <c r="E219" i="1"/>
  <c r="E220" i="1"/>
  <c r="E221" i="1"/>
  <c r="H221" i="1" s="1"/>
  <c r="E222" i="1"/>
  <c r="E223" i="1"/>
  <c r="E224" i="1"/>
  <c r="E225" i="1"/>
  <c r="H225" i="1" s="1"/>
  <c r="E226" i="1"/>
  <c r="E227" i="1"/>
  <c r="E228" i="1"/>
  <c r="E229" i="1"/>
  <c r="E230" i="1"/>
  <c r="E231" i="1"/>
  <c r="E232" i="1"/>
  <c r="E233" i="1"/>
  <c r="H233" i="1" s="1"/>
  <c r="E234" i="1"/>
  <c r="E235" i="1"/>
  <c r="E236" i="1"/>
  <c r="E237" i="1"/>
  <c r="H237" i="1" s="1"/>
  <c r="E238" i="1"/>
  <c r="E239" i="1"/>
  <c r="E240" i="1"/>
  <c r="E241" i="1"/>
  <c r="E242" i="1"/>
  <c r="E243" i="1"/>
  <c r="E244" i="1"/>
  <c r="E245" i="1"/>
  <c r="H245" i="1" s="1"/>
  <c r="E246" i="1"/>
  <c r="E247" i="1"/>
  <c r="E248" i="1"/>
  <c r="E249" i="1"/>
  <c r="H249" i="1" s="1"/>
  <c r="E250" i="1"/>
  <c r="E251" i="1"/>
  <c r="E252" i="1"/>
  <c r="E253" i="1"/>
  <c r="E254" i="1"/>
  <c r="E255" i="1"/>
  <c r="E256" i="1"/>
  <c r="E257" i="1"/>
  <c r="H257" i="1" s="1"/>
  <c r="E258" i="1"/>
  <c r="E259" i="1"/>
  <c r="E260" i="1"/>
  <c r="E261" i="1"/>
  <c r="H261" i="1" s="1"/>
  <c r="E262" i="1"/>
  <c r="E263" i="1"/>
  <c r="E264" i="1"/>
  <c r="E265" i="1"/>
  <c r="E266" i="1"/>
  <c r="E267" i="1"/>
  <c r="E268" i="1"/>
  <c r="E269" i="1"/>
  <c r="H269" i="1" s="1"/>
  <c r="E270" i="1"/>
  <c r="E271" i="1"/>
  <c r="E272" i="1"/>
  <c r="E273" i="1"/>
  <c r="H273" i="1" s="1"/>
  <c r="E274" i="1"/>
  <c r="E275" i="1"/>
  <c r="E276" i="1"/>
  <c r="E277" i="1"/>
  <c r="E278" i="1"/>
  <c r="E279" i="1"/>
  <c r="E280" i="1"/>
  <c r="E281" i="1"/>
  <c r="H281" i="1" s="1"/>
  <c r="E282" i="1"/>
  <c r="E283" i="1"/>
  <c r="E284" i="1"/>
  <c r="E285" i="1"/>
  <c r="H285" i="1" s="1"/>
  <c r="E286" i="1"/>
  <c r="E287" i="1"/>
  <c r="E288" i="1"/>
  <c r="E289" i="1"/>
  <c r="E290" i="1"/>
  <c r="E291" i="1"/>
  <c r="E292" i="1"/>
  <c r="E293" i="1"/>
  <c r="H293" i="1" s="1"/>
  <c r="E294" i="1"/>
  <c r="E295" i="1"/>
  <c r="E296" i="1"/>
  <c r="E297" i="1"/>
  <c r="H297" i="1" s="1"/>
  <c r="E298" i="1"/>
  <c r="E299" i="1"/>
  <c r="E300" i="1"/>
  <c r="E301" i="1"/>
  <c r="E302" i="1"/>
  <c r="E303" i="1"/>
  <c r="E304" i="1"/>
  <c r="E305" i="1"/>
  <c r="H305" i="1" s="1"/>
  <c r="E306" i="1"/>
  <c r="E307" i="1"/>
  <c r="E308" i="1"/>
  <c r="E309" i="1"/>
  <c r="H309" i="1" s="1"/>
  <c r="E310" i="1"/>
  <c r="E311" i="1"/>
  <c r="E312" i="1"/>
  <c r="E313" i="1"/>
  <c r="E314" i="1"/>
  <c r="E315" i="1"/>
  <c r="E316" i="1"/>
  <c r="E317" i="1"/>
  <c r="H317" i="1" s="1"/>
  <c r="E318" i="1"/>
  <c r="E319" i="1"/>
  <c r="E320" i="1"/>
  <c r="E321" i="1"/>
  <c r="H321" i="1" s="1"/>
  <c r="E322" i="1"/>
  <c r="E323" i="1"/>
  <c r="E324" i="1"/>
  <c r="E325" i="1"/>
  <c r="E326" i="1"/>
  <c r="E327" i="1"/>
  <c r="E328" i="1"/>
  <c r="E329" i="1"/>
  <c r="H329" i="1" s="1"/>
  <c r="E330" i="1"/>
  <c r="E331" i="1"/>
  <c r="E332" i="1"/>
  <c r="E333" i="1"/>
  <c r="H333" i="1" s="1"/>
  <c r="E334" i="1"/>
  <c r="E335" i="1"/>
  <c r="E336" i="1"/>
  <c r="E337" i="1"/>
  <c r="E338" i="1"/>
  <c r="E339" i="1"/>
  <c r="E340" i="1"/>
  <c r="E341" i="1"/>
  <c r="H341" i="1" s="1"/>
  <c r="E342" i="1"/>
  <c r="E343" i="1"/>
  <c r="E344" i="1"/>
  <c r="E345" i="1"/>
  <c r="H345" i="1" s="1"/>
  <c r="E346" i="1"/>
  <c r="E347" i="1"/>
  <c r="E348" i="1"/>
  <c r="E349" i="1"/>
  <c r="E350" i="1"/>
  <c r="E351" i="1"/>
  <c r="E352" i="1"/>
  <c r="E353" i="1"/>
  <c r="H353" i="1" s="1"/>
  <c r="E354" i="1"/>
  <c r="E355" i="1"/>
  <c r="E356" i="1"/>
  <c r="E357" i="1"/>
  <c r="H357" i="1" s="1"/>
  <c r="E358" i="1"/>
  <c r="E359" i="1"/>
  <c r="E360" i="1"/>
  <c r="E361" i="1"/>
  <c r="E362" i="1"/>
  <c r="E363" i="1"/>
  <c r="E364" i="1"/>
  <c r="E365" i="1"/>
  <c r="H365" i="1" s="1"/>
  <c r="E366" i="1"/>
  <c r="E367" i="1"/>
  <c r="E368" i="1"/>
  <c r="E369" i="1"/>
  <c r="H369" i="1" s="1"/>
  <c r="E370" i="1"/>
  <c r="E371" i="1"/>
  <c r="E372" i="1"/>
  <c r="E373" i="1"/>
  <c r="E374" i="1"/>
  <c r="E375" i="1"/>
  <c r="E376" i="1"/>
  <c r="E377" i="1"/>
  <c r="H377" i="1" s="1"/>
  <c r="E378" i="1"/>
  <c r="E379" i="1"/>
  <c r="H379" i="1" s="1"/>
  <c r="E380" i="1"/>
  <c r="E381" i="1"/>
  <c r="H381" i="1" s="1"/>
  <c r="E382" i="1"/>
  <c r="E383" i="1"/>
  <c r="E384" i="1"/>
  <c r="E385" i="1"/>
  <c r="E386" i="1"/>
  <c r="E387" i="1"/>
  <c r="E388" i="1"/>
  <c r="E389" i="1"/>
  <c r="H389" i="1" s="1"/>
  <c r="E390" i="1"/>
  <c r="E391" i="1"/>
  <c r="H391" i="1" s="1"/>
  <c r="E392" i="1"/>
  <c r="E393" i="1"/>
  <c r="H393" i="1" s="1"/>
  <c r="E394" i="1"/>
  <c r="E395" i="1"/>
  <c r="E396" i="1"/>
  <c r="E397" i="1"/>
  <c r="E398" i="1"/>
  <c r="E399" i="1"/>
  <c r="E400" i="1"/>
  <c r="E401" i="1"/>
  <c r="H401" i="1" s="1"/>
  <c r="E402" i="1"/>
  <c r="E403" i="1"/>
  <c r="H403" i="1" s="1"/>
  <c r="E404" i="1"/>
  <c r="E405" i="1"/>
  <c r="H405" i="1" s="1"/>
  <c r="E406" i="1"/>
  <c r="E407" i="1"/>
  <c r="E408" i="1"/>
  <c r="E409" i="1"/>
  <c r="E410" i="1"/>
  <c r="E411" i="1"/>
  <c r="E412" i="1"/>
  <c r="E413" i="1"/>
  <c r="H413" i="1" s="1"/>
  <c r="E414" i="1"/>
  <c r="E415" i="1"/>
  <c r="H415" i="1" s="1"/>
  <c r="E416" i="1"/>
  <c r="E417" i="1"/>
  <c r="H417" i="1" s="1"/>
  <c r="E418" i="1"/>
  <c r="E419" i="1"/>
  <c r="E420" i="1"/>
  <c r="E421" i="1"/>
  <c r="E422" i="1"/>
  <c r="E423" i="1"/>
  <c r="E424" i="1"/>
  <c r="E425" i="1"/>
  <c r="H425" i="1" s="1"/>
  <c r="E426" i="1"/>
  <c r="E427" i="1"/>
  <c r="H427" i="1" s="1"/>
  <c r="E428" i="1"/>
  <c r="E429" i="1"/>
  <c r="H429" i="1" s="1"/>
  <c r="E430" i="1"/>
  <c r="E431" i="1"/>
  <c r="E432" i="1"/>
  <c r="E433" i="1"/>
  <c r="E434" i="1"/>
  <c r="E435" i="1"/>
  <c r="E436" i="1"/>
  <c r="E437" i="1"/>
  <c r="H437" i="1" s="1"/>
  <c r="E438" i="1"/>
  <c r="E439" i="1"/>
  <c r="H439" i="1" s="1"/>
  <c r="E440" i="1"/>
  <c r="E441" i="1"/>
  <c r="H441" i="1" s="1"/>
  <c r="E442" i="1"/>
  <c r="E443" i="1"/>
  <c r="E444" i="1"/>
  <c r="E445" i="1"/>
  <c r="E446" i="1"/>
  <c r="E447" i="1"/>
  <c r="E448" i="1"/>
  <c r="E449" i="1"/>
  <c r="H449" i="1" s="1"/>
  <c r="E450" i="1"/>
  <c r="E451" i="1"/>
  <c r="H451" i="1" s="1"/>
  <c r="E452" i="1"/>
  <c r="E453" i="1"/>
  <c r="H453" i="1" s="1"/>
  <c r="E454" i="1"/>
  <c r="E455" i="1"/>
  <c r="E456" i="1"/>
  <c r="E457" i="1"/>
  <c r="E458" i="1"/>
  <c r="E459" i="1"/>
  <c r="E460" i="1"/>
  <c r="E461" i="1"/>
  <c r="H461" i="1" s="1"/>
  <c r="E462" i="1"/>
  <c r="E463" i="1"/>
  <c r="H463" i="1" s="1"/>
  <c r="E464" i="1"/>
  <c r="E465" i="1"/>
  <c r="H465" i="1" s="1"/>
  <c r="E466" i="1"/>
  <c r="E467" i="1"/>
  <c r="E468" i="1"/>
  <c r="E469" i="1"/>
  <c r="E470" i="1"/>
  <c r="E471" i="1"/>
  <c r="E472" i="1"/>
  <c r="E473" i="1"/>
  <c r="H473" i="1" s="1"/>
  <c r="E474" i="1"/>
  <c r="E475" i="1"/>
  <c r="H475" i="1" s="1"/>
  <c r="E476" i="1"/>
  <c r="E477" i="1"/>
  <c r="H477" i="1" s="1"/>
  <c r="E478" i="1"/>
  <c r="E479" i="1"/>
  <c r="E480" i="1"/>
  <c r="E481" i="1"/>
  <c r="E482" i="1"/>
  <c r="E483" i="1"/>
  <c r="E484" i="1"/>
  <c r="E485" i="1"/>
  <c r="H485" i="1" s="1"/>
  <c r="E486" i="1"/>
  <c r="E487" i="1"/>
  <c r="H487" i="1" s="1"/>
  <c r="E488" i="1"/>
  <c r="E489" i="1"/>
  <c r="H489" i="1" s="1"/>
  <c r="E490" i="1"/>
  <c r="E491" i="1"/>
  <c r="E492" i="1"/>
  <c r="E493" i="1"/>
  <c r="E494" i="1"/>
  <c r="E495" i="1"/>
  <c r="E496" i="1"/>
  <c r="E497" i="1"/>
  <c r="H497" i="1" s="1"/>
  <c r="E498" i="1"/>
  <c r="E499" i="1"/>
  <c r="H499" i="1" s="1"/>
  <c r="E500" i="1"/>
  <c r="E501" i="1"/>
  <c r="H501" i="1" s="1"/>
  <c r="E502" i="1"/>
  <c r="E503" i="1"/>
  <c r="E504" i="1"/>
  <c r="E505" i="1"/>
  <c r="E506" i="1"/>
  <c r="E507" i="1"/>
  <c r="E508" i="1"/>
  <c r="E509" i="1"/>
  <c r="H509" i="1" s="1"/>
  <c r="E510" i="1"/>
  <c r="E511" i="1"/>
  <c r="H511" i="1" s="1"/>
  <c r="E512" i="1"/>
  <c r="E513" i="1"/>
  <c r="H513" i="1" s="1"/>
  <c r="E514" i="1"/>
  <c r="E515" i="1"/>
  <c r="E516" i="1"/>
  <c r="E517" i="1"/>
  <c r="E518" i="1"/>
  <c r="E519" i="1"/>
  <c r="E520" i="1"/>
  <c r="E521" i="1"/>
  <c r="H521" i="1" s="1"/>
  <c r="E522" i="1"/>
  <c r="E523" i="1"/>
  <c r="H523" i="1" s="1"/>
  <c r="E524" i="1"/>
  <c r="E525" i="1"/>
  <c r="H525" i="1" s="1"/>
  <c r="E526" i="1"/>
  <c r="E527" i="1"/>
  <c r="E528" i="1"/>
  <c r="E529" i="1"/>
  <c r="E530" i="1"/>
  <c r="E531" i="1"/>
  <c r="E532" i="1"/>
  <c r="E533" i="1"/>
  <c r="H533" i="1" s="1"/>
  <c r="E534" i="1"/>
  <c r="E535" i="1"/>
  <c r="H535" i="1" s="1"/>
  <c r="E536" i="1"/>
  <c r="E537" i="1"/>
  <c r="H537" i="1" s="1"/>
  <c r="E538" i="1"/>
  <c r="E539" i="1"/>
  <c r="E540" i="1"/>
  <c r="E541" i="1"/>
  <c r="E542" i="1"/>
  <c r="E543" i="1"/>
  <c r="E544" i="1"/>
  <c r="E545" i="1"/>
  <c r="H545" i="1" s="1"/>
  <c r="E546" i="1"/>
  <c r="E547" i="1"/>
  <c r="H547" i="1" s="1"/>
  <c r="E548" i="1"/>
  <c r="E549" i="1"/>
  <c r="H549" i="1" s="1"/>
  <c r="E550" i="1"/>
  <c r="E551" i="1"/>
  <c r="E552" i="1"/>
  <c r="E553" i="1"/>
  <c r="E554" i="1"/>
  <c r="E555" i="1"/>
  <c r="E556" i="1"/>
  <c r="E557" i="1"/>
  <c r="H557" i="1" s="1"/>
  <c r="E558" i="1"/>
  <c r="E559" i="1"/>
  <c r="H559" i="1" s="1"/>
  <c r="E560" i="1"/>
  <c r="E561" i="1"/>
  <c r="H561" i="1" s="1"/>
  <c r="E562" i="1"/>
  <c r="E563" i="1"/>
  <c r="E564" i="1"/>
  <c r="E565" i="1"/>
  <c r="E566" i="1"/>
  <c r="E567" i="1"/>
  <c r="E568" i="1"/>
  <c r="E569" i="1"/>
  <c r="H569" i="1" s="1"/>
  <c r="E570" i="1"/>
  <c r="E571" i="1"/>
  <c r="H571" i="1" s="1"/>
  <c r="E572" i="1"/>
  <c r="E573" i="1"/>
  <c r="H573" i="1" s="1"/>
  <c r="E574" i="1"/>
  <c r="E575" i="1"/>
  <c r="E576" i="1"/>
  <c r="E577" i="1"/>
  <c r="E578" i="1"/>
  <c r="E579" i="1"/>
  <c r="E580" i="1"/>
  <c r="E581" i="1"/>
  <c r="H581" i="1" s="1"/>
  <c r="E582" i="1"/>
  <c r="E583" i="1"/>
  <c r="H583" i="1" s="1"/>
  <c r="E584" i="1"/>
  <c r="E585" i="1"/>
  <c r="H585" i="1" s="1"/>
  <c r="E586" i="1"/>
  <c r="E587" i="1"/>
  <c r="E588" i="1"/>
  <c r="E589" i="1"/>
  <c r="E590" i="1"/>
  <c r="E591" i="1"/>
  <c r="E592" i="1"/>
  <c r="E593" i="1"/>
  <c r="H593" i="1" s="1"/>
  <c r="E594" i="1"/>
  <c r="E595" i="1"/>
  <c r="H595" i="1" s="1"/>
  <c r="E596" i="1"/>
  <c r="E597" i="1"/>
  <c r="H597" i="1" s="1"/>
  <c r="E598" i="1"/>
  <c r="E599" i="1"/>
  <c r="E600" i="1"/>
  <c r="E601" i="1"/>
  <c r="E602" i="1"/>
  <c r="E603" i="1"/>
  <c r="E604" i="1"/>
  <c r="E605" i="1"/>
  <c r="H605" i="1" s="1"/>
  <c r="E606" i="1"/>
  <c r="E607" i="1"/>
  <c r="H607" i="1" s="1"/>
  <c r="E608" i="1"/>
  <c r="E609" i="1"/>
  <c r="H609" i="1" s="1"/>
  <c r="E610" i="1"/>
  <c r="E611" i="1"/>
  <c r="E612" i="1"/>
  <c r="E613" i="1"/>
  <c r="E614" i="1"/>
  <c r="E615" i="1"/>
  <c r="E616" i="1"/>
  <c r="E617" i="1"/>
  <c r="H617" i="1" s="1"/>
  <c r="E618" i="1"/>
  <c r="E619" i="1"/>
  <c r="H619" i="1" s="1"/>
  <c r="E620" i="1"/>
  <c r="E621" i="1"/>
  <c r="H621" i="1" s="1"/>
  <c r="E622" i="1"/>
  <c r="E623" i="1"/>
  <c r="E624" i="1"/>
  <c r="E625" i="1"/>
  <c r="E626" i="1"/>
  <c r="E627" i="1"/>
  <c r="E628" i="1"/>
  <c r="E629" i="1"/>
  <c r="H629" i="1" s="1"/>
  <c r="E630" i="1"/>
  <c r="E631" i="1"/>
  <c r="H631" i="1" s="1"/>
  <c r="E632" i="1"/>
  <c r="E633" i="1"/>
  <c r="H633" i="1" s="1"/>
  <c r="E634" i="1"/>
  <c r="E635" i="1"/>
  <c r="E636" i="1"/>
  <c r="E637" i="1"/>
  <c r="E638" i="1"/>
  <c r="E639" i="1"/>
  <c r="E640" i="1"/>
  <c r="E641" i="1"/>
  <c r="H641" i="1" s="1"/>
  <c r="E642" i="1"/>
  <c r="E643" i="1"/>
  <c r="H643" i="1" s="1"/>
  <c r="E644" i="1"/>
  <c r="E645" i="1"/>
  <c r="H645" i="1" s="1"/>
  <c r="E646" i="1"/>
  <c r="E647" i="1"/>
  <c r="E648" i="1"/>
  <c r="E649" i="1"/>
  <c r="E650" i="1"/>
  <c r="E651" i="1"/>
  <c r="E652" i="1"/>
  <c r="E653" i="1"/>
  <c r="H653" i="1" s="1"/>
  <c r="E654" i="1"/>
  <c r="E655" i="1"/>
  <c r="H655" i="1" s="1"/>
  <c r="E656" i="1"/>
  <c r="E657" i="1"/>
  <c r="H657" i="1" s="1"/>
  <c r="E658" i="1"/>
  <c r="E659" i="1"/>
  <c r="E660" i="1"/>
  <c r="E661" i="1"/>
  <c r="E662" i="1"/>
  <c r="E663" i="1"/>
  <c r="E664" i="1"/>
  <c r="E665" i="1"/>
  <c r="H665" i="1" s="1"/>
  <c r="E666" i="1"/>
  <c r="E667" i="1"/>
  <c r="H667" i="1" s="1"/>
  <c r="E668" i="1"/>
  <c r="E669" i="1"/>
  <c r="H669" i="1" s="1"/>
  <c r="E670" i="1"/>
  <c r="E671" i="1"/>
  <c r="E672" i="1"/>
  <c r="E673" i="1"/>
  <c r="E674" i="1"/>
  <c r="E675" i="1"/>
  <c r="E676" i="1"/>
  <c r="E677" i="1"/>
  <c r="H677" i="1" s="1"/>
  <c r="E678" i="1"/>
  <c r="E679" i="1"/>
  <c r="H679" i="1" s="1"/>
  <c r="E680" i="1"/>
  <c r="E681" i="1"/>
  <c r="H681" i="1" s="1"/>
  <c r="E682" i="1"/>
  <c r="E683" i="1"/>
  <c r="E684" i="1"/>
  <c r="E685" i="1"/>
  <c r="E686" i="1"/>
  <c r="E687" i="1"/>
  <c r="E688" i="1"/>
  <c r="E689" i="1"/>
  <c r="H689" i="1" s="1"/>
  <c r="E690" i="1"/>
  <c r="E691" i="1"/>
  <c r="H691" i="1" s="1"/>
  <c r="E692" i="1"/>
  <c r="E693" i="1"/>
  <c r="H693" i="1" s="1"/>
  <c r="E694" i="1"/>
  <c r="E695" i="1"/>
  <c r="E696" i="1"/>
  <c r="E697" i="1"/>
  <c r="E698" i="1"/>
  <c r="E699" i="1"/>
  <c r="E700" i="1"/>
  <c r="E701" i="1"/>
  <c r="H701" i="1" s="1"/>
  <c r="E702" i="1"/>
  <c r="E703" i="1"/>
  <c r="H703" i="1" s="1"/>
  <c r="E704" i="1"/>
  <c r="E705" i="1"/>
  <c r="H705" i="1" s="1"/>
  <c r="E706" i="1"/>
  <c r="E707" i="1"/>
  <c r="E708" i="1"/>
  <c r="E709" i="1"/>
  <c r="E710" i="1"/>
  <c r="E711" i="1"/>
  <c r="E712" i="1"/>
  <c r="E713" i="1"/>
  <c r="H713" i="1" s="1"/>
  <c r="E714" i="1"/>
  <c r="E715" i="1"/>
  <c r="H715" i="1" s="1"/>
  <c r="E716" i="1"/>
  <c r="E717" i="1"/>
  <c r="H717" i="1" s="1"/>
  <c r="E718" i="1"/>
  <c r="E719" i="1"/>
  <c r="E720" i="1"/>
  <c r="E721" i="1"/>
  <c r="E722" i="1"/>
  <c r="E723" i="1"/>
  <c r="E724" i="1"/>
  <c r="E725" i="1"/>
  <c r="H725" i="1" s="1"/>
  <c r="E726" i="1"/>
  <c r="E727" i="1"/>
  <c r="H727" i="1" s="1"/>
  <c r="E728" i="1"/>
  <c r="E729" i="1"/>
  <c r="H729" i="1" s="1"/>
  <c r="E730" i="1"/>
  <c r="E731" i="1"/>
  <c r="E732" i="1"/>
  <c r="E733" i="1"/>
  <c r="E734" i="1"/>
  <c r="E735" i="1"/>
  <c r="E736" i="1"/>
  <c r="E737" i="1"/>
  <c r="H737" i="1" s="1"/>
  <c r="E738" i="1"/>
  <c r="E739" i="1"/>
  <c r="H739" i="1" s="1"/>
  <c r="E740" i="1"/>
  <c r="E741" i="1"/>
  <c r="H741" i="1" s="1"/>
  <c r="E742" i="1"/>
  <c r="E743" i="1"/>
  <c r="E744" i="1"/>
  <c r="E745" i="1"/>
  <c r="E746" i="1"/>
  <c r="E747" i="1"/>
  <c r="E748" i="1"/>
  <c r="E749" i="1"/>
  <c r="H749" i="1" s="1"/>
  <c r="E750" i="1"/>
  <c r="E751" i="1"/>
  <c r="H751" i="1" s="1"/>
  <c r="E752" i="1"/>
  <c r="E753" i="1"/>
  <c r="H753" i="1" s="1"/>
  <c r="E754" i="1"/>
  <c r="E755" i="1"/>
  <c r="E756" i="1"/>
  <c r="E757" i="1"/>
  <c r="E758" i="1"/>
  <c r="E759" i="1"/>
  <c r="E760" i="1"/>
  <c r="E761" i="1"/>
  <c r="H761" i="1" s="1"/>
  <c r="E762" i="1"/>
  <c r="E763" i="1"/>
  <c r="H763" i="1" s="1"/>
  <c r="E764" i="1"/>
  <c r="E765" i="1"/>
  <c r="H765" i="1" s="1"/>
  <c r="E766" i="1"/>
  <c r="E767" i="1"/>
  <c r="E768" i="1"/>
  <c r="E769" i="1"/>
  <c r="E770" i="1"/>
  <c r="E771" i="1"/>
  <c r="E772" i="1"/>
  <c r="E773" i="1"/>
  <c r="H773" i="1" s="1"/>
  <c r="E774" i="1"/>
  <c r="E775" i="1"/>
  <c r="H775" i="1" s="1"/>
  <c r="E776" i="1"/>
  <c r="E777" i="1"/>
  <c r="H777" i="1" s="1"/>
  <c r="E778" i="1"/>
  <c r="E779" i="1"/>
  <c r="E780" i="1"/>
  <c r="E781" i="1"/>
  <c r="E782" i="1"/>
  <c r="E783" i="1"/>
  <c r="E784" i="1"/>
  <c r="E785" i="1"/>
  <c r="H785" i="1" s="1"/>
  <c r="E786" i="1"/>
  <c r="E787" i="1"/>
  <c r="H787" i="1" s="1"/>
  <c r="E788" i="1"/>
  <c r="E789" i="1"/>
  <c r="H789" i="1" s="1"/>
  <c r="E790" i="1"/>
  <c r="E791" i="1"/>
  <c r="E792" i="1"/>
  <c r="E793" i="1"/>
  <c r="E794" i="1"/>
  <c r="E795" i="1"/>
  <c r="E796" i="1"/>
  <c r="E797" i="1"/>
  <c r="H797" i="1" s="1"/>
  <c r="E798" i="1"/>
  <c r="E799" i="1"/>
  <c r="H799" i="1" s="1"/>
  <c r="E800" i="1"/>
  <c r="E801" i="1"/>
  <c r="H801" i="1" s="1"/>
  <c r="E802" i="1"/>
  <c r="E803" i="1"/>
  <c r="E804" i="1"/>
  <c r="E805" i="1"/>
  <c r="E806" i="1"/>
  <c r="E807" i="1"/>
  <c r="E808" i="1"/>
  <c r="E809" i="1"/>
  <c r="H809" i="1" s="1"/>
  <c r="E810" i="1"/>
  <c r="E811" i="1"/>
  <c r="H811" i="1" s="1"/>
  <c r="E812" i="1"/>
  <c r="E813" i="1"/>
  <c r="H813" i="1" s="1"/>
  <c r="E814" i="1"/>
  <c r="E815" i="1"/>
  <c r="E816" i="1"/>
  <c r="E817" i="1"/>
  <c r="E818" i="1"/>
  <c r="E819" i="1"/>
  <c r="E820" i="1"/>
  <c r="E821" i="1"/>
  <c r="H821" i="1" s="1"/>
  <c r="E822" i="1"/>
  <c r="E823" i="1"/>
  <c r="H823" i="1" s="1"/>
  <c r="E824" i="1"/>
  <c r="E825" i="1"/>
  <c r="H825" i="1" s="1"/>
  <c r="E826" i="1"/>
  <c r="E827" i="1"/>
  <c r="E828" i="1"/>
  <c r="E829" i="1"/>
  <c r="E830" i="1"/>
  <c r="E831" i="1"/>
  <c r="E832" i="1"/>
  <c r="E833" i="1"/>
  <c r="H833" i="1" s="1"/>
  <c r="E834" i="1"/>
  <c r="E835" i="1"/>
  <c r="H835" i="1" s="1"/>
  <c r="E836" i="1"/>
  <c r="E837" i="1"/>
  <c r="H837" i="1" s="1"/>
  <c r="E838" i="1"/>
  <c r="E839" i="1"/>
  <c r="E840" i="1"/>
  <c r="E841" i="1"/>
  <c r="E842" i="1"/>
  <c r="E843" i="1"/>
  <c r="E844" i="1"/>
  <c r="E845" i="1"/>
  <c r="H845" i="1" s="1"/>
  <c r="E846" i="1"/>
  <c r="E847" i="1"/>
  <c r="H847" i="1" s="1"/>
  <c r="E848" i="1"/>
  <c r="E849" i="1"/>
  <c r="H849" i="1" s="1"/>
  <c r="E850" i="1"/>
  <c r="E851" i="1"/>
  <c r="E852" i="1"/>
  <c r="E853" i="1"/>
  <c r="E854" i="1"/>
  <c r="E855" i="1"/>
  <c r="E856" i="1"/>
  <c r="E857" i="1"/>
  <c r="H857" i="1" s="1"/>
  <c r="E858" i="1"/>
  <c r="E859" i="1"/>
  <c r="H859" i="1" s="1"/>
  <c r="E860" i="1"/>
  <c r="E861" i="1"/>
  <c r="H861" i="1" s="1"/>
  <c r="E862" i="1"/>
  <c r="E863" i="1"/>
  <c r="E864" i="1"/>
  <c r="E865" i="1"/>
  <c r="E866" i="1"/>
  <c r="E867" i="1"/>
  <c r="E868" i="1"/>
  <c r="E869" i="1"/>
  <c r="H869" i="1" s="1"/>
  <c r="E870" i="1"/>
  <c r="E871" i="1"/>
  <c r="H871" i="1" s="1"/>
  <c r="E872" i="1"/>
  <c r="E873" i="1"/>
  <c r="H873" i="1" s="1"/>
  <c r="E874" i="1"/>
  <c r="E875" i="1"/>
  <c r="E876" i="1"/>
  <c r="E877" i="1"/>
  <c r="E878" i="1"/>
  <c r="E879" i="1"/>
  <c r="E880" i="1"/>
  <c r="E881" i="1"/>
  <c r="H881" i="1" s="1"/>
  <c r="E882" i="1"/>
  <c r="E883" i="1"/>
  <c r="H883" i="1" s="1"/>
  <c r="E884" i="1"/>
  <c r="E885" i="1"/>
  <c r="H885" i="1" s="1"/>
  <c r="E886" i="1"/>
  <c r="E887" i="1"/>
  <c r="E888" i="1"/>
  <c r="E889" i="1"/>
  <c r="E890" i="1"/>
  <c r="E891" i="1"/>
  <c r="E892" i="1"/>
  <c r="E893" i="1"/>
  <c r="H893" i="1" s="1"/>
  <c r="E894" i="1"/>
  <c r="E895" i="1"/>
  <c r="H895" i="1" s="1"/>
  <c r="E896" i="1"/>
  <c r="E897" i="1"/>
  <c r="H897" i="1" s="1"/>
  <c r="E898" i="1"/>
  <c r="E899" i="1"/>
  <c r="E900" i="1"/>
  <c r="E901" i="1"/>
  <c r="E902" i="1"/>
  <c r="E903" i="1"/>
  <c r="E904" i="1"/>
  <c r="E905" i="1"/>
  <c r="H905" i="1" s="1"/>
  <c r="E906" i="1"/>
  <c r="E907" i="1"/>
  <c r="H907" i="1" s="1"/>
  <c r="E908" i="1"/>
  <c r="E909" i="1"/>
  <c r="H909" i="1" s="1"/>
  <c r="E910" i="1"/>
  <c r="E911" i="1"/>
  <c r="E912" i="1"/>
  <c r="E913" i="1"/>
  <c r="E914" i="1"/>
  <c r="E915" i="1"/>
  <c r="E916" i="1"/>
  <c r="E917" i="1"/>
  <c r="H917" i="1" s="1"/>
  <c r="E918" i="1"/>
  <c r="E919" i="1"/>
  <c r="H919" i="1" s="1"/>
  <c r="E920" i="1"/>
  <c r="E921" i="1"/>
  <c r="H921" i="1" s="1"/>
  <c r="E922" i="1"/>
  <c r="E923" i="1"/>
  <c r="E924" i="1"/>
  <c r="E925" i="1"/>
  <c r="E926" i="1"/>
  <c r="E927" i="1"/>
  <c r="E928" i="1"/>
  <c r="E929" i="1"/>
  <c r="H929" i="1" s="1"/>
  <c r="E930" i="1"/>
  <c r="E931" i="1"/>
  <c r="H931" i="1" s="1"/>
  <c r="E932" i="1"/>
  <c r="E933" i="1"/>
  <c r="H933" i="1" s="1"/>
  <c r="E934" i="1"/>
  <c r="E935" i="1"/>
  <c r="E936" i="1"/>
  <c r="E937" i="1"/>
  <c r="E938" i="1"/>
  <c r="E939" i="1"/>
  <c r="E940" i="1"/>
  <c r="E941" i="1"/>
  <c r="H941" i="1" s="1"/>
  <c r="E942" i="1"/>
  <c r="E943" i="1"/>
  <c r="H943" i="1" s="1"/>
  <c r="E944" i="1"/>
  <c r="E945" i="1"/>
  <c r="H945" i="1" s="1"/>
  <c r="E946" i="1"/>
  <c r="E947" i="1"/>
  <c r="E948" i="1"/>
  <c r="E949" i="1"/>
  <c r="E950" i="1"/>
  <c r="E951" i="1"/>
  <c r="E952" i="1"/>
  <c r="E953" i="1"/>
  <c r="H953" i="1" s="1"/>
  <c r="E954" i="1"/>
  <c r="E955" i="1"/>
  <c r="H955" i="1" s="1"/>
  <c r="E956" i="1"/>
  <c r="H956" i="1" s="1"/>
  <c r="E957" i="1"/>
  <c r="H957" i="1" s="1"/>
  <c r="E958" i="1"/>
  <c r="E959" i="1"/>
  <c r="E960" i="1"/>
  <c r="E961" i="1"/>
  <c r="E962" i="1"/>
  <c r="E963" i="1"/>
  <c r="E964" i="1"/>
  <c r="E965" i="1"/>
  <c r="H965" i="1" s="1"/>
  <c r="E966" i="1"/>
  <c r="E967" i="1"/>
  <c r="H967" i="1" s="1"/>
  <c r="E968" i="1"/>
  <c r="H968" i="1" s="1"/>
  <c r="E969" i="1"/>
  <c r="H969" i="1" s="1"/>
  <c r="E970" i="1"/>
  <c r="E971" i="1"/>
  <c r="E972" i="1"/>
  <c r="E973" i="1"/>
  <c r="E974" i="1"/>
  <c r="E975" i="1"/>
  <c r="E976" i="1"/>
  <c r="E977" i="1"/>
  <c r="H977" i="1" s="1"/>
  <c r="E978" i="1"/>
  <c r="E979" i="1"/>
  <c r="H979" i="1" s="1"/>
  <c r="E980" i="1"/>
  <c r="H980" i="1" s="1"/>
  <c r="E981" i="1"/>
  <c r="H981" i="1" s="1"/>
  <c r="E982" i="1"/>
  <c r="E983" i="1"/>
  <c r="E984" i="1"/>
  <c r="E985" i="1"/>
  <c r="E986" i="1"/>
  <c r="E987" i="1"/>
  <c r="E988" i="1"/>
  <c r="E989" i="1"/>
  <c r="H989" i="1" s="1"/>
  <c r="E990" i="1"/>
  <c r="E991" i="1"/>
  <c r="H991" i="1" s="1"/>
  <c r="E992" i="1"/>
  <c r="H992" i="1" s="1"/>
  <c r="E993" i="1"/>
  <c r="H993" i="1" s="1"/>
  <c r="E994" i="1"/>
  <c r="E995" i="1"/>
  <c r="E996" i="1"/>
  <c r="E997" i="1"/>
  <c r="E998" i="1"/>
  <c r="E999" i="1"/>
  <c r="E1000" i="1"/>
  <c r="E1001" i="1"/>
  <c r="H1001" i="1" s="1"/>
  <c r="E1002" i="1"/>
  <c r="E1003" i="1"/>
  <c r="H1003" i="1" s="1"/>
  <c r="E1004" i="1"/>
  <c r="H1004" i="1" s="1"/>
  <c r="E1005" i="1"/>
  <c r="H1005" i="1" s="1"/>
  <c r="E1006" i="1"/>
  <c r="E1007" i="1"/>
  <c r="E1008" i="1"/>
  <c r="E1009" i="1"/>
  <c r="E1010" i="1"/>
  <c r="E1011" i="1"/>
  <c r="E1012" i="1"/>
  <c r="E1013" i="1"/>
  <c r="H1013" i="1" s="1"/>
  <c r="E1014" i="1"/>
  <c r="E1015" i="1"/>
  <c r="H1015" i="1" s="1"/>
  <c r="E1016" i="1"/>
  <c r="H1016" i="1" s="1"/>
  <c r="E1017" i="1"/>
  <c r="H1017" i="1" s="1"/>
  <c r="E1018" i="1"/>
  <c r="E1019" i="1"/>
  <c r="E1020" i="1"/>
  <c r="E1021" i="1"/>
  <c r="E1022" i="1"/>
  <c r="E1023" i="1"/>
  <c r="E1024" i="1"/>
  <c r="E1025" i="1"/>
  <c r="H1025" i="1" s="1"/>
  <c r="E1026" i="1"/>
  <c r="E1027" i="1"/>
  <c r="H1027" i="1" s="1"/>
  <c r="E1028" i="1"/>
  <c r="H1028" i="1" s="1"/>
  <c r="E1029" i="1"/>
  <c r="H1029" i="1" s="1"/>
  <c r="E1030" i="1"/>
  <c r="E1031" i="1"/>
  <c r="E1032" i="1"/>
  <c r="E1033" i="1"/>
  <c r="E1034" i="1"/>
  <c r="E1035" i="1"/>
  <c r="E1036" i="1"/>
  <c r="E1037" i="1"/>
  <c r="H1037" i="1" s="1"/>
  <c r="E1038" i="1"/>
  <c r="E1039" i="1"/>
  <c r="H1039" i="1" s="1"/>
  <c r="E1040" i="1"/>
  <c r="H1040" i="1" s="1"/>
  <c r="E1041" i="1"/>
  <c r="H1041" i="1" s="1"/>
  <c r="E1042" i="1"/>
  <c r="E1043" i="1"/>
  <c r="E1044" i="1"/>
  <c r="E1045" i="1"/>
  <c r="E1046" i="1"/>
  <c r="E1047" i="1"/>
  <c r="E1048" i="1"/>
  <c r="E1049" i="1"/>
  <c r="H1049" i="1" s="1"/>
  <c r="E1050" i="1"/>
  <c r="H1050" i="1" s="1"/>
  <c r="E1051" i="1"/>
  <c r="H1051" i="1" s="1"/>
  <c r="E1052" i="1"/>
  <c r="H1052" i="1" s="1"/>
  <c r="E1053" i="1"/>
  <c r="H1053" i="1" s="1"/>
  <c r="E1054" i="1"/>
  <c r="E1055" i="1"/>
  <c r="E1056" i="1"/>
  <c r="E1057" i="1"/>
  <c r="E1058" i="1"/>
  <c r="E1059" i="1"/>
  <c r="E1060" i="1"/>
  <c r="E1061" i="1"/>
  <c r="H1061" i="1" s="1"/>
  <c r="E1062" i="1"/>
  <c r="H1062" i="1" s="1"/>
  <c r="E1063" i="1"/>
  <c r="H1063" i="1" s="1"/>
  <c r="E1064" i="1"/>
  <c r="H1064" i="1" s="1"/>
  <c r="E1065" i="1"/>
  <c r="H1065" i="1" s="1"/>
  <c r="E1066" i="1"/>
  <c r="E1067" i="1"/>
  <c r="E1068" i="1"/>
  <c r="E1069" i="1"/>
  <c r="E1070" i="1"/>
  <c r="E1071" i="1"/>
  <c r="E1072" i="1"/>
  <c r="E1073" i="1"/>
  <c r="H1073" i="1" s="1"/>
  <c r="E1074" i="1"/>
  <c r="H1074" i="1" s="1"/>
  <c r="E1075" i="1"/>
  <c r="H1075" i="1" s="1"/>
  <c r="E1076" i="1"/>
  <c r="H1076" i="1" s="1"/>
  <c r="E1077" i="1"/>
  <c r="H1077" i="1" s="1"/>
  <c r="E1078" i="1"/>
  <c r="E1079" i="1"/>
  <c r="E1080" i="1"/>
  <c r="E1081" i="1"/>
  <c r="E1082" i="1"/>
  <c r="E1083" i="1"/>
  <c r="E1084" i="1"/>
  <c r="E1085" i="1"/>
  <c r="H1085" i="1" s="1"/>
  <c r="E1086" i="1"/>
  <c r="H1086" i="1" s="1"/>
  <c r="E1087" i="1"/>
  <c r="H1087" i="1" s="1"/>
  <c r="E1088" i="1"/>
  <c r="H1088" i="1" s="1"/>
  <c r="E1089" i="1"/>
  <c r="H1089" i="1" s="1"/>
  <c r="E1090" i="1"/>
  <c r="E1091" i="1"/>
  <c r="E1092" i="1"/>
  <c r="E1093" i="1"/>
  <c r="E1094" i="1"/>
  <c r="E1095" i="1"/>
  <c r="E1096" i="1"/>
  <c r="E1097" i="1"/>
  <c r="H1097" i="1" s="1"/>
  <c r="E1098" i="1"/>
  <c r="H1098" i="1" s="1"/>
  <c r="E1099" i="1"/>
  <c r="H1099" i="1" s="1"/>
  <c r="E1100" i="1"/>
  <c r="H1100" i="1" s="1"/>
  <c r="E1101" i="1"/>
  <c r="H1101" i="1" s="1"/>
  <c r="E1102" i="1"/>
  <c r="E1103" i="1"/>
  <c r="E1104" i="1"/>
  <c r="E1105" i="1"/>
  <c r="E1106" i="1"/>
  <c r="E1107" i="1"/>
  <c r="E1108" i="1"/>
  <c r="E1109" i="1"/>
  <c r="H1109" i="1" s="1"/>
  <c r="E1110" i="1"/>
  <c r="H1110" i="1" s="1"/>
  <c r="E1111" i="1"/>
  <c r="H1111" i="1" s="1"/>
  <c r="E1112" i="1"/>
  <c r="H1112" i="1" s="1"/>
  <c r="E1113" i="1"/>
  <c r="H1113" i="1" s="1"/>
  <c r="E1114" i="1"/>
  <c r="E1115" i="1"/>
  <c r="E1116" i="1"/>
  <c r="E1117" i="1"/>
  <c r="E1118" i="1"/>
  <c r="E1119" i="1"/>
  <c r="E1120" i="1"/>
  <c r="E1121" i="1"/>
  <c r="H1121" i="1" s="1"/>
  <c r="E1122" i="1"/>
  <c r="H1122" i="1" s="1"/>
  <c r="E1123" i="1"/>
  <c r="H1123" i="1" s="1"/>
  <c r="E1124" i="1"/>
  <c r="H1124" i="1" s="1"/>
  <c r="E1125" i="1"/>
  <c r="H1125" i="1" s="1"/>
  <c r="E1126" i="1"/>
  <c r="E1127" i="1"/>
  <c r="E1128" i="1"/>
  <c r="E1129" i="1"/>
  <c r="E1130" i="1"/>
  <c r="E1131" i="1"/>
  <c r="E1132" i="1"/>
  <c r="E1133" i="1"/>
  <c r="H1133" i="1" s="1"/>
  <c r="E1134" i="1"/>
  <c r="H1134" i="1" s="1"/>
  <c r="E1135" i="1"/>
  <c r="H1135" i="1" s="1"/>
  <c r="E1136" i="1"/>
  <c r="H1136" i="1" s="1"/>
  <c r="E1137" i="1"/>
  <c r="H1137" i="1" s="1"/>
  <c r="E1138" i="1"/>
  <c r="E1139" i="1"/>
  <c r="E1140" i="1"/>
  <c r="E1141" i="1"/>
  <c r="E1142" i="1"/>
  <c r="E1143" i="1"/>
  <c r="E1144" i="1"/>
  <c r="E1145" i="1"/>
  <c r="H1145" i="1" s="1"/>
  <c r="E1146" i="1"/>
  <c r="H1146" i="1" s="1"/>
  <c r="E1147" i="1"/>
  <c r="H1147" i="1" s="1"/>
  <c r="E1148" i="1"/>
  <c r="H1148" i="1" s="1"/>
  <c r="E1149" i="1"/>
  <c r="H1149" i="1" s="1"/>
  <c r="E1150" i="1"/>
  <c r="E1151" i="1"/>
  <c r="E1152" i="1"/>
  <c r="E1153" i="1"/>
  <c r="E1154" i="1"/>
  <c r="E1155" i="1"/>
  <c r="E1156" i="1"/>
  <c r="E1157" i="1"/>
  <c r="H1157" i="1" s="1"/>
  <c r="E1158" i="1"/>
  <c r="H1158" i="1" s="1"/>
  <c r="E1159" i="1"/>
  <c r="H1159" i="1" s="1"/>
  <c r="E1160" i="1"/>
  <c r="H1160" i="1" s="1"/>
  <c r="E1161" i="1"/>
  <c r="H1161" i="1" s="1"/>
  <c r="E1162" i="1"/>
  <c r="E1163" i="1"/>
  <c r="E1164" i="1"/>
  <c r="E1165" i="1"/>
  <c r="E1166" i="1"/>
  <c r="E1167" i="1"/>
  <c r="E1168" i="1"/>
  <c r="E1169" i="1"/>
  <c r="H1169" i="1" s="1"/>
  <c r="E1170" i="1"/>
  <c r="H1170" i="1" s="1"/>
  <c r="E1171" i="1"/>
  <c r="H1171" i="1" s="1"/>
  <c r="E1172" i="1"/>
  <c r="H1172" i="1" s="1"/>
  <c r="E1173" i="1"/>
  <c r="H1173" i="1" s="1"/>
  <c r="E1174" i="1"/>
  <c r="E1175" i="1"/>
  <c r="E1176" i="1"/>
  <c r="E1177" i="1"/>
  <c r="E1178" i="1"/>
  <c r="E1179" i="1"/>
  <c r="E1180" i="1"/>
  <c r="E1181" i="1"/>
  <c r="H1181" i="1" s="1"/>
  <c r="E1182" i="1"/>
  <c r="H1182" i="1" s="1"/>
  <c r="E1183" i="1"/>
  <c r="H1183" i="1" s="1"/>
  <c r="E1184" i="1"/>
  <c r="H1184" i="1" s="1"/>
  <c r="E1185" i="1"/>
  <c r="H1185" i="1" s="1"/>
  <c r="E1186" i="1"/>
  <c r="E1187" i="1"/>
  <c r="E1188" i="1"/>
  <c r="E1189" i="1"/>
  <c r="E1190" i="1"/>
  <c r="E1191" i="1"/>
  <c r="E1192" i="1"/>
  <c r="E1193" i="1"/>
  <c r="H1193" i="1" s="1"/>
  <c r="E1194" i="1"/>
  <c r="H1194" i="1" s="1"/>
  <c r="E1195" i="1"/>
  <c r="H1195" i="1" s="1"/>
  <c r="E1196" i="1"/>
  <c r="H1196" i="1" s="1"/>
  <c r="E1197" i="1"/>
  <c r="H1197" i="1" s="1"/>
  <c r="E1198" i="1"/>
  <c r="E1199" i="1"/>
  <c r="E1200" i="1"/>
  <c r="E1201" i="1"/>
  <c r="E1202" i="1"/>
  <c r="E1203" i="1"/>
  <c r="E1204" i="1"/>
  <c r="E1205" i="1"/>
  <c r="H1205" i="1" s="1"/>
  <c r="E1206" i="1"/>
  <c r="H1206" i="1" s="1"/>
  <c r="E1207" i="1"/>
  <c r="H1207" i="1" s="1"/>
  <c r="E1208" i="1"/>
  <c r="H1208" i="1" s="1"/>
  <c r="E1209" i="1"/>
  <c r="H1209" i="1" s="1"/>
  <c r="E1210" i="1"/>
  <c r="E1211" i="1"/>
  <c r="E1212" i="1"/>
  <c r="E1213" i="1"/>
  <c r="E1214" i="1"/>
  <c r="E1215" i="1"/>
  <c r="E1216" i="1"/>
  <c r="E1217" i="1"/>
  <c r="H1217" i="1" s="1"/>
  <c r="E1218" i="1"/>
  <c r="H1218" i="1" s="1"/>
  <c r="E1219" i="1"/>
  <c r="H1219" i="1" s="1"/>
  <c r="E1220" i="1"/>
  <c r="H1220" i="1" s="1"/>
  <c r="E1221" i="1"/>
  <c r="H1221" i="1" s="1"/>
  <c r="E1222" i="1"/>
  <c r="E1223" i="1"/>
  <c r="E1224" i="1"/>
  <c r="E1225" i="1"/>
  <c r="E1226" i="1"/>
  <c r="E1227" i="1"/>
  <c r="E1228" i="1"/>
  <c r="E1229" i="1"/>
  <c r="H1229" i="1" s="1"/>
  <c r="E1230" i="1"/>
  <c r="H1230" i="1" s="1"/>
  <c r="E1231" i="1"/>
  <c r="H1231" i="1" s="1"/>
  <c r="E1232" i="1"/>
  <c r="H1232" i="1" s="1"/>
  <c r="E1233" i="1"/>
  <c r="H1233" i="1" s="1"/>
  <c r="E1234" i="1"/>
  <c r="E1235" i="1"/>
  <c r="E1236" i="1"/>
  <c r="E1237" i="1"/>
  <c r="E1238" i="1"/>
  <c r="E1239" i="1"/>
  <c r="E1240" i="1"/>
  <c r="E1241" i="1"/>
  <c r="H1241" i="1" s="1"/>
  <c r="E1242" i="1"/>
  <c r="H1242" i="1" s="1"/>
  <c r="E1243" i="1"/>
  <c r="H1243" i="1" s="1"/>
  <c r="E1244" i="1"/>
  <c r="H1244" i="1" s="1"/>
  <c r="E1245" i="1"/>
  <c r="H1245" i="1" s="1"/>
  <c r="E1246" i="1"/>
  <c r="E1247" i="1"/>
  <c r="E1248" i="1"/>
  <c r="E1249" i="1"/>
  <c r="E1250" i="1"/>
  <c r="E1251" i="1"/>
  <c r="E1252" i="1"/>
  <c r="E1253" i="1"/>
  <c r="H1253" i="1" s="1"/>
  <c r="E1254" i="1"/>
  <c r="H1254" i="1" s="1"/>
  <c r="E1255" i="1"/>
  <c r="H1255" i="1" s="1"/>
  <c r="E1256" i="1"/>
  <c r="H1256" i="1" s="1"/>
  <c r="E1257" i="1"/>
  <c r="H1257" i="1" s="1"/>
  <c r="E1258" i="1"/>
  <c r="E1259" i="1"/>
  <c r="E1260" i="1"/>
  <c r="E1261" i="1"/>
  <c r="E1262" i="1"/>
  <c r="E1263" i="1"/>
  <c r="E1264" i="1"/>
  <c r="E1265" i="1"/>
  <c r="H1265" i="1" s="1"/>
  <c r="E1266" i="1"/>
  <c r="H1266" i="1" s="1"/>
  <c r="E1267" i="1"/>
  <c r="H1267" i="1" s="1"/>
  <c r="E1268" i="1"/>
  <c r="H1268" i="1" s="1"/>
  <c r="E1269" i="1"/>
  <c r="H1269" i="1" s="1"/>
  <c r="E1270" i="1"/>
  <c r="E1271" i="1"/>
  <c r="E1272" i="1"/>
  <c r="E1273" i="1"/>
  <c r="E1274" i="1"/>
  <c r="E1275" i="1"/>
  <c r="E1276" i="1"/>
  <c r="E1277" i="1"/>
  <c r="H1277" i="1" s="1"/>
  <c r="E1278" i="1"/>
  <c r="H1278" i="1" s="1"/>
  <c r="E1279" i="1"/>
  <c r="H1279" i="1" s="1"/>
  <c r="E1280" i="1"/>
  <c r="H1280" i="1" s="1"/>
  <c r="E1281" i="1"/>
  <c r="H1281" i="1" s="1"/>
  <c r="E1282" i="1"/>
  <c r="E1283" i="1"/>
  <c r="E1284" i="1"/>
  <c r="E1285" i="1"/>
  <c r="E1286" i="1"/>
  <c r="E1287" i="1"/>
  <c r="E1288" i="1"/>
  <c r="E1289" i="1"/>
  <c r="H1289" i="1" s="1"/>
  <c r="E1290" i="1"/>
  <c r="H1290" i="1" s="1"/>
  <c r="E1291" i="1"/>
  <c r="H1291" i="1" s="1"/>
  <c r="E1292" i="1"/>
  <c r="H1292" i="1" s="1"/>
  <c r="E1293" i="1"/>
  <c r="H1293" i="1" s="1"/>
  <c r="E1294" i="1"/>
  <c r="E1295" i="1"/>
  <c r="E1296" i="1"/>
  <c r="E1297" i="1"/>
  <c r="E1298" i="1"/>
  <c r="E1299" i="1"/>
  <c r="E1300" i="1"/>
  <c r="E1301" i="1"/>
  <c r="H1301" i="1" s="1"/>
  <c r="E1302" i="1"/>
  <c r="H1302" i="1" s="1"/>
  <c r="E1303" i="1"/>
  <c r="H1303" i="1" s="1"/>
  <c r="E1304" i="1"/>
  <c r="H1304" i="1" s="1"/>
  <c r="E1305" i="1"/>
  <c r="H1305" i="1" s="1"/>
  <c r="E1306" i="1"/>
  <c r="E1307" i="1"/>
  <c r="E1308" i="1"/>
  <c r="E1309" i="1"/>
  <c r="E1310" i="1"/>
  <c r="E1311" i="1"/>
  <c r="E1312" i="1"/>
  <c r="E1313" i="1"/>
  <c r="H1313" i="1" s="1"/>
  <c r="E1314" i="1"/>
  <c r="H1314" i="1" s="1"/>
  <c r="E1315" i="1"/>
  <c r="H1315" i="1" s="1"/>
  <c r="E1316" i="1"/>
  <c r="H1316" i="1" s="1"/>
  <c r="E1317" i="1"/>
  <c r="H1317" i="1" s="1"/>
  <c r="E1318" i="1"/>
  <c r="E1319" i="1"/>
  <c r="E1320" i="1"/>
  <c r="E1321" i="1"/>
  <c r="E1322" i="1"/>
  <c r="E1323" i="1"/>
  <c r="E1324" i="1"/>
  <c r="E1325" i="1"/>
  <c r="H1325" i="1" s="1"/>
  <c r="E1326" i="1"/>
  <c r="H1326" i="1" s="1"/>
  <c r="E1327" i="1"/>
  <c r="H1327" i="1" s="1"/>
  <c r="E1328" i="1"/>
  <c r="H1328" i="1" s="1"/>
  <c r="E1329" i="1"/>
  <c r="H1329" i="1" s="1"/>
  <c r="E1330" i="1"/>
  <c r="E1331" i="1"/>
  <c r="E1332" i="1"/>
  <c r="E1333" i="1"/>
  <c r="E1334" i="1"/>
  <c r="E1335" i="1"/>
  <c r="E1336" i="1"/>
  <c r="E1337" i="1"/>
  <c r="H1337" i="1" s="1"/>
  <c r="E1338" i="1"/>
  <c r="H1338" i="1" s="1"/>
  <c r="E1339" i="1"/>
  <c r="H1339" i="1" s="1"/>
  <c r="E1340" i="1"/>
  <c r="H1340" i="1" s="1"/>
  <c r="E1341" i="1"/>
  <c r="H1341" i="1" s="1"/>
  <c r="E1342" i="1"/>
  <c r="E1343" i="1"/>
  <c r="E1344" i="1"/>
  <c r="E1345" i="1"/>
  <c r="E1346" i="1"/>
  <c r="E1347" i="1"/>
  <c r="E1348" i="1"/>
  <c r="E1349" i="1"/>
  <c r="H1349" i="1" s="1"/>
  <c r="E1350" i="1"/>
  <c r="H1350" i="1" s="1"/>
  <c r="E1351" i="1"/>
  <c r="H1351" i="1" s="1"/>
  <c r="E1352" i="1"/>
  <c r="H1352" i="1" s="1"/>
  <c r="E1353" i="1"/>
  <c r="H1353" i="1" s="1"/>
  <c r="E1354" i="1"/>
  <c r="E1355" i="1"/>
  <c r="E1356" i="1"/>
  <c r="E1357" i="1"/>
  <c r="E1358" i="1"/>
  <c r="E1359" i="1"/>
  <c r="E1360" i="1"/>
  <c r="E1361" i="1"/>
  <c r="H1361" i="1" s="1"/>
  <c r="E1362" i="1"/>
  <c r="H1362" i="1" s="1"/>
  <c r="E1363" i="1"/>
  <c r="H1363" i="1" s="1"/>
  <c r="E1364" i="1"/>
  <c r="H1364" i="1" s="1"/>
  <c r="E1365" i="1"/>
  <c r="H1365" i="1" s="1"/>
  <c r="E1366" i="1"/>
  <c r="E1367" i="1"/>
  <c r="E1368" i="1"/>
  <c r="E1369" i="1"/>
  <c r="E1370" i="1"/>
  <c r="E1371" i="1"/>
  <c r="E1372" i="1"/>
  <c r="E1373" i="1"/>
  <c r="H1373" i="1" s="1"/>
  <c r="E1374" i="1"/>
  <c r="H1374" i="1" s="1"/>
  <c r="E1375" i="1"/>
  <c r="H1375" i="1" s="1"/>
  <c r="E1376" i="1"/>
  <c r="H1376" i="1" s="1"/>
  <c r="E1377" i="1"/>
  <c r="H1377" i="1" s="1"/>
  <c r="E1378" i="1"/>
  <c r="E1379" i="1"/>
  <c r="E1380" i="1"/>
  <c r="E1381" i="1"/>
  <c r="E1382" i="1"/>
  <c r="E1383" i="1"/>
  <c r="E1384" i="1"/>
  <c r="E1385" i="1"/>
  <c r="H1385" i="1" s="1"/>
  <c r="E1386" i="1"/>
  <c r="H1386" i="1" s="1"/>
  <c r="E1387" i="1"/>
  <c r="H1387" i="1" s="1"/>
  <c r="E1388" i="1"/>
  <c r="H1388" i="1" s="1"/>
  <c r="E1389" i="1"/>
  <c r="H1389" i="1" s="1"/>
  <c r="E1390" i="1"/>
  <c r="E1391" i="1"/>
  <c r="E1392" i="1"/>
  <c r="E1393" i="1"/>
  <c r="E1394" i="1"/>
  <c r="E1395" i="1"/>
  <c r="E1396" i="1"/>
  <c r="E1397" i="1"/>
  <c r="H1397" i="1" s="1"/>
  <c r="E1398" i="1"/>
  <c r="H1398" i="1" s="1"/>
  <c r="E1399" i="1"/>
  <c r="H1399" i="1" s="1"/>
  <c r="E1400" i="1"/>
  <c r="H1400" i="1" s="1"/>
  <c r="E1401" i="1"/>
  <c r="H1401" i="1" s="1"/>
  <c r="E1402" i="1"/>
  <c r="E1403" i="1"/>
  <c r="E1404" i="1"/>
  <c r="E1405" i="1"/>
  <c r="E1406" i="1"/>
  <c r="E1407" i="1"/>
  <c r="E1408" i="1"/>
  <c r="E1409" i="1"/>
  <c r="H1409" i="1" s="1"/>
  <c r="E1410" i="1"/>
  <c r="H1410" i="1" s="1"/>
  <c r="E1411" i="1"/>
  <c r="H1411" i="1" s="1"/>
  <c r="E1412" i="1"/>
  <c r="H1412" i="1" s="1"/>
  <c r="E1413" i="1"/>
  <c r="H1413" i="1" s="1"/>
  <c r="E1414" i="1"/>
  <c r="E1415" i="1"/>
  <c r="E1416" i="1"/>
  <c r="E1417" i="1"/>
  <c r="E1418" i="1"/>
  <c r="E1419" i="1"/>
  <c r="E1420" i="1"/>
  <c r="E1421" i="1"/>
  <c r="H1421" i="1" s="1"/>
  <c r="E1422" i="1"/>
  <c r="H1422" i="1" s="1"/>
  <c r="E1423" i="1"/>
  <c r="H1423" i="1" s="1"/>
  <c r="E1424" i="1"/>
  <c r="H1424" i="1" s="1"/>
  <c r="E1425" i="1"/>
  <c r="H1425" i="1" s="1"/>
  <c r="E1426" i="1"/>
  <c r="E1427" i="1"/>
  <c r="E1428" i="1"/>
  <c r="E1429" i="1"/>
  <c r="E1430" i="1"/>
  <c r="E1431" i="1"/>
  <c r="E1432" i="1"/>
  <c r="E1433" i="1"/>
  <c r="H1433" i="1" s="1"/>
  <c r="E1434" i="1"/>
  <c r="H1434" i="1" s="1"/>
  <c r="E1435" i="1"/>
  <c r="H1435" i="1" s="1"/>
  <c r="E1436" i="1"/>
  <c r="H1436" i="1" s="1"/>
  <c r="E1437" i="1"/>
  <c r="H1437" i="1" s="1"/>
  <c r="E1438" i="1"/>
  <c r="E1439" i="1"/>
  <c r="E1440" i="1"/>
  <c r="E1441" i="1"/>
  <c r="E1442" i="1"/>
  <c r="E1443" i="1"/>
  <c r="E1444" i="1"/>
  <c r="E1445" i="1"/>
  <c r="H1445" i="1" s="1"/>
  <c r="E1446" i="1"/>
  <c r="H1446" i="1" s="1"/>
  <c r="E1447" i="1"/>
  <c r="H1447" i="1" s="1"/>
  <c r="E1448" i="1"/>
  <c r="H1448" i="1" s="1"/>
  <c r="E1449" i="1"/>
  <c r="H1449" i="1" s="1"/>
  <c r="E1450" i="1"/>
  <c r="E1451" i="1"/>
  <c r="E1452" i="1"/>
  <c r="E1453" i="1"/>
  <c r="E1454" i="1"/>
  <c r="E1455" i="1"/>
  <c r="E1456" i="1"/>
  <c r="E1457" i="1"/>
  <c r="H1457" i="1" s="1"/>
  <c r="E1458" i="1"/>
  <c r="H1458" i="1" s="1"/>
  <c r="E1459" i="1"/>
  <c r="H1459" i="1" s="1"/>
  <c r="E1460" i="1"/>
  <c r="H1460" i="1" s="1"/>
  <c r="E1461" i="1"/>
  <c r="H1461" i="1" s="1"/>
  <c r="E1462" i="1"/>
  <c r="E1463" i="1"/>
  <c r="E1464" i="1"/>
  <c r="E1465" i="1"/>
  <c r="E1466" i="1"/>
  <c r="E1467" i="1"/>
  <c r="E1468" i="1"/>
  <c r="E1469" i="1"/>
  <c r="H1469" i="1" s="1"/>
  <c r="E1470" i="1"/>
  <c r="H1470" i="1" s="1"/>
  <c r="E1471" i="1"/>
  <c r="H1471" i="1" s="1"/>
  <c r="G2" i="1"/>
  <c r="F2" i="1"/>
  <c r="E2" i="1"/>
  <c r="D19" i="1"/>
  <c r="G19" i="1" s="1"/>
  <c r="D20" i="1"/>
  <c r="G20" i="1" s="1"/>
  <c r="D21" i="1"/>
  <c r="G21" i="1" s="1"/>
  <c r="D22" i="1"/>
  <c r="G22" i="1" s="1"/>
  <c r="D23" i="1"/>
  <c r="G23" i="1" s="1"/>
  <c r="D24" i="1"/>
  <c r="G24" i="1" s="1"/>
  <c r="D25" i="1"/>
  <c r="G25" i="1" s="1"/>
  <c r="D26" i="1"/>
  <c r="G26" i="1" s="1"/>
  <c r="D27" i="1"/>
  <c r="G27" i="1" s="1"/>
  <c r="D28" i="1"/>
  <c r="G28" i="1" s="1"/>
  <c r="D29" i="1"/>
  <c r="G29" i="1" s="1"/>
  <c r="D30" i="1"/>
  <c r="G30" i="1" s="1"/>
  <c r="D31" i="1"/>
  <c r="G31" i="1" s="1"/>
  <c r="D32" i="1"/>
  <c r="G32" i="1" s="1"/>
  <c r="D33" i="1"/>
  <c r="G33" i="1" s="1"/>
  <c r="D34" i="1"/>
  <c r="G34" i="1" s="1"/>
  <c r="D35" i="1"/>
  <c r="G35" i="1" s="1"/>
  <c r="D36" i="1"/>
  <c r="G36" i="1" s="1"/>
  <c r="D37" i="1"/>
  <c r="G37" i="1" s="1"/>
  <c r="D38" i="1"/>
  <c r="G38" i="1" s="1"/>
  <c r="D39" i="1"/>
  <c r="G39" i="1" s="1"/>
  <c r="D40" i="1"/>
  <c r="G40" i="1" s="1"/>
  <c r="D41" i="1"/>
  <c r="G41" i="1" s="1"/>
  <c r="D42" i="1"/>
  <c r="G42" i="1" s="1"/>
  <c r="D43" i="1"/>
  <c r="G43" i="1" s="1"/>
  <c r="D44" i="1"/>
  <c r="G44" i="1" s="1"/>
  <c r="D45" i="1"/>
  <c r="G45" i="1" s="1"/>
  <c r="D46" i="1"/>
  <c r="G46" i="1" s="1"/>
  <c r="D47" i="1"/>
  <c r="G47" i="1" s="1"/>
  <c r="D48" i="1"/>
  <c r="G48" i="1" s="1"/>
  <c r="D49" i="1"/>
  <c r="G49" i="1" s="1"/>
  <c r="D50" i="1"/>
  <c r="G50" i="1" s="1"/>
  <c r="D51" i="1"/>
  <c r="G51" i="1" s="1"/>
  <c r="D52" i="1"/>
  <c r="G52" i="1" s="1"/>
  <c r="D53" i="1"/>
  <c r="G53" i="1" s="1"/>
  <c r="D54" i="1"/>
  <c r="G54" i="1" s="1"/>
  <c r="D55" i="1"/>
  <c r="G55" i="1" s="1"/>
  <c r="D56" i="1"/>
  <c r="G56" i="1" s="1"/>
  <c r="D57" i="1"/>
  <c r="G57" i="1" s="1"/>
  <c r="D58" i="1"/>
  <c r="G58" i="1" s="1"/>
  <c r="D59" i="1"/>
  <c r="G59" i="1" s="1"/>
  <c r="D60" i="1"/>
  <c r="G60" i="1" s="1"/>
  <c r="D61" i="1"/>
  <c r="G61" i="1" s="1"/>
  <c r="D62" i="1"/>
  <c r="G62" i="1" s="1"/>
  <c r="D63" i="1"/>
  <c r="G63" i="1" s="1"/>
  <c r="D64" i="1"/>
  <c r="G64" i="1" s="1"/>
  <c r="D65" i="1"/>
  <c r="G65" i="1" s="1"/>
  <c r="D66" i="1"/>
  <c r="G66" i="1" s="1"/>
  <c r="D67" i="1"/>
  <c r="G67" i="1" s="1"/>
  <c r="D68" i="1"/>
  <c r="G68" i="1" s="1"/>
  <c r="D69" i="1"/>
  <c r="G69" i="1" s="1"/>
  <c r="D70" i="1"/>
  <c r="G70" i="1" s="1"/>
  <c r="D71" i="1"/>
  <c r="G71" i="1" s="1"/>
  <c r="D72" i="1"/>
  <c r="G72" i="1" s="1"/>
  <c r="D73" i="1"/>
  <c r="G73" i="1" s="1"/>
  <c r="D74" i="1"/>
  <c r="G74" i="1" s="1"/>
  <c r="D75" i="1"/>
  <c r="G75" i="1" s="1"/>
  <c r="D76" i="1"/>
  <c r="G76" i="1" s="1"/>
  <c r="D77" i="1"/>
  <c r="G77" i="1" s="1"/>
  <c r="D78" i="1"/>
  <c r="G78" i="1" s="1"/>
  <c r="D79" i="1"/>
  <c r="G79" i="1" s="1"/>
  <c r="D80" i="1"/>
  <c r="G80" i="1" s="1"/>
  <c r="D81" i="1"/>
  <c r="G81" i="1" s="1"/>
  <c r="D82" i="1"/>
  <c r="G82" i="1" s="1"/>
  <c r="D83" i="1"/>
  <c r="G83" i="1" s="1"/>
  <c r="D84" i="1"/>
  <c r="G84" i="1" s="1"/>
  <c r="D85" i="1"/>
  <c r="G85" i="1" s="1"/>
  <c r="D86" i="1"/>
  <c r="G86" i="1" s="1"/>
  <c r="D87" i="1"/>
  <c r="G87" i="1" s="1"/>
  <c r="D88" i="1"/>
  <c r="G88" i="1" s="1"/>
  <c r="D89" i="1"/>
  <c r="G89" i="1" s="1"/>
  <c r="D90" i="1"/>
  <c r="G90" i="1" s="1"/>
  <c r="D91" i="1"/>
  <c r="G91" i="1" s="1"/>
  <c r="D92" i="1"/>
  <c r="G92" i="1" s="1"/>
  <c r="D93" i="1"/>
  <c r="G93" i="1" s="1"/>
  <c r="D94" i="1"/>
  <c r="G94" i="1" s="1"/>
  <c r="D95" i="1"/>
  <c r="G95" i="1" s="1"/>
  <c r="D96" i="1"/>
  <c r="G96" i="1" s="1"/>
  <c r="D97" i="1"/>
  <c r="G97" i="1" s="1"/>
  <c r="D98" i="1"/>
  <c r="G98" i="1" s="1"/>
  <c r="D99" i="1"/>
  <c r="G99" i="1" s="1"/>
  <c r="D100" i="1"/>
  <c r="G100" i="1" s="1"/>
  <c r="D101" i="1"/>
  <c r="G101" i="1" s="1"/>
  <c r="D102" i="1"/>
  <c r="G102" i="1" s="1"/>
  <c r="D103" i="1"/>
  <c r="G103" i="1" s="1"/>
  <c r="D104" i="1"/>
  <c r="G104" i="1" s="1"/>
  <c r="D105" i="1"/>
  <c r="G105" i="1" s="1"/>
  <c r="D106" i="1"/>
  <c r="G106" i="1" s="1"/>
  <c r="D107" i="1"/>
  <c r="G107" i="1" s="1"/>
  <c r="D108" i="1"/>
  <c r="G108" i="1" s="1"/>
  <c r="D109" i="1"/>
  <c r="G109" i="1" s="1"/>
  <c r="D110" i="1"/>
  <c r="G110" i="1" s="1"/>
  <c r="D111" i="1"/>
  <c r="G111" i="1" s="1"/>
  <c r="D112" i="1"/>
  <c r="G112" i="1" s="1"/>
  <c r="D113" i="1"/>
  <c r="G113" i="1" s="1"/>
  <c r="I113" i="1" s="1"/>
  <c r="D114" i="1"/>
  <c r="G114" i="1" s="1"/>
  <c r="D115" i="1"/>
  <c r="G115" i="1" s="1"/>
  <c r="D116" i="1"/>
  <c r="G116" i="1" s="1"/>
  <c r="D117" i="1"/>
  <c r="G117" i="1" s="1"/>
  <c r="D118" i="1"/>
  <c r="G118" i="1" s="1"/>
  <c r="D119" i="1"/>
  <c r="G119" i="1" s="1"/>
  <c r="D120" i="1"/>
  <c r="G120" i="1" s="1"/>
  <c r="D121" i="1"/>
  <c r="G121" i="1" s="1"/>
  <c r="D122" i="1"/>
  <c r="G122" i="1" s="1"/>
  <c r="D123" i="1"/>
  <c r="G123" i="1" s="1"/>
  <c r="D124" i="1"/>
  <c r="G124" i="1" s="1"/>
  <c r="D125" i="1"/>
  <c r="G125" i="1" s="1"/>
  <c r="D126" i="1"/>
  <c r="G126" i="1" s="1"/>
  <c r="D127" i="1"/>
  <c r="G127" i="1" s="1"/>
  <c r="D128" i="1"/>
  <c r="G128" i="1" s="1"/>
  <c r="D129" i="1"/>
  <c r="G129" i="1" s="1"/>
  <c r="D130" i="1"/>
  <c r="G130" i="1" s="1"/>
  <c r="D131" i="1"/>
  <c r="G131" i="1" s="1"/>
  <c r="D132" i="1"/>
  <c r="G132" i="1" s="1"/>
  <c r="D133" i="1"/>
  <c r="G133" i="1" s="1"/>
  <c r="D134" i="1"/>
  <c r="G134" i="1" s="1"/>
  <c r="D135" i="1"/>
  <c r="G135" i="1" s="1"/>
  <c r="D136" i="1"/>
  <c r="G136" i="1" s="1"/>
  <c r="D137" i="1"/>
  <c r="G137" i="1" s="1"/>
  <c r="D138" i="1"/>
  <c r="G138" i="1" s="1"/>
  <c r="D139" i="1"/>
  <c r="G139" i="1" s="1"/>
  <c r="D140" i="1"/>
  <c r="G140" i="1" s="1"/>
  <c r="D141" i="1"/>
  <c r="G141" i="1" s="1"/>
  <c r="D142" i="1"/>
  <c r="G142" i="1" s="1"/>
  <c r="D143" i="1"/>
  <c r="G143" i="1" s="1"/>
  <c r="D144" i="1"/>
  <c r="G144" i="1" s="1"/>
  <c r="D145" i="1"/>
  <c r="G145" i="1" s="1"/>
  <c r="D146" i="1"/>
  <c r="G146" i="1" s="1"/>
  <c r="D147" i="1"/>
  <c r="G147" i="1" s="1"/>
  <c r="D148" i="1"/>
  <c r="G148" i="1" s="1"/>
  <c r="D149" i="1"/>
  <c r="G149" i="1" s="1"/>
  <c r="D150" i="1"/>
  <c r="G150" i="1" s="1"/>
  <c r="D151" i="1"/>
  <c r="G151" i="1" s="1"/>
  <c r="D152" i="1"/>
  <c r="G152" i="1" s="1"/>
  <c r="D153" i="1"/>
  <c r="G153" i="1" s="1"/>
  <c r="D154" i="1"/>
  <c r="G154" i="1" s="1"/>
  <c r="D155" i="1"/>
  <c r="G155" i="1" s="1"/>
  <c r="D156" i="1"/>
  <c r="G156" i="1" s="1"/>
  <c r="D157" i="1"/>
  <c r="G157" i="1" s="1"/>
  <c r="D158" i="1"/>
  <c r="G158" i="1" s="1"/>
  <c r="D159" i="1"/>
  <c r="G159" i="1" s="1"/>
  <c r="D160" i="1"/>
  <c r="G160" i="1" s="1"/>
  <c r="D161" i="1"/>
  <c r="G161" i="1" s="1"/>
  <c r="D162" i="1"/>
  <c r="G162" i="1" s="1"/>
  <c r="D163" i="1"/>
  <c r="G163" i="1" s="1"/>
  <c r="D164" i="1"/>
  <c r="G164" i="1" s="1"/>
  <c r="D165" i="1"/>
  <c r="G165" i="1" s="1"/>
  <c r="D166" i="1"/>
  <c r="G166" i="1" s="1"/>
  <c r="D167" i="1"/>
  <c r="G167" i="1" s="1"/>
  <c r="D168" i="1"/>
  <c r="G168" i="1" s="1"/>
  <c r="D169" i="1"/>
  <c r="G169" i="1" s="1"/>
  <c r="D170" i="1"/>
  <c r="G170" i="1" s="1"/>
  <c r="D171" i="1"/>
  <c r="G171" i="1" s="1"/>
  <c r="D172" i="1"/>
  <c r="G172" i="1" s="1"/>
  <c r="D173" i="1"/>
  <c r="G173" i="1" s="1"/>
  <c r="D174" i="1"/>
  <c r="G174" i="1" s="1"/>
  <c r="D175" i="1"/>
  <c r="G175" i="1" s="1"/>
  <c r="D176" i="1"/>
  <c r="G176" i="1" s="1"/>
  <c r="D177" i="1"/>
  <c r="G177" i="1" s="1"/>
  <c r="D178" i="1"/>
  <c r="G178" i="1" s="1"/>
  <c r="D179" i="1"/>
  <c r="G179" i="1" s="1"/>
  <c r="D180" i="1"/>
  <c r="G180" i="1" s="1"/>
  <c r="D181" i="1"/>
  <c r="G181" i="1" s="1"/>
  <c r="D182" i="1"/>
  <c r="G182" i="1" s="1"/>
  <c r="D183" i="1"/>
  <c r="G183" i="1" s="1"/>
  <c r="D184" i="1"/>
  <c r="G184" i="1" s="1"/>
  <c r="D185" i="1"/>
  <c r="G185" i="1" s="1"/>
  <c r="D186" i="1"/>
  <c r="G186" i="1" s="1"/>
  <c r="D187" i="1"/>
  <c r="G187" i="1" s="1"/>
  <c r="D188" i="1"/>
  <c r="G188" i="1" s="1"/>
  <c r="D189" i="1"/>
  <c r="G189" i="1" s="1"/>
  <c r="D190" i="1"/>
  <c r="G190" i="1" s="1"/>
  <c r="D191" i="1"/>
  <c r="G191" i="1" s="1"/>
  <c r="D192" i="1"/>
  <c r="G192" i="1" s="1"/>
  <c r="D193" i="1"/>
  <c r="G193" i="1" s="1"/>
  <c r="D194" i="1"/>
  <c r="G194" i="1" s="1"/>
  <c r="D195" i="1"/>
  <c r="G195" i="1" s="1"/>
  <c r="D196" i="1"/>
  <c r="G196" i="1" s="1"/>
  <c r="D197" i="1"/>
  <c r="G197" i="1" s="1"/>
  <c r="D198" i="1"/>
  <c r="G198" i="1" s="1"/>
  <c r="D199" i="1"/>
  <c r="G199" i="1" s="1"/>
  <c r="D200" i="1"/>
  <c r="G200" i="1" s="1"/>
  <c r="D201" i="1"/>
  <c r="G201" i="1" s="1"/>
  <c r="D202" i="1"/>
  <c r="G202" i="1" s="1"/>
  <c r="D203" i="1"/>
  <c r="G203" i="1" s="1"/>
  <c r="D204" i="1"/>
  <c r="G204" i="1" s="1"/>
  <c r="D205" i="1"/>
  <c r="G205" i="1" s="1"/>
  <c r="D206" i="1"/>
  <c r="G206" i="1" s="1"/>
  <c r="D207" i="1"/>
  <c r="G207" i="1" s="1"/>
  <c r="D208" i="1"/>
  <c r="G208" i="1" s="1"/>
  <c r="D209" i="1"/>
  <c r="G209" i="1" s="1"/>
  <c r="D210" i="1"/>
  <c r="G210" i="1" s="1"/>
  <c r="D211" i="1"/>
  <c r="G211" i="1" s="1"/>
  <c r="D212" i="1"/>
  <c r="G212" i="1" s="1"/>
  <c r="D213" i="1"/>
  <c r="G213" i="1" s="1"/>
  <c r="D214" i="1"/>
  <c r="G214" i="1" s="1"/>
  <c r="D215" i="1"/>
  <c r="G215" i="1" s="1"/>
  <c r="D216" i="1"/>
  <c r="G216" i="1" s="1"/>
  <c r="D217" i="1"/>
  <c r="G217" i="1" s="1"/>
  <c r="D218" i="1"/>
  <c r="G218" i="1" s="1"/>
  <c r="D219" i="1"/>
  <c r="G219" i="1" s="1"/>
  <c r="D220" i="1"/>
  <c r="G220" i="1" s="1"/>
  <c r="D221" i="1"/>
  <c r="G221" i="1" s="1"/>
  <c r="D222" i="1"/>
  <c r="G222" i="1" s="1"/>
  <c r="D223" i="1"/>
  <c r="G223" i="1" s="1"/>
  <c r="D224" i="1"/>
  <c r="G224" i="1" s="1"/>
  <c r="D225" i="1"/>
  <c r="G225" i="1" s="1"/>
  <c r="D226" i="1"/>
  <c r="G226" i="1" s="1"/>
  <c r="D227" i="1"/>
  <c r="G227" i="1" s="1"/>
  <c r="D228" i="1"/>
  <c r="G228" i="1" s="1"/>
  <c r="D229" i="1"/>
  <c r="G229" i="1" s="1"/>
  <c r="D230" i="1"/>
  <c r="G230" i="1" s="1"/>
  <c r="D231" i="1"/>
  <c r="G231" i="1" s="1"/>
  <c r="D232" i="1"/>
  <c r="G232" i="1" s="1"/>
  <c r="D233" i="1"/>
  <c r="G233" i="1" s="1"/>
  <c r="D234" i="1"/>
  <c r="G234" i="1" s="1"/>
  <c r="D235" i="1"/>
  <c r="G235" i="1" s="1"/>
  <c r="D236" i="1"/>
  <c r="G236" i="1" s="1"/>
  <c r="D237" i="1"/>
  <c r="G237" i="1" s="1"/>
  <c r="D238" i="1"/>
  <c r="G238" i="1" s="1"/>
  <c r="D239" i="1"/>
  <c r="G239" i="1" s="1"/>
  <c r="D240" i="1"/>
  <c r="G240" i="1" s="1"/>
  <c r="D241" i="1"/>
  <c r="G241" i="1" s="1"/>
  <c r="D242" i="1"/>
  <c r="G242" i="1" s="1"/>
  <c r="D243" i="1"/>
  <c r="G243" i="1" s="1"/>
  <c r="D244" i="1"/>
  <c r="G244" i="1" s="1"/>
  <c r="D245" i="1"/>
  <c r="G245" i="1" s="1"/>
  <c r="D246" i="1"/>
  <c r="G246" i="1" s="1"/>
  <c r="D247" i="1"/>
  <c r="G247" i="1" s="1"/>
  <c r="D248" i="1"/>
  <c r="G248" i="1" s="1"/>
  <c r="D249" i="1"/>
  <c r="G249" i="1" s="1"/>
  <c r="D250" i="1"/>
  <c r="G250" i="1" s="1"/>
  <c r="D251" i="1"/>
  <c r="G251" i="1" s="1"/>
  <c r="D252" i="1"/>
  <c r="G252" i="1" s="1"/>
  <c r="D253" i="1"/>
  <c r="G253" i="1" s="1"/>
  <c r="D254" i="1"/>
  <c r="G254" i="1" s="1"/>
  <c r="D255" i="1"/>
  <c r="G255" i="1" s="1"/>
  <c r="D256" i="1"/>
  <c r="G256" i="1" s="1"/>
  <c r="D257" i="1"/>
  <c r="G257" i="1" s="1"/>
  <c r="D258" i="1"/>
  <c r="G258" i="1" s="1"/>
  <c r="D259" i="1"/>
  <c r="G259" i="1" s="1"/>
  <c r="D260" i="1"/>
  <c r="G260" i="1" s="1"/>
  <c r="D261" i="1"/>
  <c r="G261" i="1" s="1"/>
  <c r="D262" i="1"/>
  <c r="G262" i="1" s="1"/>
  <c r="D263" i="1"/>
  <c r="G263" i="1" s="1"/>
  <c r="D264" i="1"/>
  <c r="G264" i="1" s="1"/>
  <c r="D265" i="1"/>
  <c r="G265" i="1" s="1"/>
  <c r="D266" i="1"/>
  <c r="G266" i="1" s="1"/>
  <c r="D267" i="1"/>
  <c r="G267" i="1" s="1"/>
  <c r="D268" i="1"/>
  <c r="G268" i="1" s="1"/>
  <c r="D269" i="1"/>
  <c r="G269" i="1" s="1"/>
  <c r="D270" i="1"/>
  <c r="G270" i="1" s="1"/>
  <c r="D271" i="1"/>
  <c r="G271" i="1" s="1"/>
  <c r="D272" i="1"/>
  <c r="G272" i="1" s="1"/>
  <c r="D273" i="1"/>
  <c r="G273" i="1" s="1"/>
  <c r="D274" i="1"/>
  <c r="G274" i="1" s="1"/>
  <c r="D275" i="1"/>
  <c r="G275" i="1" s="1"/>
  <c r="D276" i="1"/>
  <c r="G276" i="1" s="1"/>
  <c r="D277" i="1"/>
  <c r="G277" i="1" s="1"/>
  <c r="D278" i="1"/>
  <c r="G278" i="1" s="1"/>
  <c r="D279" i="1"/>
  <c r="G279" i="1" s="1"/>
  <c r="D280" i="1"/>
  <c r="G280" i="1" s="1"/>
  <c r="D281" i="1"/>
  <c r="G281" i="1" s="1"/>
  <c r="D282" i="1"/>
  <c r="G282" i="1" s="1"/>
  <c r="D283" i="1"/>
  <c r="G283" i="1" s="1"/>
  <c r="D284" i="1"/>
  <c r="G284" i="1" s="1"/>
  <c r="D285" i="1"/>
  <c r="G285" i="1" s="1"/>
  <c r="D286" i="1"/>
  <c r="G286" i="1" s="1"/>
  <c r="D287" i="1"/>
  <c r="G287" i="1" s="1"/>
  <c r="D288" i="1"/>
  <c r="G288" i="1" s="1"/>
  <c r="D289" i="1"/>
  <c r="G289" i="1" s="1"/>
  <c r="D290" i="1"/>
  <c r="G290" i="1" s="1"/>
  <c r="D291" i="1"/>
  <c r="G291" i="1" s="1"/>
  <c r="D292" i="1"/>
  <c r="G292" i="1" s="1"/>
  <c r="D293" i="1"/>
  <c r="G293" i="1" s="1"/>
  <c r="D294" i="1"/>
  <c r="G294" i="1" s="1"/>
  <c r="D295" i="1"/>
  <c r="G295" i="1" s="1"/>
  <c r="D296" i="1"/>
  <c r="G296" i="1" s="1"/>
  <c r="D297" i="1"/>
  <c r="G297" i="1" s="1"/>
  <c r="D298" i="1"/>
  <c r="G298" i="1" s="1"/>
  <c r="D299" i="1"/>
  <c r="G299" i="1" s="1"/>
  <c r="D300" i="1"/>
  <c r="G300" i="1" s="1"/>
  <c r="D301" i="1"/>
  <c r="G301" i="1" s="1"/>
  <c r="D302" i="1"/>
  <c r="G302" i="1" s="1"/>
  <c r="D303" i="1"/>
  <c r="G303" i="1" s="1"/>
  <c r="D304" i="1"/>
  <c r="G304" i="1" s="1"/>
  <c r="D305" i="1"/>
  <c r="G305" i="1" s="1"/>
  <c r="D306" i="1"/>
  <c r="G306" i="1" s="1"/>
  <c r="D307" i="1"/>
  <c r="G307" i="1" s="1"/>
  <c r="D308" i="1"/>
  <c r="G308" i="1" s="1"/>
  <c r="D309" i="1"/>
  <c r="G309" i="1" s="1"/>
  <c r="D310" i="1"/>
  <c r="G310" i="1" s="1"/>
  <c r="D311" i="1"/>
  <c r="G311" i="1" s="1"/>
  <c r="D312" i="1"/>
  <c r="G312" i="1" s="1"/>
  <c r="D313" i="1"/>
  <c r="G313" i="1" s="1"/>
  <c r="D314" i="1"/>
  <c r="G314" i="1" s="1"/>
  <c r="D315" i="1"/>
  <c r="G315" i="1" s="1"/>
  <c r="D316" i="1"/>
  <c r="G316" i="1" s="1"/>
  <c r="D317" i="1"/>
  <c r="G317" i="1" s="1"/>
  <c r="D318" i="1"/>
  <c r="G318" i="1" s="1"/>
  <c r="D319" i="1"/>
  <c r="G319" i="1" s="1"/>
  <c r="D320" i="1"/>
  <c r="G320" i="1" s="1"/>
  <c r="D321" i="1"/>
  <c r="G321" i="1" s="1"/>
  <c r="D322" i="1"/>
  <c r="G322" i="1" s="1"/>
  <c r="D323" i="1"/>
  <c r="G323" i="1" s="1"/>
  <c r="D324" i="1"/>
  <c r="G324" i="1" s="1"/>
  <c r="D325" i="1"/>
  <c r="G325" i="1" s="1"/>
  <c r="D326" i="1"/>
  <c r="G326" i="1" s="1"/>
  <c r="D327" i="1"/>
  <c r="G327" i="1" s="1"/>
  <c r="D328" i="1"/>
  <c r="G328" i="1" s="1"/>
  <c r="D329" i="1"/>
  <c r="G329" i="1" s="1"/>
  <c r="D330" i="1"/>
  <c r="G330" i="1" s="1"/>
  <c r="D331" i="1"/>
  <c r="G331" i="1" s="1"/>
  <c r="D332" i="1"/>
  <c r="G332" i="1" s="1"/>
  <c r="D333" i="1"/>
  <c r="G333" i="1" s="1"/>
  <c r="D334" i="1"/>
  <c r="G334" i="1" s="1"/>
  <c r="D335" i="1"/>
  <c r="G335" i="1" s="1"/>
  <c r="D336" i="1"/>
  <c r="G336" i="1" s="1"/>
  <c r="D337" i="1"/>
  <c r="G337" i="1" s="1"/>
  <c r="D338" i="1"/>
  <c r="G338" i="1" s="1"/>
  <c r="D339" i="1"/>
  <c r="G339" i="1" s="1"/>
  <c r="D340" i="1"/>
  <c r="G340" i="1" s="1"/>
  <c r="D341" i="1"/>
  <c r="G341" i="1" s="1"/>
  <c r="D342" i="1"/>
  <c r="G342" i="1" s="1"/>
  <c r="D343" i="1"/>
  <c r="G343" i="1" s="1"/>
  <c r="D344" i="1"/>
  <c r="G344" i="1" s="1"/>
  <c r="D345" i="1"/>
  <c r="G345" i="1" s="1"/>
  <c r="D346" i="1"/>
  <c r="G346" i="1" s="1"/>
  <c r="D347" i="1"/>
  <c r="G347" i="1" s="1"/>
  <c r="D348" i="1"/>
  <c r="G348" i="1" s="1"/>
  <c r="D349" i="1"/>
  <c r="G349" i="1" s="1"/>
  <c r="D350" i="1"/>
  <c r="G350" i="1" s="1"/>
  <c r="D351" i="1"/>
  <c r="G351" i="1" s="1"/>
  <c r="D352" i="1"/>
  <c r="G352" i="1" s="1"/>
  <c r="D353" i="1"/>
  <c r="G353" i="1" s="1"/>
  <c r="D354" i="1"/>
  <c r="G354" i="1" s="1"/>
  <c r="D355" i="1"/>
  <c r="G355" i="1" s="1"/>
  <c r="D356" i="1"/>
  <c r="G356" i="1" s="1"/>
  <c r="D357" i="1"/>
  <c r="G357" i="1" s="1"/>
  <c r="D358" i="1"/>
  <c r="G358" i="1" s="1"/>
  <c r="D359" i="1"/>
  <c r="G359" i="1" s="1"/>
  <c r="D360" i="1"/>
  <c r="G360" i="1" s="1"/>
  <c r="D361" i="1"/>
  <c r="G361" i="1" s="1"/>
  <c r="D362" i="1"/>
  <c r="G362" i="1" s="1"/>
  <c r="D363" i="1"/>
  <c r="G363" i="1" s="1"/>
  <c r="D364" i="1"/>
  <c r="G364" i="1" s="1"/>
  <c r="D365" i="1"/>
  <c r="G365" i="1" s="1"/>
  <c r="I365" i="1" s="1"/>
  <c r="D366" i="1"/>
  <c r="G366" i="1" s="1"/>
  <c r="D367" i="1"/>
  <c r="G367" i="1" s="1"/>
  <c r="D368" i="1"/>
  <c r="G368" i="1" s="1"/>
  <c r="D369" i="1"/>
  <c r="G369" i="1" s="1"/>
  <c r="D370" i="1"/>
  <c r="G370" i="1" s="1"/>
  <c r="D371" i="1"/>
  <c r="G371" i="1" s="1"/>
  <c r="D372" i="1"/>
  <c r="G372" i="1" s="1"/>
  <c r="D373" i="1"/>
  <c r="G373" i="1" s="1"/>
  <c r="D374" i="1"/>
  <c r="G374" i="1" s="1"/>
  <c r="D375" i="1"/>
  <c r="G375" i="1" s="1"/>
  <c r="D376" i="1"/>
  <c r="G376" i="1" s="1"/>
  <c r="D377" i="1"/>
  <c r="G377" i="1" s="1"/>
  <c r="D378" i="1"/>
  <c r="G378" i="1" s="1"/>
  <c r="D379" i="1"/>
  <c r="G379" i="1" s="1"/>
  <c r="D380" i="1"/>
  <c r="G380" i="1" s="1"/>
  <c r="D381" i="1"/>
  <c r="G381" i="1" s="1"/>
  <c r="D382" i="1"/>
  <c r="G382" i="1" s="1"/>
  <c r="D383" i="1"/>
  <c r="G383" i="1" s="1"/>
  <c r="D384" i="1"/>
  <c r="G384" i="1" s="1"/>
  <c r="D385" i="1"/>
  <c r="G385" i="1" s="1"/>
  <c r="D386" i="1"/>
  <c r="G386" i="1" s="1"/>
  <c r="D387" i="1"/>
  <c r="G387" i="1" s="1"/>
  <c r="D388" i="1"/>
  <c r="G388" i="1" s="1"/>
  <c r="D389" i="1"/>
  <c r="G389" i="1" s="1"/>
  <c r="D390" i="1"/>
  <c r="G390" i="1" s="1"/>
  <c r="D391" i="1"/>
  <c r="G391" i="1" s="1"/>
  <c r="D392" i="1"/>
  <c r="G392" i="1" s="1"/>
  <c r="D393" i="1"/>
  <c r="G393" i="1" s="1"/>
  <c r="D394" i="1"/>
  <c r="G394" i="1" s="1"/>
  <c r="D395" i="1"/>
  <c r="G395" i="1" s="1"/>
  <c r="D396" i="1"/>
  <c r="G396" i="1" s="1"/>
  <c r="D397" i="1"/>
  <c r="G397" i="1" s="1"/>
  <c r="D398" i="1"/>
  <c r="G398" i="1" s="1"/>
  <c r="D399" i="1"/>
  <c r="G399" i="1" s="1"/>
  <c r="D400" i="1"/>
  <c r="G400" i="1" s="1"/>
  <c r="D401" i="1"/>
  <c r="G401" i="1" s="1"/>
  <c r="D402" i="1"/>
  <c r="G402" i="1" s="1"/>
  <c r="D403" i="1"/>
  <c r="G403" i="1" s="1"/>
  <c r="D404" i="1"/>
  <c r="G404" i="1" s="1"/>
  <c r="D405" i="1"/>
  <c r="G405" i="1" s="1"/>
  <c r="D406" i="1"/>
  <c r="G406" i="1" s="1"/>
  <c r="D407" i="1"/>
  <c r="G407" i="1" s="1"/>
  <c r="D408" i="1"/>
  <c r="G408" i="1" s="1"/>
  <c r="D409" i="1"/>
  <c r="G409" i="1" s="1"/>
  <c r="D410" i="1"/>
  <c r="G410" i="1" s="1"/>
  <c r="D411" i="1"/>
  <c r="G411" i="1" s="1"/>
  <c r="D412" i="1"/>
  <c r="G412" i="1" s="1"/>
  <c r="D413" i="1"/>
  <c r="G413" i="1" s="1"/>
  <c r="D414" i="1"/>
  <c r="G414" i="1" s="1"/>
  <c r="D415" i="1"/>
  <c r="G415" i="1" s="1"/>
  <c r="D416" i="1"/>
  <c r="G416" i="1" s="1"/>
  <c r="D417" i="1"/>
  <c r="G417" i="1" s="1"/>
  <c r="D418" i="1"/>
  <c r="G418" i="1" s="1"/>
  <c r="D419" i="1"/>
  <c r="G419" i="1" s="1"/>
  <c r="D420" i="1"/>
  <c r="G420" i="1" s="1"/>
  <c r="D421" i="1"/>
  <c r="G421" i="1" s="1"/>
  <c r="D422" i="1"/>
  <c r="G422" i="1" s="1"/>
  <c r="D423" i="1"/>
  <c r="G423" i="1" s="1"/>
  <c r="D424" i="1"/>
  <c r="G424" i="1" s="1"/>
  <c r="D425" i="1"/>
  <c r="G425" i="1" s="1"/>
  <c r="D426" i="1"/>
  <c r="G426" i="1" s="1"/>
  <c r="D427" i="1"/>
  <c r="G427" i="1" s="1"/>
  <c r="D428" i="1"/>
  <c r="G428" i="1" s="1"/>
  <c r="D429" i="1"/>
  <c r="G429" i="1" s="1"/>
  <c r="D430" i="1"/>
  <c r="G430" i="1" s="1"/>
  <c r="D431" i="1"/>
  <c r="G431" i="1" s="1"/>
  <c r="D432" i="1"/>
  <c r="G432" i="1" s="1"/>
  <c r="D433" i="1"/>
  <c r="G433" i="1" s="1"/>
  <c r="D434" i="1"/>
  <c r="G434" i="1" s="1"/>
  <c r="D435" i="1"/>
  <c r="G435" i="1" s="1"/>
  <c r="D436" i="1"/>
  <c r="G436" i="1" s="1"/>
  <c r="D437" i="1"/>
  <c r="G437" i="1" s="1"/>
  <c r="D438" i="1"/>
  <c r="G438" i="1" s="1"/>
  <c r="D439" i="1"/>
  <c r="G439" i="1" s="1"/>
  <c r="D440" i="1"/>
  <c r="G440" i="1" s="1"/>
  <c r="D441" i="1"/>
  <c r="G441" i="1" s="1"/>
  <c r="D442" i="1"/>
  <c r="G442" i="1" s="1"/>
  <c r="D443" i="1"/>
  <c r="G443" i="1" s="1"/>
  <c r="D444" i="1"/>
  <c r="G444" i="1" s="1"/>
  <c r="D445" i="1"/>
  <c r="G445" i="1" s="1"/>
  <c r="D446" i="1"/>
  <c r="G446" i="1" s="1"/>
  <c r="D447" i="1"/>
  <c r="G447" i="1" s="1"/>
  <c r="D448" i="1"/>
  <c r="G448" i="1" s="1"/>
  <c r="D449" i="1"/>
  <c r="G449" i="1" s="1"/>
  <c r="D450" i="1"/>
  <c r="G450" i="1" s="1"/>
  <c r="D451" i="1"/>
  <c r="G451" i="1" s="1"/>
  <c r="D452" i="1"/>
  <c r="G452" i="1" s="1"/>
  <c r="D453" i="1"/>
  <c r="G453" i="1" s="1"/>
  <c r="D454" i="1"/>
  <c r="G454" i="1" s="1"/>
  <c r="D455" i="1"/>
  <c r="G455" i="1" s="1"/>
  <c r="D456" i="1"/>
  <c r="G456" i="1" s="1"/>
  <c r="D457" i="1"/>
  <c r="G457" i="1" s="1"/>
  <c r="D458" i="1"/>
  <c r="G458" i="1" s="1"/>
  <c r="D459" i="1"/>
  <c r="G459" i="1" s="1"/>
  <c r="D460" i="1"/>
  <c r="G460" i="1" s="1"/>
  <c r="D461" i="1"/>
  <c r="G461" i="1" s="1"/>
  <c r="D462" i="1"/>
  <c r="G462" i="1" s="1"/>
  <c r="D463" i="1"/>
  <c r="G463" i="1" s="1"/>
  <c r="D464" i="1"/>
  <c r="G464" i="1" s="1"/>
  <c r="D465" i="1"/>
  <c r="G465" i="1" s="1"/>
  <c r="D466" i="1"/>
  <c r="G466" i="1" s="1"/>
  <c r="D467" i="1"/>
  <c r="G467" i="1" s="1"/>
  <c r="D468" i="1"/>
  <c r="G468" i="1" s="1"/>
  <c r="D469" i="1"/>
  <c r="G469" i="1" s="1"/>
  <c r="D470" i="1"/>
  <c r="G470" i="1" s="1"/>
  <c r="D471" i="1"/>
  <c r="G471" i="1" s="1"/>
  <c r="D472" i="1"/>
  <c r="G472" i="1" s="1"/>
  <c r="D473" i="1"/>
  <c r="G473" i="1" s="1"/>
  <c r="D474" i="1"/>
  <c r="G474" i="1" s="1"/>
  <c r="D475" i="1"/>
  <c r="G475" i="1" s="1"/>
  <c r="D476" i="1"/>
  <c r="G476" i="1" s="1"/>
  <c r="D477" i="1"/>
  <c r="G477" i="1" s="1"/>
  <c r="D478" i="1"/>
  <c r="G478" i="1" s="1"/>
  <c r="D479" i="1"/>
  <c r="G479" i="1" s="1"/>
  <c r="D480" i="1"/>
  <c r="G480" i="1" s="1"/>
  <c r="D481" i="1"/>
  <c r="G481" i="1" s="1"/>
  <c r="D482" i="1"/>
  <c r="G482" i="1" s="1"/>
  <c r="D483" i="1"/>
  <c r="G483" i="1" s="1"/>
  <c r="D484" i="1"/>
  <c r="G484" i="1" s="1"/>
  <c r="D485" i="1"/>
  <c r="G485" i="1" s="1"/>
  <c r="D486" i="1"/>
  <c r="G486" i="1" s="1"/>
  <c r="D487" i="1"/>
  <c r="G487" i="1" s="1"/>
  <c r="D488" i="1"/>
  <c r="G488" i="1" s="1"/>
  <c r="D489" i="1"/>
  <c r="G489" i="1" s="1"/>
  <c r="D490" i="1"/>
  <c r="G490" i="1" s="1"/>
  <c r="D491" i="1"/>
  <c r="G491" i="1" s="1"/>
  <c r="D492" i="1"/>
  <c r="G492" i="1" s="1"/>
  <c r="D493" i="1"/>
  <c r="G493" i="1" s="1"/>
  <c r="D494" i="1"/>
  <c r="G494" i="1" s="1"/>
  <c r="D495" i="1"/>
  <c r="G495" i="1" s="1"/>
  <c r="D496" i="1"/>
  <c r="G496" i="1" s="1"/>
  <c r="D497" i="1"/>
  <c r="G497" i="1" s="1"/>
  <c r="D498" i="1"/>
  <c r="G498" i="1" s="1"/>
  <c r="D499" i="1"/>
  <c r="G499" i="1" s="1"/>
  <c r="D500" i="1"/>
  <c r="G500" i="1" s="1"/>
  <c r="D501" i="1"/>
  <c r="G501" i="1" s="1"/>
  <c r="D502" i="1"/>
  <c r="G502" i="1" s="1"/>
  <c r="D503" i="1"/>
  <c r="G503" i="1" s="1"/>
  <c r="D504" i="1"/>
  <c r="G504" i="1" s="1"/>
  <c r="D505" i="1"/>
  <c r="G505" i="1" s="1"/>
  <c r="D506" i="1"/>
  <c r="G506" i="1" s="1"/>
  <c r="D507" i="1"/>
  <c r="G507" i="1" s="1"/>
  <c r="D508" i="1"/>
  <c r="G508" i="1" s="1"/>
  <c r="D509" i="1"/>
  <c r="G509" i="1" s="1"/>
  <c r="D510" i="1"/>
  <c r="G510" i="1" s="1"/>
  <c r="D511" i="1"/>
  <c r="G511" i="1" s="1"/>
  <c r="D512" i="1"/>
  <c r="G512" i="1" s="1"/>
  <c r="D513" i="1"/>
  <c r="G513" i="1" s="1"/>
  <c r="D514" i="1"/>
  <c r="G514" i="1" s="1"/>
  <c r="D515" i="1"/>
  <c r="G515" i="1" s="1"/>
  <c r="D516" i="1"/>
  <c r="G516" i="1" s="1"/>
  <c r="D517" i="1"/>
  <c r="G517" i="1" s="1"/>
  <c r="D518" i="1"/>
  <c r="G518" i="1" s="1"/>
  <c r="D519" i="1"/>
  <c r="G519" i="1" s="1"/>
  <c r="D520" i="1"/>
  <c r="G520" i="1" s="1"/>
  <c r="D521" i="1"/>
  <c r="G521" i="1" s="1"/>
  <c r="D522" i="1"/>
  <c r="G522" i="1" s="1"/>
  <c r="D523" i="1"/>
  <c r="G523" i="1" s="1"/>
  <c r="D524" i="1"/>
  <c r="G524" i="1" s="1"/>
  <c r="D525" i="1"/>
  <c r="G525" i="1" s="1"/>
  <c r="D526" i="1"/>
  <c r="G526" i="1" s="1"/>
  <c r="D527" i="1"/>
  <c r="G527" i="1" s="1"/>
  <c r="D528" i="1"/>
  <c r="G528" i="1" s="1"/>
  <c r="D529" i="1"/>
  <c r="G529" i="1" s="1"/>
  <c r="D530" i="1"/>
  <c r="G530" i="1" s="1"/>
  <c r="D531" i="1"/>
  <c r="G531" i="1" s="1"/>
  <c r="D532" i="1"/>
  <c r="G532" i="1" s="1"/>
  <c r="D533" i="1"/>
  <c r="G533" i="1" s="1"/>
  <c r="D534" i="1"/>
  <c r="G534" i="1" s="1"/>
  <c r="D535" i="1"/>
  <c r="G535" i="1" s="1"/>
  <c r="D536" i="1"/>
  <c r="G536" i="1" s="1"/>
  <c r="D537" i="1"/>
  <c r="G537" i="1" s="1"/>
  <c r="D538" i="1"/>
  <c r="G538" i="1" s="1"/>
  <c r="D539" i="1"/>
  <c r="G539" i="1" s="1"/>
  <c r="D540" i="1"/>
  <c r="G540" i="1" s="1"/>
  <c r="D541" i="1"/>
  <c r="G541" i="1" s="1"/>
  <c r="D542" i="1"/>
  <c r="G542" i="1" s="1"/>
  <c r="D543" i="1"/>
  <c r="G543" i="1" s="1"/>
  <c r="D544" i="1"/>
  <c r="G544" i="1" s="1"/>
  <c r="D545" i="1"/>
  <c r="G545" i="1" s="1"/>
  <c r="D546" i="1"/>
  <c r="G546" i="1" s="1"/>
  <c r="D547" i="1"/>
  <c r="G547" i="1" s="1"/>
  <c r="D548" i="1"/>
  <c r="G548" i="1" s="1"/>
  <c r="D549" i="1"/>
  <c r="G549" i="1" s="1"/>
  <c r="D550" i="1"/>
  <c r="G550" i="1" s="1"/>
  <c r="D551" i="1"/>
  <c r="G551" i="1" s="1"/>
  <c r="D552" i="1"/>
  <c r="G552" i="1" s="1"/>
  <c r="D553" i="1"/>
  <c r="G553" i="1" s="1"/>
  <c r="D554" i="1"/>
  <c r="G554" i="1" s="1"/>
  <c r="D555" i="1"/>
  <c r="G555" i="1" s="1"/>
  <c r="D556" i="1"/>
  <c r="G556" i="1" s="1"/>
  <c r="D557" i="1"/>
  <c r="G557" i="1" s="1"/>
  <c r="D558" i="1"/>
  <c r="G558" i="1" s="1"/>
  <c r="D559" i="1"/>
  <c r="G559" i="1" s="1"/>
  <c r="D560" i="1"/>
  <c r="G560" i="1" s="1"/>
  <c r="D561" i="1"/>
  <c r="G561" i="1" s="1"/>
  <c r="D562" i="1"/>
  <c r="G562" i="1" s="1"/>
  <c r="D563" i="1"/>
  <c r="G563" i="1" s="1"/>
  <c r="D564" i="1"/>
  <c r="G564" i="1" s="1"/>
  <c r="D565" i="1"/>
  <c r="G565" i="1" s="1"/>
  <c r="D566" i="1"/>
  <c r="G566" i="1" s="1"/>
  <c r="D567" i="1"/>
  <c r="G567" i="1" s="1"/>
  <c r="D568" i="1"/>
  <c r="G568" i="1" s="1"/>
  <c r="D569" i="1"/>
  <c r="G569" i="1" s="1"/>
  <c r="D570" i="1"/>
  <c r="G570" i="1" s="1"/>
  <c r="D571" i="1"/>
  <c r="G571" i="1" s="1"/>
  <c r="D572" i="1"/>
  <c r="G572" i="1" s="1"/>
  <c r="D573" i="1"/>
  <c r="G573" i="1" s="1"/>
  <c r="D574" i="1"/>
  <c r="G574" i="1" s="1"/>
  <c r="D575" i="1"/>
  <c r="G575" i="1" s="1"/>
  <c r="D576" i="1"/>
  <c r="G576" i="1" s="1"/>
  <c r="D577" i="1"/>
  <c r="G577" i="1" s="1"/>
  <c r="D578" i="1"/>
  <c r="G578" i="1" s="1"/>
  <c r="D579" i="1"/>
  <c r="G579" i="1" s="1"/>
  <c r="D580" i="1"/>
  <c r="G580" i="1" s="1"/>
  <c r="D581" i="1"/>
  <c r="G581" i="1" s="1"/>
  <c r="D582" i="1"/>
  <c r="G582" i="1" s="1"/>
  <c r="D583" i="1"/>
  <c r="G583" i="1" s="1"/>
  <c r="D584" i="1"/>
  <c r="G584" i="1" s="1"/>
  <c r="D585" i="1"/>
  <c r="G585" i="1" s="1"/>
  <c r="D586" i="1"/>
  <c r="G586" i="1" s="1"/>
  <c r="D587" i="1"/>
  <c r="G587" i="1" s="1"/>
  <c r="D588" i="1"/>
  <c r="G588" i="1" s="1"/>
  <c r="D589" i="1"/>
  <c r="G589" i="1" s="1"/>
  <c r="D590" i="1"/>
  <c r="G590" i="1" s="1"/>
  <c r="D591" i="1"/>
  <c r="G591" i="1" s="1"/>
  <c r="D592" i="1"/>
  <c r="G592" i="1" s="1"/>
  <c r="D593" i="1"/>
  <c r="G593" i="1" s="1"/>
  <c r="D594" i="1"/>
  <c r="G594" i="1" s="1"/>
  <c r="D595" i="1"/>
  <c r="G595" i="1" s="1"/>
  <c r="D596" i="1"/>
  <c r="G596" i="1" s="1"/>
  <c r="D597" i="1"/>
  <c r="G597" i="1" s="1"/>
  <c r="D598" i="1"/>
  <c r="G598" i="1" s="1"/>
  <c r="D599" i="1"/>
  <c r="G599" i="1" s="1"/>
  <c r="D600" i="1"/>
  <c r="G600" i="1" s="1"/>
  <c r="D601" i="1"/>
  <c r="G601" i="1" s="1"/>
  <c r="D602" i="1"/>
  <c r="G602" i="1" s="1"/>
  <c r="D603" i="1"/>
  <c r="G603" i="1" s="1"/>
  <c r="D604" i="1"/>
  <c r="G604" i="1" s="1"/>
  <c r="D605" i="1"/>
  <c r="G605" i="1" s="1"/>
  <c r="I605" i="1" s="1"/>
  <c r="D606" i="1"/>
  <c r="G606" i="1" s="1"/>
  <c r="D607" i="1"/>
  <c r="G607" i="1" s="1"/>
  <c r="D608" i="1"/>
  <c r="G608" i="1" s="1"/>
  <c r="D609" i="1"/>
  <c r="G609" i="1" s="1"/>
  <c r="D610" i="1"/>
  <c r="G610" i="1" s="1"/>
  <c r="D611" i="1"/>
  <c r="G611" i="1" s="1"/>
  <c r="D612" i="1"/>
  <c r="G612" i="1" s="1"/>
  <c r="D613" i="1"/>
  <c r="G613" i="1" s="1"/>
  <c r="D614" i="1"/>
  <c r="G614" i="1" s="1"/>
  <c r="D615" i="1"/>
  <c r="G615" i="1" s="1"/>
  <c r="D616" i="1"/>
  <c r="G616" i="1" s="1"/>
  <c r="D617" i="1"/>
  <c r="G617" i="1" s="1"/>
  <c r="D618" i="1"/>
  <c r="G618" i="1" s="1"/>
  <c r="D619" i="1"/>
  <c r="G619" i="1" s="1"/>
  <c r="D620" i="1"/>
  <c r="G620" i="1" s="1"/>
  <c r="D621" i="1"/>
  <c r="G621" i="1" s="1"/>
  <c r="D622" i="1"/>
  <c r="G622" i="1" s="1"/>
  <c r="D623" i="1"/>
  <c r="G623" i="1" s="1"/>
  <c r="D624" i="1"/>
  <c r="G624" i="1" s="1"/>
  <c r="D625" i="1"/>
  <c r="G625" i="1" s="1"/>
  <c r="D626" i="1"/>
  <c r="G626" i="1" s="1"/>
  <c r="D627" i="1"/>
  <c r="G627" i="1" s="1"/>
  <c r="D628" i="1"/>
  <c r="G628" i="1" s="1"/>
  <c r="D629" i="1"/>
  <c r="G629" i="1" s="1"/>
  <c r="D630" i="1"/>
  <c r="G630" i="1" s="1"/>
  <c r="D631" i="1"/>
  <c r="G631" i="1" s="1"/>
  <c r="D632" i="1"/>
  <c r="G632" i="1" s="1"/>
  <c r="D633" i="1"/>
  <c r="G633" i="1" s="1"/>
  <c r="D634" i="1"/>
  <c r="G634" i="1" s="1"/>
  <c r="D635" i="1"/>
  <c r="G635" i="1" s="1"/>
  <c r="D636" i="1"/>
  <c r="G636" i="1" s="1"/>
  <c r="D637" i="1"/>
  <c r="G637" i="1" s="1"/>
  <c r="D638" i="1"/>
  <c r="G638" i="1" s="1"/>
  <c r="D639" i="1"/>
  <c r="G639" i="1" s="1"/>
  <c r="D640" i="1"/>
  <c r="G640" i="1" s="1"/>
  <c r="D641" i="1"/>
  <c r="G641" i="1" s="1"/>
  <c r="D642" i="1"/>
  <c r="G642" i="1" s="1"/>
  <c r="D643" i="1"/>
  <c r="G643" i="1" s="1"/>
  <c r="D644" i="1"/>
  <c r="G644" i="1" s="1"/>
  <c r="D645" i="1"/>
  <c r="G645" i="1" s="1"/>
  <c r="D646" i="1"/>
  <c r="G646" i="1" s="1"/>
  <c r="D647" i="1"/>
  <c r="G647" i="1" s="1"/>
  <c r="D648" i="1"/>
  <c r="G648" i="1" s="1"/>
  <c r="D649" i="1"/>
  <c r="G649" i="1" s="1"/>
  <c r="D650" i="1"/>
  <c r="G650" i="1" s="1"/>
  <c r="D651" i="1"/>
  <c r="G651" i="1" s="1"/>
  <c r="D652" i="1"/>
  <c r="G652" i="1" s="1"/>
  <c r="D653" i="1"/>
  <c r="G653" i="1" s="1"/>
  <c r="D654" i="1"/>
  <c r="G654" i="1" s="1"/>
  <c r="D655" i="1"/>
  <c r="G655" i="1" s="1"/>
  <c r="D656" i="1"/>
  <c r="G656" i="1" s="1"/>
  <c r="D657" i="1"/>
  <c r="G657" i="1" s="1"/>
  <c r="D658" i="1"/>
  <c r="G658" i="1" s="1"/>
  <c r="D659" i="1"/>
  <c r="G659" i="1" s="1"/>
  <c r="D660" i="1"/>
  <c r="G660" i="1" s="1"/>
  <c r="D661" i="1"/>
  <c r="G661" i="1" s="1"/>
  <c r="D662" i="1"/>
  <c r="G662" i="1" s="1"/>
  <c r="D663" i="1"/>
  <c r="G663" i="1" s="1"/>
  <c r="D664" i="1"/>
  <c r="G664" i="1" s="1"/>
  <c r="D665" i="1"/>
  <c r="G665" i="1" s="1"/>
  <c r="D666" i="1"/>
  <c r="G666" i="1" s="1"/>
  <c r="D667" i="1"/>
  <c r="G667" i="1" s="1"/>
  <c r="D668" i="1"/>
  <c r="G668" i="1" s="1"/>
  <c r="D669" i="1"/>
  <c r="G669" i="1" s="1"/>
  <c r="D670" i="1"/>
  <c r="G670" i="1" s="1"/>
  <c r="D671" i="1"/>
  <c r="G671" i="1" s="1"/>
  <c r="D672" i="1"/>
  <c r="G672" i="1" s="1"/>
  <c r="D673" i="1"/>
  <c r="G673" i="1" s="1"/>
  <c r="D674" i="1"/>
  <c r="G674" i="1" s="1"/>
  <c r="D675" i="1"/>
  <c r="G675" i="1" s="1"/>
  <c r="D676" i="1"/>
  <c r="G676" i="1" s="1"/>
  <c r="D677" i="1"/>
  <c r="G677" i="1" s="1"/>
  <c r="D678" i="1"/>
  <c r="G678" i="1" s="1"/>
  <c r="D679" i="1"/>
  <c r="G679" i="1" s="1"/>
  <c r="D680" i="1"/>
  <c r="G680" i="1" s="1"/>
  <c r="D681" i="1"/>
  <c r="G681" i="1" s="1"/>
  <c r="D682" i="1"/>
  <c r="G682" i="1" s="1"/>
  <c r="D683" i="1"/>
  <c r="G683" i="1" s="1"/>
  <c r="D684" i="1"/>
  <c r="G684" i="1" s="1"/>
  <c r="D685" i="1"/>
  <c r="G685" i="1" s="1"/>
  <c r="D686" i="1"/>
  <c r="G686" i="1" s="1"/>
  <c r="D687" i="1"/>
  <c r="G687" i="1" s="1"/>
  <c r="D688" i="1"/>
  <c r="G688" i="1" s="1"/>
  <c r="D689" i="1"/>
  <c r="G689" i="1" s="1"/>
  <c r="D690" i="1"/>
  <c r="G690" i="1" s="1"/>
  <c r="D691" i="1"/>
  <c r="G691" i="1" s="1"/>
  <c r="D692" i="1"/>
  <c r="G692" i="1" s="1"/>
  <c r="D693" i="1"/>
  <c r="G693" i="1" s="1"/>
  <c r="D694" i="1"/>
  <c r="G694" i="1" s="1"/>
  <c r="D695" i="1"/>
  <c r="G695" i="1" s="1"/>
  <c r="D696" i="1"/>
  <c r="G696" i="1" s="1"/>
  <c r="D697" i="1"/>
  <c r="G697" i="1" s="1"/>
  <c r="D698" i="1"/>
  <c r="G698" i="1" s="1"/>
  <c r="D699" i="1"/>
  <c r="G699" i="1" s="1"/>
  <c r="D700" i="1"/>
  <c r="G700" i="1" s="1"/>
  <c r="D701" i="1"/>
  <c r="G701" i="1" s="1"/>
  <c r="D702" i="1"/>
  <c r="G702" i="1" s="1"/>
  <c r="D703" i="1"/>
  <c r="G703" i="1" s="1"/>
  <c r="D704" i="1"/>
  <c r="G704" i="1" s="1"/>
  <c r="D705" i="1"/>
  <c r="G705" i="1" s="1"/>
  <c r="D706" i="1"/>
  <c r="G706" i="1" s="1"/>
  <c r="D707" i="1"/>
  <c r="G707" i="1" s="1"/>
  <c r="D708" i="1"/>
  <c r="G708" i="1" s="1"/>
  <c r="D709" i="1"/>
  <c r="G709" i="1" s="1"/>
  <c r="D710" i="1"/>
  <c r="G710" i="1" s="1"/>
  <c r="D711" i="1"/>
  <c r="G711" i="1" s="1"/>
  <c r="D712" i="1"/>
  <c r="G712" i="1" s="1"/>
  <c r="D713" i="1"/>
  <c r="G713" i="1" s="1"/>
  <c r="D714" i="1"/>
  <c r="G714" i="1" s="1"/>
  <c r="D715" i="1"/>
  <c r="G715" i="1" s="1"/>
  <c r="D716" i="1"/>
  <c r="G716" i="1" s="1"/>
  <c r="D717" i="1"/>
  <c r="G717" i="1" s="1"/>
  <c r="D718" i="1"/>
  <c r="G718" i="1" s="1"/>
  <c r="D719" i="1"/>
  <c r="G719" i="1" s="1"/>
  <c r="D720" i="1"/>
  <c r="G720" i="1" s="1"/>
  <c r="D721" i="1"/>
  <c r="G721" i="1" s="1"/>
  <c r="D722" i="1"/>
  <c r="G722" i="1" s="1"/>
  <c r="D723" i="1"/>
  <c r="G723" i="1" s="1"/>
  <c r="D724" i="1"/>
  <c r="G724" i="1" s="1"/>
  <c r="D725" i="1"/>
  <c r="G725" i="1" s="1"/>
  <c r="D726" i="1"/>
  <c r="G726" i="1" s="1"/>
  <c r="D727" i="1"/>
  <c r="G727" i="1" s="1"/>
  <c r="D728" i="1"/>
  <c r="G728" i="1" s="1"/>
  <c r="D729" i="1"/>
  <c r="G729" i="1" s="1"/>
  <c r="D730" i="1"/>
  <c r="G730" i="1" s="1"/>
  <c r="D731" i="1"/>
  <c r="G731" i="1" s="1"/>
  <c r="D732" i="1"/>
  <c r="G732" i="1" s="1"/>
  <c r="D733" i="1"/>
  <c r="G733" i="1" s="1"/>
  <c r="D734" i="1"/>
  <c r="G734" i="1" s="1"/>
  <c r="D735" i="1"/>
  <c r="G735" i="1" s="1"/>
  <c r="D736" i="1"/>
  <c r="G736" i="1" s="1"/>
  <c r="D737" i="1"/>
  <c r="G737" i="1" s="1"/>
  <c r="D738" i="1"/>
  <c r="G738" i="1" s="1"/>
  <c r="D739" i="1"/>
  <c r="G739" i="1" s="1"/>
  <c r="D740" i="1"/>
  <c r="G740" i="1" s="1"/>
  <c r="D741" i="1"/>
  <c r="G741" i="1" s="1"/>
  <c r="D742" i="1"/>
  <c r="G742" i="1" s="1"/>
  <c r="D743" i="1"/>
  <c r="G743" i="1" s="1"/>
  <c r="D744" i="1"/>
  <c r="G744" i="1" s="1"/>
  <c r="D745" i="1"/>
  <c r="G745" i="1" s="1"/>
  <c r="D746" i="1"/>
  <c r="G746" i="1" s="1"/>
  <c r="D747" i="1"/>
  <c r="G747" i="1" s="1"/>
  <c r="D748" i="1"/>
  <c r="G748" i="1" s="1"/>
  <c r="D749" i="1"/>
  <c r="G749" i="1" s="1"/>
  <c r="D750" i="1"/>
  <c r="G750" i="1" s="1"/>
  <c r="D751" i="1"/>
  <c r="G751" i="1" s="1"/>
  <c r="D752" i="1"/>
  <c r="G752" i="1" s="1"/>
  <c r="D753" i="1"/>
  <c r="G753" i="1" s="1"/>
  <c r="D754" i="1"/>
  <c r="G754" i="1" s="1"/>
  <c r="D755" i="1"/>
  <c r="G755" i="1" s="1"/>
  <c r="D756" i="1"/>
  <c r="G756" i="1" s="1"/>
  <c r="D757" i="1"/>
  <c r="G757" i="1" s="1"/>
  <c r="D758" i="1"/>
  <c r="G758" i="1" s="1"/>
  <c r="D759" i="1"/>
  <c r="G759" i="1" s="1"/>
  <c r="D760" i="1"/>
  <c r="G760" i="1" s="1"/>
  <c r="D761" i="1"/>
  <c r="G761" i="1" s="1"/>
  <c r="D762" i="1"/>
  <c r="G762" i="1" s="1"/>
  <c r="D763" i="1"/>
  <c r="G763" i="1" s="1"/>
  <c r="D764" i="1"/>
  <c r="G764" i="1" s="1"/>
  <c r="D765" i="1"/>
  <c r="G765" i="1" s="1"/>
  <c r="D766" i="1"/>
  <c r="G766" i="1" s="1"/>
  <c r="D767" i="1"/>
  <c r="G767" i="1" s="1"/>
  <c r="D768" i="1"/>
  <c r="G768" i="1" s="1"/>
  <c r="D769" i="1"/>
  <c r="G769" i="1" s="1"/>
  <c r="D770" i="1"/>
  <c r="G770" i="1" s="1"/>
  <c r="D771" i="1"/>
  <c r="G771" i="1" s="1"/>
  <c r="D772" i="1"/>
  <c r="G772" i="1" s="1"/>
  <c r="D773" i="1"/>
  <c r="G773" i="1" s="1"/>
  <c r="D774" i="1"/>
  <c r="G774" i="1" s="1"/>
  <c r="D775" i="1"/>
  <c r="G775" i="1" s="1"/>
  <c r="D776" i="1"/>
  <c r="G776" i="1" s="1"/>
  <c r="D777" i="1"/>
  <c r="G777" i="1" s="1"/>
  <c r="D778" i="1"/>
  <c r="G778" i="1" s="1"/>
  <c r="D779" i="1"/>
  <c r="G779" i="1" s="1"/>
  <c r="D780" i="1"/>
  <c r="G780" i="1" s="1"/>
  <c r="D781" i="1"/>
  <c r="G781" i="1" s="1"/>
  <c r="D782" i="1"/>
  <c r="G782" i="1" s="1"/>
  <c r="D783" i="1"/>
  <c r="G783" i="1" s="1"/>
  <c r="D784" i="1"/>
  <c r="G784" i="1" s="1"/>
  <c r="D785" i="1"/>
  <c r="G785" i="1" s="1"/>
  <c r="D786" i="1"/>
  <c r="G786" i="1" s="1"/>
  <c r="D787" i="1"/>
  <c r="G787" i="1" s="1"/>
  <c r="D788" i="1"/>
  <c r="G788" i="1" s="1"/>
  <c r="D789" i="1"/>
  <c r="G789" i="1" s="1"/>
  <c r="D790" i="1"/>
  <c r="G790" i="1" s="1"/>
  <c r="D791" i="1"/>
  <c r="G791" i="1" s="1"/>
  <c r="D792" i="1"/>
  <c r="G792" i="1" s="1"/>
  <c r="D793" i="1"/>
  <c r="G793" i="1" s="1"/>
  <c r="D794" i="1"/>
  <c r="G794" i="1" s="1"/>
  <c r="D795" i="1"/>
  <c r="G795" i="1" s="1"/>
  <c r="D796" i="1"/>
  <c r="G796" i="1" s="1"/>
  <c r="D797" i="1"/>
  <c r="G797" i="1" s="1"/>
  <c r="D798" i="1"/>
  <c r="G798" i="1" s="1"/>
  <c r="D799" i="1"/>
  <c r="G799" i="1" s="1"/>
  <c r="D800" i="1"/>
  <c r="G800" i="1" s="1"/>
  <c r="D801" i="1"/>
  <c r="G801" i="1" s="1"/>
  <c r="D802" i="1"/>
  <c r="G802" i="1" s="1"/>
  <c r="D803" i="1"/>
  <c r="G803" i="1" s="1"/>
  <c r="D804" i="1"/>
  <c r="G804" i="1" s="1"/>
  <c r="D805" i="1"/>
  <c r="G805" i="1" s="1"/>
  <c r="D806" i="1"/>
  <c r="G806" i="1" s="1"/>
  <c r="D807" i="1"/>
  <c r="G807" i="1" s="1"/>
  <c r="D808" i="1"/>
  <c r="G808" i="1" s="1"/>
  <c r="D809" i="1"/>
  <c r="G809" i="1" s="1"/>
  <c r="D810" i="1"/>
  <c r="G810" i="1" s="1"/>
  <c r="D811" i="1"/>
  <c r="G811" i="1" s="1"/>
  <c r="D812" i="1"/>
  <c r="G812" i="1" s="1"/>
  <c r="D813" i="1"/>
  <c r="G813" i="1" s="1"/>
  <c r="D814" i="1"/>
  <c r="G814" i="1" s="1"/>
  <c r="D815" i="1"/>
  <c r="G815" i="1" s="1"/>
  <c r="D816" i="1"/>
  <c r="G816" i="1" s="1"/>
  <c r="D817" i="1"/>
  <c r="G817" i="1" s="1"/>
  <c r="D818" i="1"/>
  <c r="G818" i="1" s="1"/>
  <c r="D819" i="1"/>
  <c r="G819" i="1" s="1"/>
  <c r="D820" i="1"/>
  <c r="G820" i="1" s="1"/>
  <c r="D821" i="1"/>
  <c r="G821" i="1" s="1"/>
  <c r="D822" i="1"/>
  <c r="G822" i="1" s="1"/>
  <c r="D823" i="1"/>
  <c r="G823" i="1" s="1"/>
  <c r="D824" i="1"/>
  <c r="G824" i="1" s="1"/>
  <c r="D825" i="1"/>
  <c r="G825" i="1" s="1"/>
  <c r="D826" i="1"/>
  <c r="G826" i="1" s="1"/>
  <c r="D827" i="1"/>
  <c r="G827" i="1" s="1"/>
  <c r="D828" i="1"/>
  <c r="G828" i="1" s="1"/>
  <c r="D829" i="1"/>
  <c r="G829" i="1" s="1"/>
  <c r="D830" i="1"/>
  <c r="G830" i="1" s="1"/>
  <c r="D831" i="1"/>
  <c r="G831" i="1" s="1"/>
  <c r="D832" i="1"/>
  <c r="G832" i="1" s="1"/>
  <c r="D833" i="1"/>
  <c r="G833" i="1" s="1"/>
  <c r="D834" i="1"/>
  <c r="G834" i="1" s="1"/>
  <c r="D835" i="1"/>
  <c r="G835" i="1" s="1"/>
  <c r="D836" i="1"/>
  <c r="G836" i="1" s="1"/>
  <c r="D837" i="1"/>
  <c r="G837" i="1" s="1"/>
  <c r="D838" i="1"/>
  <c r="G838" i="1" s="1"/>
  <c r="D839" i="1"/>
  <c r="G839" i="1" s="1"/>
  <c r="D840" i="1"/>
  <c r="G840" i="1" s="1"/>
  <c r="D841" i="1"/>
  <c r="G841" i="1" s="1"/>
  <c r="D842" i="1"/>
  <c r="G842" i="1" s="1"/>
  <c r="D843" i="1"/>
  <c r="G843" i="1" s="1"/>
  <c r="D844" i="1"/>
  <c r="G844" i="1" s="1"/>
  <c r="D845" i="1"/>
  <c r="G845" i="1" s="1"/>
  <c r="D846" i="1"/>
  <c r="G846" i="1" s="1"/>
  <c r="D847" i="1"/>
  <c r="G847" i="1" s="1"/>
  <c r="D848" i="1"/>
  <c r="G848" i="1" s="1"/>
  <c r="D849" i="1"/>
  <c r="G849" i="1" s="1"/>
  <c r="D850" i="1"/>
  <c r="G850" i="1" s="1"/>
  <c r="D851" i="1"/>
  <c r="G851" i="1" s="1"/>
  <c r="D852" i="1"/>
  <c r="G852" i="1" s="1"/>
  <c r="D853" i="1"/>
  <c r="G853" i="1" s="1"/>
  <c r="D854" i="1"/>
  <c r="G854" i="1" s="1"/>
  <c r="D855" i="1"/>
  <c r="G855" i="1" s="1"/>
  <c r="D856" i="1"/>
  <c r="G856" i="1" s="1"/>
  <c r="D857" i="1"/>
  <c r="G857" i="1" s="1"/>
  <c r="D858" i="1"/>
  <c r="G858" i="1" s="1"/>
  <c r="D859" i="1"/>
  <c r="G859" i="1" s="1"/>
  <c r="D860" i="1"/>
  <c r="G860" i="1" s="1"/>
  <c r="D861" i="1"/>
  <c r="G861" i="1" s="1"/>
  <c r="D862" i="1"/>
  <c r="G862" i="1" s="1"/>
  <c r="D863" i="1"/>
  <c r="G863" i="1" s="1"/>
  <c r="D864" i="1"/>
  <c r="G864" i="1" s="1"/>
  <c r="D865" i="1"/>
  <c r="G865" i="1" s="1"/>
  <c r="D866" i="1"/>
  <c r="G866" i="1" s="1"/>
  <c r="D867" i="1"/>
  <c r="G867" i="1" s="1"/>
  <c r="D868" i="1"/>
  <c r="G868" i="1" s="1"/>
  <c r="D869" i="1"/>
  <c r="G869" i="1" s="1"/>
  <c r="D870" i="1"/>
  <c r="G870" i="1" s="1"/>
  <c r="D871" i="1"/>
  <c r="G871" i="1" s="1"/>
  <c r="D872" i="1"/>
  <c r="G872" i="1" s="1"/>
  <c r="D873" i="1"/>
  <c r="G873" i="1" s="1"/>
  <c r="D874" i="1"/>
  <c r="G874" i="1" s="1"/>
  <c r="D875" i="1"/>
  <c r="G875" i="1" s="1"/>
  <c r="D876" i="1"/>
  <c r="G876" i="1" s="1"/>
  <c r="D877" i="1"/>
  <c r="G877" i="1" s="1"/>
  <c r="D878" i="1"/>
  <c r="G878" i="1" s="1"/>
  <c r="D879" i="1"/>
  <c r="G879" i="1" s="1"/>
  <c r="D880" i="1"/>
  <c r="G880" i="1" s="1"/>
  <c r="D881" i="1"/>
  <c r="G881" i="1" s="1"/>
  <c r="D882" i="1"/>
  <c r="G882" i="1" s="1"/>
  <c r="D883" i="1"/>
  <c r="G883" i="1" s="1"/>
  <c r="D884" i="1"/>
  <c r="G884" i="1" s="1"/>
  <c r="D885" i="1"/>
  <c r="G885" i="1" s="1"/>
  <c r="D886" i="1"/>
  <c r="G886" i="1" s="1"/>
  <c r="D887" i="1"/>
  <c r="G887" i="1" s="1"/>
  <c r="D888" i="1"/>
  <c r="G888" i="1" s="1"/>
  <c r="D889" i="1"/>
  <c r="G889" i="1" s="1"/>
  <c r="D890" i="1"/>
  <c r="G890" i="1" s="1"/>
  <c r="D891" i="1"/>
  <c r="G891" i="1" s="1"/>
  <c r="D892" i="1"/>
  <c r="G892" i="1" s="1"/>
  <c r="D893" i="1"/>
  <c r="G893" i="1" s="1"/>
  <c r="I893" i="1" s="1"/>
  <c r="D894" i="1"/>
  <c r="G894" i="1" s="1"/>
  <c r="D895" i="1"/>
  <c r="G895" i="1" s="1"/>
  <c r="D896" i="1"/>
  <c r="G896" i="1" s="1"/>
  <c r="D897" i="1"/>
  <c r="G897" i="1" s="1"/>
  <c r="D898" i="1"/>
  <c r="G898" i="1" s="1"/>
  <c r="D899" i="1"/>
  <c r="G899" i="1" s="1"/>
  <c r="D900" i="1"/>
  <c r="G900" i="1" s="1"/>
  <c r="D901" i="1"/>
  <c r="G901" i="1" s="1"/>
  <c r="D902" i="1"/>
  <c r="G902" i="1" s="1"/>
  <c r="D903" i="1"/>
  <c r="G903" i="1" s="1"/>
  <c r="D904" i="1"/>
  <c r="G904" i="1" s="1"/>
  <c r="D905" i="1"/>
  <c r="G905" i="1" s="1"/>
  <c r="D906" i="1"/>
  <c r="G906" i="1" s="1"/>
  <c r="D907" i="1"/>
  <c r="G907" i="1" s="1"/>
  <c r="D908" i="1"/>
  <c r="G908" i="1" s="1"/>
  <c r="D909" i="1"/>
  <c r="G909" i="1" s="1"/>
  <c r="D910" i="1"/>
  <c r="G910" i="1" s="1"/>
  <c r="D911" i="1"/>
  <c r="G911" i="1" s="1"/>
  <c r="D912" i="1"/>
  <c r="G912" i="1" s="1"/>
  <c r="D913" i="1"/>
  <c r="G913" i="1" s="1"/>
  <c r="D914" i="1"/>
  <c r="G914" i="1" s="1"/>
  <c r="D915" i="1"/>
  <c r="G915" i="1" s="1"/>
  <c r="D916" i="1"/>
  <c r="G916" i="1" s="1"/>
  <c r="D917" i="1"/>
  <c r="G917" i="1" s="1"/>
  <c r="D918" i="1"/>
  <c r="G918" i="1" s="1"/>
  <c r="D919" i="1"/>
  <c r="G919" i="1" s="1"/>
  <c r="D920" i="1"/>
  <c r="G920" i="1" s="1"/>
  <c r="D921" i="1"/>
  <c r="G921" i="1" s="1"/>
  <c r="D922" i="1"/>
  <c r="G922" i="1" s="1"/>
  <c r="D923" i="1"/>
  <c r="G923" i="1" s="1"/>
  <c r="D924" i="1"/>
  <c r="G924" i="1" s="1"/>
  <c r="D925" i="1"/>
  <c r="G925" i="1" s="1"/>
  <c r="D926" i="1"/>
  <c r="G926" i="1" s="1"/>
  <c r="D927" i="1"/>
  <c r="G927" i="1" s="1"/>
  <c r="D928" i="1"/>
  <c r="G928" i="1" s="1"/>
  <c r="D929" i="1"/>
  <c r="G929" i="1" s="1"/>
  <c r="D930" i="1"/>
  <c r="G930" i="1" s="1"/>
  <c r="D931" i="1"/>
  <c r="G931" i="1" s="1"/>
  <c r="D932" i="1"/>
  <c r="G932" i="1" s="1"/>
  <c r="D933" i="1"/>
  <c r="G933" i="1" s="1"/>
  <c r="D934" i="1"/>
  <c r="G934" i="1" s="1"/>
  <c r="D935" i="1"/>
  <c r="G935" i="1" s="1"/>
  <c r="D936" i="1"/>
  <c r="G936" i="1" s="1"/>
  <c r="D937" i="1"/>
  <c r="G937" i="1" s="1"/>
  <c r="D938" i="1"/>
  <c r="G938" i="1" s="1"/>
  <c r="D939" i="1"/>
  <c r="G939" i="1" s="1"/>
  <c r="D940" i="1"/>
  <c r="G940" i="1" s="1"/>
  <c r="D941" i="1"/>
  <c r="G941" i="1" s="1"/>
  <c r="D942" i="1"/>
  <c r="G942" i="1" s="1"/>
  <c r="D943" i="1"/>
  <c r="G943" i="1" s="1"/>
  <c r="D944" i="1"/>
  <c r="G944" i="1" s="1"/>
  <c r="D945" i="1"/>
  <c r="G945" i="1" s="1"/>
  <c r="D946" i="1"/>
  <c r="G946" i="1" s="1"/>
  <c r="D947" i="1"/>
  <c r="G947" i="1" s="1"/>
  <c r="D948" i="1"/>
  <c r="G948" i="1" s="1"/>
  <c r="D949" i="1"/>
  <c r="G949" i="1" s="1"/>
  <c r="D950" i="1"/>
  <c r="G950" i="1" s="1"/>
  <c r="D951" i="1"/>
  <c r="G951" i="1" s="1"/>
  <c r="D952" i="1"/>
  <c r="G952" i="1" s="1"/>
  <c r="D953" i="1"/>
  <c r="G953" i="1" s="1"/>
  <c r="D954" i="1"/>
  <c r="G954" i="1" s="1"/>
  <c r="D955" i="1"/>
  <c r="G955" i="1" s="1"/>
  <c r="D956" i="1"/>
  <c r="G956" i="1" s="1"/>
  <c r="D957" i="1"/>
  <c r="G957" i="1" s="1"/>
  <c r="D958" i="1"/>
  <c r="G958" i="1" s="1"/>
  <c r="D959" i="1"/>
  <c r="G959" i="1" s="1"/>
  <c r="D960" i="1"/>
  <c r="G960" i="1" s="1"/>
  <c r="D961" i="1"/>
  <c r="G961" i="1" s="1"/>
  <c r="D962" i="1"/>
  <c r="G962" i="1" s="1"/>
  <c r="D963" i="1"/>
  <c r="G963" i="1" s="1"/>
  <c r="D964" i="1"/>
  <c r="G964" i="1" s="1"/>
  <c r="D965" i="1"/>
  <c r="G965" i="1" s="1"/>
  <c r="D966" i="1"/>
  <c r="G966" i="1" s="1"/>
  <c r="D967" i="1"/>
  <c r="G967" i="1" s="1"/>
  <c r="D968" i="1"/>
  <c r="G968" i="1" s="1"/>
  <c r="D969" i="1"/>
  <c r="G969" i="1" s="1"/>
  <c r="D970" i="1"/>
  <c r="G970" i="1" s="1"/>
  <c r="D971" i="1"/>
  <c r="G971" i="1" s="1"/>
  <c r="D972" i="1"/>
  <c r="G972" i="1" s="1"/>
  <c r="D973" i="1"/>
  <c r="G973" i="1" s="1"/>
  <c r="D974" i="1"/>
  <c r="G974" i="1" s="1"/>
  <c r="D975" i="1"/>
  <c r="G975" i="1" s="1"/>
  <c r="D976" i="1"/>
  <c r="G976" i="1" s="1"/>
  <c r="D977" i="1"/>
  <c r="G977" i="1" s="1"/>
  <c r="D978" i="1"/>
  <c r="G978" i="1" s="1"/>
  <c r="D979" i="1"/>
  <c r="G979" i="1" s="1"/>
  <c r="D980" i="1"/>
  <c r="G980" i="1" s="1"/>
  <c r="D981" i="1"/>
  <c r="G981" i="1" s="1"/>
  <c r="D982" i="1"/>
  <c r="G982" i="1" s="1"/>
  <c r="D983" i="1"/>
  <c r="G983" i="1" s="1"/>
  <c r="D984" i="1"/>
  <c r="G984" i="1" s="1"/>
  <c r="D985" i="1"/>
  <c r="G985" i="1" s="1"/>
  <c r="D986" i="1"/>
  <c r="G986" i="1" s="1"/>
  <c r="D987" i="1"/>
  <c r="G987" i="1" s="1"/>
  <c r="D988" i="1"/>
  <c r="G988" i="1" s="1"/>
  <c r="D989" i="1"/>
  <c r="G989" i="1" s="1"/>
  <c r="D990" i="1"/>
  <c r="G990" i="1" s="1"/>
  <c r="D991" i="1"/>
  <c r="G991" i="1" s="1"/>
  <c r="D992" i="1"/>
  <c r="G992" i="1" s="1"/>
  <c r="D993" i="1"/>
  <c r="G993" i="1" s="1"/>
  <c r="D994" i="1"/>
  <c r="G994" i="1" s="1"/>
  <c r="D995" i="1"/>
  <c r="G995" i="1" s="1"/>
  <c r="D996" i="1"/>
  <c r="G996" i="1" s="1"/>
  <c r="D997" i="1"/>
  <c r="G997" i="1" s="1"/>
  <c r="D998" i="1"/>
  <c r="G998" i="1" s="1"/>
  <c r="D999" i="1"/>
  <c r="G999" i="1" s="1"/>
  <c r="D1000" i="1"/>
  <c r="G1000" i="1" s="1"/>
  <c r="D1001" i="1"/>
  <c r="G1001" i="1" s="1"/>
  <c r="I1001" i="1" s="1"/>
  <c r="D1002" i="1"/>
  <c r="G1002" i="1" s="1"/>
  <c r="D1003" i="1"/>
  <c r="G1003" i="1" s="1"/>
  <c r="D1004" i="1"/>
  <c r="G1004" i="1" s="1"/>
  <c r="D1005" i="1"/>
  <c r="G1005" i="1" s="1"/>
  <c r="D1006" i="1"/>
  <c r="G1006" i="1" s="1"/>
  <c r="D1007" i="1"/>
  <c r="G1007" i="1" s="1"/>
  <c r="D1008" i="1"/>
  <c r="G1008" i="1" s="1"/>
  <c r="D1009" i="1"/>
  <c r="G1009" i="1" s="1"/>
  <c r="D1010" i="1"/>
  <c r="G1010" i="1" s="1"/>
  <c r="D1011" i="1"/>
  <c r="G1011" i="1" s="1"/>
  <c r="D1012" i="1"/>
  <c r="G1012" i="1" s="1"/>
  <c r="D1013" i="1"/>
  <c r="G1013" i="1" s="1"/>
  <c r="D1014" i="1"/>
  <c r="G1014" i="1" s="1"/>
  <c r="D1015" i="1"/>
  <c r="G1015" i="1" s="1"/>
  <c r="D1016" i="1"/>
  <c r="G1016" i="1" s="1"/>
  <c r="D1017" i="1"/>
  <c r="G1017" i="1" s="1"/>
  <c r="D1018" i="1"/>
  <c r="G1018" i="1" s="1"/>
  <c r="D1019" i="1"/>
  <c r="G1019" i="1" s="1"/>
  <c r="D1020" i="1"/>
  <c r="G1020" i="1" s="1"/>
  <c r="D1021" i="1"/>
  <c r="G1021" i="1" s="1"/>
  <c r="D1022" i="1"/>
  <c r="G1022" i="1" s="1"/>
  <c r="D1023" i="1"/>
  <c r="G1023" i="1" s="1"/>
  <c r="D1024" i="1"/>
  <c r="G1024" i="1" s="1"/>
  <c r="D1025" i="1"/>
  <c r="G1025" i="1" s="1"/>
  <c r="D1026" i="1"/>
  <c r="G1026" i="1" s="1"/>
  <c r="D1027" i="1"/>
  <c r="G1027" i="1" s="1"/>
  <c r="D1028" i="1"/>
  <c r="G1028" i="1" s="1"/>
  <c r="D1029" i="1"/>
  <c r="G1029" i="1" s="1"/>
  <c r="D1030" i="1"/>
  <c r="G1030" i="1" s="1"/>
  <c r="D1031" i="1"/>
  <c r="G1031" i="1" s="1"/>
  <c r="D1032" i="1"/>
  <c r="G1032" i="1" s="1"/>
  <c r="D1033" i="1"/>
  <c r="G1033" i="1" s="1"/>
  <c r="D1034" i="1"/>
  <c r="G1034" i="1" s="1"/>
  <c r="D1035" i="1"/>
  <c r="G1035" i="1" s="1"/>
  <c r="D1036" i="1"/>
  <c r="G1036" i="1" s="1"/>
  <c r="D1037" i="1"/>
  <c r="G1037" i="1" s="1"/>
  <c r="D1038" i="1"/>
  <c r="G1038" i="1" s="1"/>
  <c r="D1039" i="1"/>
  <c r="G1039" i="1" s="1"/>
  <c r="D1040" i="1"/>
  <c r="G1040" i="1" s="1"/>
  <c r="D1041" i="1"/>
  <c r="G1041" i="1" s="1"/>
  <c r="D1042" i="1"/>
  <c r="G1042" i="1" s="1"/>
  <c r="D1043" i="1"/>
  <c r="G1043" i="1" s="1"/>
  <c r="D1044" i="1"/>
  <c r="G1044" i="1" s="1"/>
  <c r="D1045" i="1"/>
  <c r="G1045" i="1" s="1"/>
  <c r="D1046" i="1"/>
  <c r="G1046" i="1" s="1"/>
  <c r="D1047" i="1"/>
  <c r="G1047" i="1" s="1"/>
  <c r="D1048" i="1"/>
  <c r="G1048" i="1" s="1"/>
  <c r="D1049" i="1"/>
  <c r="G1049" i="1" s="1"/>
  <c r="D1050" i="1"/>
  <c r="G1050" i="1" s="1"/>
  <c r="I1050" i="1" s="1"/>
  <c r="D1051" i="1"/>
  <c r="G1051" i="1" s="1"/>
  <c r="D1052" i="1"/>
  <c r="G1052" i="1" s="1"/>
  <c r="D1053" i="1"/>
  <c r="G1053" i="1" s="1"/>
  <c r="D1054" i="1"/>
  <c r="G1054" i="1" s="1"/>
  <c r="D1055" i="1"/>
  <c r="G1055" i="1" s="1"/>
  <c r="D1056" i="1"/>
  <c r="G1056" i="1" s="1"/>
  <c r="D1057" i="1"/>
  <c r="G1057" i="1" s="1"/>
  <c r="D1058" i="1"/>
  <c r="G1058" i="1" s="1"/>
  <c r="D1059" i="1"/>
  <c r="G1059" i="1" s="1"/>
  <c r="D1060" i="1"/>
  <c r="G1060" i="1" s="1"/>
  <c r="D1061" i="1"/>
  <c r="G1061" i="1" s="1"/>
  <c r="D1062" i="1"/>
  <c r="G1062" i="1" s="1"/>
  <c r="I1062" i="1" s="1"/>
  <c r="D1063" i="1"/>
  <c r="G1063" i="1" s="1"/>
  <c r="D1064" i="1"/>
  <c r="G1064" i="1" s="1"/>
  <c r="D1065" i="1"/>
  <c r="G1065" i="1" s="1"/>
  <c r="D1066" i="1"/>
  <c r="G1066" i="1" s="1"/>
  <c r="D1067" i="1"/>
  <c r="G1067" i="1" s="1"/>
  <c r="D1068" i="1"/>
  <c r="G1068" i="1" s="1"/>
  <c r="D1069" i="1"/>
  <c r="G1069" i="1" s="1"/>
  <c r="D1070" i="1"/>
  <c r="G1070" i="1" s="1"/>
  <c r="D1071" i="1"/>
  <c r="G1071" i="1" s="1"/>
  <c r="D1072" i="1"/>
  <c r="G1072" i="1" s="1"/>
  <c r="D1073" i="1"/>
  <c r="G1073" i="1" s="1"/>
  <c r="D1074" i="1"/>
  <c r="G1074" i="1" s="1"/>
  <c r="I1074" i="1" s="1"/>
  <c r="D1075" i="1"/>
  <c r="G1075" i="1" s="1"/>
  <c r="D1076" i="1"/>
  <c r="G1076" i="1" s="1"/>
  <c r="D1077" i="1"/>
  <c r="G1077" i="1" s="1"/>
  <c r="D1078" i="1"/>
  <c r="G1078" i="1" s="1"/>
  <c r="D1079" i="1"/>
  <c r="G1079" i="1" s="1"/>
  <c r="D1080" i="1"/>
  <c r="G1080" i="1" s="1"/>
  <c r="D1081" i="1"/>
  <c r="G1081" i="1" s="1"/>
  <c r="D1082" i="1"/>
  <c r="G1082" i="1" s="1"/>
  <c r="D1083" i="1"/>
  <c r="G1083" i="1" s="1"/>
  <c r="D1084" i="1"/>
  <c r="G1084" i="1" s="1"/>
  <c r="D1085" i="1"/>
  <c r="G1085" i="1" s="1"/>
  <c r="D1086" i="1"/>
  <c r="G1086" i="1" s="1"/>
  <c r="I1086" i="1" s="1"/>
  <c r="D1087" i="1"/>
  <c r="G1087" i="1" s="1"/>
  <c r="D1088" i="1"/>
  <c r="G1088" i="1" s="1"/>
  <c r="D1089" i="1"/>
  <c r="G1089" i="1" s="1"/>
  <c r="D1090" i="1"/>
  <c r="G1090" i="1" s="1"/>
  <c r="D1091" i="1"/>
  <c r="G1091" i="1" s="1"/>
  <c r="D1092" i="1"/>
  <c r="G1092" i="1" s="1"/>
  <c r="D1093" i="1"/>
  <c r="G1093" i="1" s="1"/>
  <c r="D1094" i="1"/>
  <c r="G1094" i="1" s="1"/>
  <c r="D1095" i="1"/>
  <c r="G1095" i="1" s="1"/>
  <c r="D1096" i="1"/>
  <c r="G1096" i="1" s="1"/>
  <c r="D1097" i="1"/>
  <c r="G1097" i="1" s="1"/>
  <c r="D1098" i="1"/>
  <c r="G1098" i="1" s="1"/>
  <c r="I1098" i="1" s="1"/>
  <c r="D1099" i="1"/>
  <c r="G1099" i="1" s="1"/>
  <c r="D1100" i="1"/>
  <c r="G1100" i="1" s="1"/>
  <c r="D1101" i="1"/>
  <c r="G1101" i="1" s="1"/>
  <c r="D1102" i="1"/>
  <c r="G1102" i="1" s="1"/>
  <c r="D1103" i="1"/>
  <c r="G1103" i="1" s="1"/>
  <c r="D1104" i="1"/>
  <c r="G1104" i="1" s="1"/>
  <c r="D1105" i="1"/>
  <c r="G1105" i="1" s="1"/>
  <c r="D1106" i="1"/>
  <c r="G1106" i="1" s="1"/>
  <c r="D1107" i="1"/>
  <c r="G1107" i="1" s="1"/>
  <c r="D1108" i="1"/>
  <c r="G1108" i="1" s="1"/>
  <c r="D1109" i="1"/>
  <c r="G1109" i="1" s="1"/>
  <c r="D1110" i="1"/>
  <c r="G1110" i="1" s="1"/>
  <c r="I1110" i="1" s="1"/>
  <c r="D1111" i="1"/>
  <c r="G1111" i="1" s="1"/>
  <c r="D1112" i="1"/>
  <c r="G1112" i="1" s="1"/>
  <c r="D1113" i="1"/>
  <c r="G1113" i="1" s="1"/>
  <c r="D1114" i="1"/>
  <c r="G1114" i="1" s="1"/>
  <c r="D1115" i="1"/>
  <c r="G1115" i="1" s="1"/>
  <c r="D1116" i="1"/>
  <c r="G1116" i="1" s="1"/>
  <c r="D1117" i="1"/>
  <c r="G1117" i="1" s="1"/>
  <c r="D1118" i="1"/>
  <c r="G1118" i="1" s="1"/>
  <c r="D1119" i="1"/>
  <c r="G1119" i="1" s="1"/>
  <c r="D1120" i="1"/>
  <c r="G1120" i="1" s="1"/>
  <c r="D1121" i="1"/>
  <c r="G1121" i="1" s="1"/>
  <c r="D1122" i="1"/>
  <c r="G1122" i="1" s="1"/>
  <c r="I1122" i="1" s="1"/>
  <c r="D1123" i="1"/>
  <c r="G1123" i="1" s="1"/>
  <c r="D1124" i="1"/>
  <c r="G1124" i="1" s="1"/>
  <c r="D1125" i="1"/>
  <c r="G1125" i="1" s="1"/>
  <c r="D1126" i="1"/>
  <c r="G1126" i="1" s="1"/>
  <c r="D1127" i="1"/>
  <c r="G1127" i="1" s="1"/>
  <c r="D1128" i="1"/>
  <c r="G1128" i="1" s="1"/>
  <c r="D1129" i="1"/>
  <c r="G1129" i="1" s="1"/>
  <c r="D1130" i="1"/>
  <c r="G1130" i="1" s="1"/>
  <c r="D1131" i="1"/>
  <c r="G1131" i="1" s="1"/>
  <c r="D1132" i="1"/>
  <c r="G1132" i="1" s="1"/>
  <c r="D1133" i="1"/>
  <c r="G1133" i="1" s="1"/>
  <c r="D1134" i="1"/>
  <c r="G1134" i="1" s="1"/>
  <c r="I1134" i="1" s="1"/>
  <c r="D1135" i="1"/>
  <c r="G1135" i="1" s="1"/>
  <c r="D1136" i="1"/>
  <c r="G1136" i="1" s="1"/>
  <c r="D1137" i="1"/>
  <c r="G1137" i="1" s="1"/>
  <c r="D1138" i="1"/>
  <c r="G1138" i="1" s="1"/>
  <c r="D1139" i="1"/>
  <c r="G1139" i="1" s="1"/>
  <c r="D1140" i="1"/>
  <c r="G1140" i="1" s="1"/>
  <c r="D1141" i="1"/>
  <c r="G1141" i="1" s="1"/>
  <c r="D1142" i="1"/>
  <c r="G1142" i="1" s="1"/>
  <c r="D1143" i="1"/>
  <c r="G1143" i="1" s="1"/>
  <c r="D1144" i="1"/>
  <c r="G1144" i="1" s="1"/>
  <c r="D1145" i="1"/>
  <c r="G1145" i="1" s="1"/>
  <c r="D1146" i="1"/>
  <c r="G1146" i="1" s="1"/>
  <c r="I1146" i="1" s="1"/>
  <c r="D1147" i="1"/>
  <c r="G1147" i="1" s="1"/>
  <c r="D1148" i="1"/>
  <c r="G1148" i="1" s="1"/>
  <c r="D1149" i="1"/>
  <c r="G1149" i="1" s="1"/>
  <c r="D1150" i="1"/>
  <c r="G1150" i="1" s="1"/>
  <c r="D1151" i="1"/>
  <c r="G1151" i="1" s="1"/>
  <c r="D1152" i="1"/>
  <c r="G1152" i="1" s="1"/>
  <c r="D1153" i="1"/>
  <c r="G1153" i="1" s="1"/>
  <c r="D1154" i="1"/>
  <c r="G1154" i="1" s="1"/>
  <c r="D1155" i="1"/>
  <c r="G1155" i="1" s="1"/>
  <c r="D1156" i="1"/>
  <c r="G1156" i="1" s="1"/>
  <c r="D1157" i="1"/>
  <c r="G1157" i="1" s="1"/>
  <c r="D1158" i="1"/>
  <c r="G1158" i="1" s="1"/>
  <c r="D1159" i="1"/>
  <c r="G1159" i="1" s="1"/>
  <c r="D1160" i="1"/>
  <c r="G1160" i="1" s="1"/>
  <c r="D1161" i="1"/>
  <c r="G1161" i="1" s="1"/>
  <c r="D1162" i="1"/>
  <c r="G1162" i="1" s="1"/>
  <c r="D1163" i="1"/>
  <c r="G1163" i="1" s="1"/>
  <c r="D1164" i="1"/>
  <c r="G1164" i="1" s="1"/>
  <c r="D1165" i="1"/>
  <c r="G1165" i="1" s="1"/>
  <c r="D1166" i="1"/>
  <c r="G1166" i="1" s="1"/>
  <c r="D1167" i="1"/>
  <c r="G1167" i="1" s="1"/>
  <c r="D1168" i="1"/>
  <c r="G1168" i="1" s="1"/>
  <c r="D1169" i="1"/>
  <c r="G1169" i="1" s="1"/>
  <c r="D1170" i="1"/>
  <c r="G1170" i="1" s="1"/>
  <c r="I1170" i="1" s="1"/>
  <c r="D1171" i="1"/>
  <c r="G1171" i="1" s="1"/>
  <c r="D1172" i="1"/>
  <c r="G1172" i="1" s="1"/>
  <c r="D1173" i="1"/>
  <c r="G1173" i="1" s="1"/>
  <c r="D1174" i="1"/>
  <c r="G1174" i="1" s="1"/>
  <c r="D1175" i="1"/>
  <c r="G1175" i="1" s="1"/>
  <c r="D1176" i="1"/>
  <c r="G1176" i="1" s="1"/>
  <c r="D1177" i="1"/>
  <c r="G1177" i="1" s="1"/>
  <c r="D1178" i="1"/>
  <c r="G1178" i="1" s="1"/>
  <c r="D1179" i="1"/>
  <c r="G1179" i="1" s="1"/>
  <c r="D1180" i="1"/>
  <c r="G1180" i="1" s="1"/>
  <c r="D1181" i="1"/>
  <c r="G1181" i="1" s="1"/>
  <c r="D1182" i="1"/>
  <c r="G1182" i="1" s="1"/>
  <c r="I1182" i="1" s="1"/>
  <c r="D1183" i="1"/>
  <c r="G1183" i="1" s="1"/>
  <c r="D1184" i="1"/>
  <c r="G1184" i="1" s="1"/>
  <c r="D1185" i="1"/>
  <c r="G1185" i="1" s="1"/>
  <c r="D1186" i="1"/>
  <c r="G1186" i="1" s="1"/>
  <c r="D1187" i="1"/>
  <c r="G1187" i="1" s="1"/>
  <c r="D1188" i="1"/>
  <c r="G1188" i="1" s="1"/>
  <c r="D1189" i="1"/>
  <c r="G1189" i="1" s="1"/>
  <c r="D1190" i="1"/>
  <c r="G1190" i="1" s="1"/>
  <c r="D1191" i="1"/>
  <c r="G1191" i="1" s="1"/>
  <c r="D1192" i="1"/>
  <c r="G1192" i="1" s="1"/>
  <c r="D1193" i="1"/>
  <c r="G1193" i="1" s="1"/>
  <c r="D1194" i="1"/>
  <c r="G1194" i="1" s="1"/>
  <c r="I1194" i="1" s="1"/>
  <c r="D1195" i="1"/>
  <c r="G1195" i="1" s="1"/>
  <c r="D1196" i="1"/>
  <c r="G1196" i="1" s="1"/>
  <c r="D1197" i="1"/>
  <c r="G1197" i="1" s="1"/>
  <c r="D1198" i="1"/>
  <c r="G1198" i="1" s="1"/>
  <c r="D1199" i="1"/>
  <c r="G1199" i="1" s="1"/>
  <c r="D1200" i="1"/>
  <c r="G1200" i="1" s="1"/>
  <c r="D1201" i="1"/>
  <c r="G1201" i="1" s="1"/>
  <c r="D1202" i="1"/>
  <c r="G1202" i="1" s="1"/>
  <c r="D1203" i="1"/>
  <c r="G1203" i="1" s="1"/>
  <c r="D1204" i="1"/>
  <c r="G1204" i="1" s="1"/>
  <c r="D1205" i="1"/>
  <c r="G1205" i="1" s="1"/>
  <c r="D1206" i="1"/>
  <c r="G1206" i="1" s="1"/>
  <c r="I1206" i="1" s="1"/>
  <c r="D1207" i="1"/>
  <c r="G1207" i="1" s="1"/>
  <c r="D1208" i="1"/>
  <c r="G1208" i="1" s="1"/>
  <c r="D1209" i="1"/>
  <c r="G1209" i="1" s="1"/>
  <c r="D1210" i="1"/>
  <c r="G1210" i="1" s="1"/>
  <c r="D1211" i="1"/>
  <c r="G1211" i="1" s="1"/>
  <c r="D1212" i="1"/>
  <c r="G1212" i="1" s="1"/>
  <c r="D1213" i="1"/>
  <c r="G1213" i="1" s="1"/>
  <c r="D1214" i="1"/>
  <c r="G1214" i="1" s="1"/>
  <c r="D1215" i="1"/>
  <c r="G1215" i="1" s="1"/>
  <c r="D1216" i="1"/>
  <c r="G1216" i="1" s="1"/>
  <c r="D1217" i="1"/>
  <c r="G1217" i="1" s="1"/>
  <c r="D1218" i="1"/>
  <c r="G1218" i="1" s="1"/>
  <c r="I1218" i="1" s="1"/>
  <c r="D1219" i="1"/>
  <c r="G1219" i="1" s="1"/>
  <c r="D1220" i="1"/>
  <c r="G1220" i="1" s="1"/>
  <c r="D1221" i="1"/>
  <c r="G1221" i="1" s="1"/>
  <c r="D1222" i="1"/>
  <c r="G1222" i="1" s="1"/>
  <c r="D1223" i="1"/>
  <c r="G1223" i="1" s="1"/>
  <c r="D1224" i="1"/>
  <c r="G1224" i="1" s="1"/>
  <c r="D1225" i="1"/>
  <c r="G1225" i="1" s="1"/>
  <c r="D1226" i="1"/>
  <c r="G1226" i="1" s="1"/>
  <c r="D1227" i="1"/>
  <c r="G1227" i="1" s="1"/>
  <c r="D1228" i="1"/>
  <c r="G1228" i="1" s="1"/>
  <c r="D1229" i="1"/>
  <c r="G1229" i="1" s="1"/>
  <c r="D1230" i="1"/>
  <c r="G1230" i="1" s="1"/>
  <c r="I1230" i="1" s="1"/>
  <c r="D1231" i="1"/>
  <c r="G1231" i="1" s="1"/>
  <c r="D1232" i="1"/>
  <c r="G1232" i="1" s="1"/>
  <c r="D1233" i="1"/>
  <c r="G1233" i="1" s="1"/>
  <c r="D1234" i="1"/>
  <c r="G1234" i="1" s="1"/>
  <c r="D1235" i="1"/>
  <c r="G1235" i="1" s="1"/>
  <c r="D1236" i="1"/>
  <c r="G1236" i="1" s="1"/>
  <c r="D1237" i="1"/>
  <c r="G1237" i="1" s="1"/>
  <c r="D1238" i="1"/>
  <c r="G1238" i="1" s="1"/>
  <c r="D1239" i="1"/>
  <c r="G1239" i="1" s="1"/>
  <c r="D1240" i="1"/>
  <c r="G1240" i="1" s="1"/>
  <c r="D1241" i="1"/>
  <c r="G1241" i="1" s="1"/>
  <c r="D1242" i="1"/>
  <c r="G1242" i="1" s="1"/>
  <c r="I1242" i="1" s="1"/>
  <c r="D1243" i="1"/>
  <c r="G1243" i="1" s="1"/>
  <c r="D1244" i="1"/>
  <c r="G1244" i="1" s="1"/>
  <c r="D1245" i="1"/>
  <c r="G1245" i="1" s="1"/>
  <c r="D1246" i="1"/>
  <c r="G1246" i="1" s="1"/>
  <c r="D1247" i="1"/>
  <c r="G1247" i="1" s="1"/>
  <c r="D1248" i="1"/>
  <c r="G1248" i="1" s="1"/>
  <c r="D1249" i="1"/>
  <c r="G1249" i="1" s="1"/>
  <c r="D1250" i="1"/>
  <c r="G1250" i="1" s="1"/>
  <c r="D1251" i="1"/>
  <c r="G1251" i="1" s="1"/>
  <c r="D1252" i="1"/>
  <c r="G1252" i="1" s="1"/>
  <c r="D1253" i="1"/>
  <c r="G1253" i="1" s="1"/>
  <c r="D1254" i="1"/>
  <c r="G1254" i="1" s="1"/>
  <c r="I1254" i="1" s="1"/>
  <c r="D1255" i="1"/>
  <c r="G1255" i="1" s="1"/>
  <c r="D1256" i="1"/>
  <c r="G1256" i="1" s="1"/>
  <c r="D1257" i="1"/>
  <c r="G1257" i="1" s="1"/>
  <c r="D1258" i="1"/>
  <c r="G1258" i="1" s="1"/>
  <c r="D1259" i="1"/>
  <c r="G1259" i="1" s="1"/>
  <c r="D1260" i="1"/>
  <c r="G1260" i="1" s="1"/>
  <c r="D1261" i="1"/>
  <c r="G1261" i="1" s="1"/>
  <c r="D1262" i="1"/>
  <c r="G1262" i="1" s="1"/>
  <c r="D1263" i="1"/>
  <c r="G1263" i="1" s="1"/>
  <c r="D1264" i="1"/>
  <c r="G1264" i="1" s="1"/>
  <c r="D1265" i="1"/>
  <c r="G1265" i="1" s="1"/>
  <c r="D1266" i="1"/>
  <c r="G1266" i="1" s="1"/>
  <c r="I1266" i="1" s="1"/>
  <c r="D1267" i="1"/>
  <c r="G1267" i="1" s="1"/>
  <c r="D1268" i="1"/>
  <c r="G1268" i="1" s="1"/>
  <c r="D1269" i="1"/>
  <c r="G1269" i="1" s="1"/>
  <c r="D1270" i="1"/>
  <c r="G1270" i="1" s="1"/>
  <c r="D1271" i="1"/>
  <c r="G1271" i="1" s="1"/>
  <c r="D1272" i="1"/>
  <c r="G1272" i="1" s="1"/>
  <c r="D1273" i="1"/>
  <c r="G1273" i="1" s="1"/>
  <c r="D1274" i="1"/>
  <c r="G1274" i="1" s="1"/>
  <c r="D1275" i="1"/>
  <c r="G1275" i="1" s="1"/>
  <c r="D1276" i="1"/>
  <c r="G1276" i="1" s="1"/>
  <c r="D1277" i="1"/>
  <c r="G1277" i="1" s="1"/>
  <c r="D1278" i="1"/>
  <c r="G1278" i="1" s="1"/>
  <c r="I1278" i="1" s="1"/>
  <c r="D1279" i="1"/>
  <c r="G1279" i="1" s="1"/>
  <c r="D1280" i="1"/>
  <c r="G1280" i="1" s="1"/>
  <c r="D1281" i="1"/>
  <c r="G1281" i="1" s="1"/>
  <c r="D1282" i="1"/>
  <c r="G1282" i="1" s="1"/>
  <c r="D1283" i="1"/>
  <c r="G1283" i="1" s="1"/>
  <c r="D1284" i="1"/>
  <c r="G1284" i="1" s="1"/>
  <c r="D1285" i="1"/>
  <c r="G1285" i="1" s="1"/>
  <c r="D1286" i="1"/>
  <c r="G1286" i="1" s="1"/>
  <c r="D1287" i="1"/>
  <c r="G1287" i="1" s="1"/>
  <c r="D1288" i="1"/>
  <c r="G1288" i="1" s="1"/>
  <c r="D1289" i="1"/>
  <c r="G1289" i="1" s="1"/>
  <c r="I1289" i="1" s="1"/>
  <c r="D1290" i="1"/>
  <c r="G1290" i="1" s="1"/>
  <c r="I1290" i="1" s="1"/>
  <c r="D1291" i="1"/>
  <c r="G1291" i="1" s="1"/>
  <c r="D1292" i="1"/>
  <c r="G1292" i="1" s="1"/>
  <c r="D1293" i="1"/>
  <c r="G1293" i="1" s="1"/>
  <c r="D1294" i="1"/>
  <c r="G1294" i="1" s="1"/>
  <c r="D1295" i="1"/>
  <c r="G1295" i="1" s="1"/>
  <c r="D1296" i="1"/>
  <c r="G1296" i="1" s="1"/>
  <c r="D1297" i="1"/>
  <c r="G1297" i="1" s="1"/>
  <c r="D1298" i="1"/>
  <c r="G1298" i="1" s="1"/>
  <c r="D1299" i="1"/>
  <c r="G1299" i="1" s="1"/>
  <c r="D1300" i="1"/>
  <c r="G1300" i="1" s="1"/>
  <c r="D1301" i="1"/>
  <c r="G1301" i="1" s="1"/>
  <c r="D1302" i="1"/>
  <c r="G1302" i="1" s="1"/>
  <c r="I1302" i="1" s="1"/>
  <c r="D1303" i="1"/>
  <c r="G1303" i="1" s="1"/>
  <c r="D1304" i="1"/>
  <c r="G1304" i="1" s="1"/>
  <c r="D1305" i="1"/>
  <c r="G1305" i="1" s="1"/>
  <c r="D1306" i="1"/>
  <c r="G1306" i="1" s="1"/>
  <c r="D1307" i="1"/>
  <c r="G1307" i="1" s="1"/>
  <c r="D1308" i="1"/>
  <c r="G1308" i="1" s="1"/>
  <c r="D1309" i="1"/>
  <c r="G1309" i="1" s="1"/>
  <c r="D1310" i="1"/>
  <c r="G1310" i="1" s="1"/>
  <c r="D1311" i="1"/>
  <c r="G1311" i="1" s="1"/>
  <c r="D1312" i="1"/>
  <c r="G1312" i="1" s="1"/>
  <c r="D1313" i="1"/>
  <c r="G1313" i="1" s="1"/>
  <c r="D1314" i="1"/>
  <c r="G1314" i="1" s="1"/>
  <c r="I1314" i="1" s="1"/>
  <c r="D1315" i="1"/>
  <c r="G1315" i="1" s="1"/>
  <c r="D1316" i="1"/>
  <c r="G1316" i="1" s="1"/>
  <c r="D1317" i="1"/>
  <c r="G1317" i="1" s="1"/>
  <c r="D1318" i="1"/>
  <c r="G1318" i="1" s="1"/>
  <c r="D1319" i="1"/>
  <c r="G1319" i="1" s="1"/>
  <c r="D1320" i="1"/>
  <c r="G1320" i="1" s="1"/>
  <c r="D1321" i="1"/>
  <c r="G1321" i="1" s="1"/>
  <c r="D1322" i="1"/>
  <c r="G1322" i="1" s="1"/>
  <c r="D1323" i="1"/>
  <c r="G1323" i="1" s="1"/>
  <c r="D1324" i="1"/>
  <c r="G1324" i="1" s="1"/>
  <c r="D1325" i="1"/>
  <c r="G1325" i="1" s="1"/>
  <c r="D1326" i="1"/>
  <c r="G1326" i="1" s="1"/>
  <c r="I1326" i="1" s="1"/>
  <c r="D1327" i="1"/>
  <c r="G1327" i="1" s="1"/>
  <c r="D1328" i="1"/>
  <c r="G1328" i="1" s="1"/>
  <c r="D1329" i="1"/>
  <c r="G1329" i="1" s="1"/>
  <c r="D1330" i="1"/>
  <c r="G1330" i="1" s="1"/>
  <c r="D1331" i="1"/>
  <c r="G1331" i="1" s="1"/>
  <c r="D1332" i="1"/>
  <c r="G1332" i="1" s="1"/>
  <c r="D1333" i="1"/>
  <c r="G1333" i="1" s="1"/>
  <c r="D1334" i="1"/>
  <c r="G1334" i="1" s="1"/>
  <c r="D1335" i="1"/>
  <c r="G1335" i="1" s="1"/>
  <c r="D1336" i="1"/>
  <c r="G1336" i="1" s="1"/>
  <c r="D1337" i="1"/>
  <c r="G1337" i="1" s="1"/>
  <c r="D1338" i="1"/>
  <c r="G1338" i="1" s="1"/>
  <c r="I1338" i="1" s="1"/>
  <c r="D1339" i="1"/>
  <c r="G1339" i="1" s="1"/>
  <c r="D1340" i="1"/>
  <c r="G1340" i="1" s="1"/>
  <c r="D1341" i="1"/>
  <c r="G1341" i="1" s="1"/>
  <c r="D1342" i="1"/>
  <c r="G1342" i="1" s="1"/>
  <c r="D1343" i="1"/>
  <c r="G1343" i="1" s="1"/>
  <c r="D1344" i="1"/>
  <c r="G1344" i="1" s="1"/>
  <c r="D1345" i="1"/>
  <c r="G1345" i="1" s="1"/>
  <c r="D1346" i="1"/>
  <c r="G1346" i="1" s="1"/>
  <c r="D1347" i="1"/>
  <c r="G1347" i="1" s="1"/>
  <c r="D1348" i="1"/>
  <c r="G1348" i="1" s="1"/>
  <c r="D1349" i="1"/>
  <c r="G1349" i="1" s="1"/>
  <c r="D1350" i="1"/>
  <c r="G1350" i="1" s="1"/>
  <c r="I1350" i="1" s="1"/>
  <c r="D1351" i="1"/>
  <c r="G1351" i="1" s="1"/>
  <c r="D1352" i="1"/>
  <c r="G1352" i="1" s="1"/>
  <c r="D1353" i="1"/>
  <c r="G1353" i="1" s="1"/>
  <c r="D1354" i="1"/>
  <c r="G1354" i="1" s="1"/>
  <c r="D1355" i="1"/>
  <c r="G1355" i="1" s="1"/>
  <c r="D1356" i="1"/>
  <c r="G1356" i="1" s="1"/>
  <c r="D1357" i="1"/>
  <c r="G1357" i="1" s="1"/>
  <c r="D1358" i="1"/>
  <c r="G1358" i="1" s="1"/>
  <c r="D1359" i="1"/>
  <c r="G1359" i="1" s="1"/>
  <c r="D1360" i="1"/>
  <c r="G1360" i="1" s="1"/>
  <c r="D1361" i="1"/>
  <c r="G1361" i="1" s="1"/>
  <c r="D1362" i="1"/>
  <c r="G1362" i="1" s="1"/>
  <c r="I1362" i="1" s="1"/>
  <c r="D1363" i="1"/>
  <c r="G1363" i="1" s="1"/>
  <c r="D1364" i="1"/>
  <c r="G1364" i="1" s="1"/>
  <c r="D1365" i="1"/>
  <c r="G1365" i="1" s="1"/>
  <c r="D1366" i="1"/>
  <c r="G1366" i="1" s="1"/>
  <c r="D1367" i="1"/>
  <c r="G1367" i="1" s="1"/>
  <c r="D1368" i="1"/>
  <c r="G1368" i="1" s="1"/>
  <c r="D1369" i="1"/>
  <c r="G1369" i="1" s="1"/>
  <c r="D1370" i="1"/>
  <c r="G1370" i="1" s="1"/>
  <c r="D1371" i="1"/>
  <c r="G1371" i="1" s="1"/>
  <c r="D1372" i="1"/>
  <c r="G1372" i="1" s="1"/>
  <c r="D1373" i="1"/>
  <c r="G1373" i="1" s="1"/>
  <c r="D1374" i="1"/>
  <c r="G1374" i="1" s="1"/>
  <c r="I1374" i="1" s="1"/>
  <c r="D1375" i="1"/>
  <c r="G1375" i="1" s="1"/>
  <c r="D1376" i="1"/>
  <c r="G1376" i="1" s="1"/>
  <c r="D1377" i="1"/>
  <c r="G1377" i="1" s="1"/>
  <c r="D1378" i="1"/>
  <c r="G1378" i="1" s="1"/>
  <c r="D1379" i="1"/>
  <c r="G1379" i="1" s="1"/>
  <c r="D1380" i="1"/>
  <c r="G1380" i="1" s="1"/>
  <c r="D1381" i="1"/>
  <c r="G1381" i="1" s="1"/>
  <c r="D1382" i="1"/>
  <c r="G1382" i="1" s="1"/>
  <c r="D1383" i="1"/>
  <c r="G1383" i="1" s="1"/>
  <c r="D1384" i="1"/>
  <c r="G1384" i="1" s="1"/>
  <c r="D1385" i="1"/>
  <c r="G1385" i="1" s="1"/>
  <c r="D1386" i="1"/>
  <c r="G1386" i="1" s="1"/>
  <c r="I1386" i="1" s="1"/>
  <c r="D1387" i="1"/>
  <c r="G1387" i="1" s="1"/>
  <c r="D1388" i="1"/>
  <c r="G1388" i="1" s="1"/>
  <c r="D1389" i="1"/>
  <c r="G1389" i="1" s="1"/>
  <c r="D1390" i="1"/>
  <c r="G1390" i="1" s="1"/>
  <c r="D1391" i="1"/>
  <c r="G1391" i="1" s="1"/>
  <c r="D1392" i="1"/>
  <c r="G1392" i="1" s="1"/>
  <c r="D1393" i="1"/>
  <c r="G1393" i="1" s="1"/>
  <c r="D1394" i="1"/>
  <c r="G1394" i="1" s="1"/>
  <c r="D1395" i="1"/>
  <c r="G1395" i="1" s="1"/>
  <c r="D1396" i="1"/>
  <c r="G1396" i="1" s="1"/>
  <c r="D1397" i="1"/>
  <c r="G1397" i="1" s="1"/>
  <c r="D1398" i="1"/>
  <c r="G1398" i="1" s="1"/>
  <c r="I1398" i="1" s="1"/>
  <c r="D1399" i="1"/>
  <c r="G1399" i="1" s="1"/>
  <c r="D1400" i="1"/>
  <c r="G1400" i="1" s="1"/>
  <c r="D1401" i="1"/>
  <c r="G1401" i="1" s="1"/>
  <c r="D1402" i="1"/>
  <c r="G1402" i="1" s="1"/>
  <c r="D1403" i="1"/>
  <c r="G1403" i="1" s="1"/>
  <c r="D1404" i="1"/>
  <c r="G1404" i="1" s="1"/>
  <c r="D1405" i="1"/>
  <c r="G1405" i="1" s="1"/>
  <c r="D1406" i="1"/>
  <c r="G1406" i="1" s="1"/>
  <c r="D1407" i="1"/>
  <c r="G1407" i="1" s="1"/>
  <c r="D1408" i="1"/>
  <c r="G1408" i="1" s="1"/>
  <c r="D1409" i="1"/>
  <c r="G1409" i="1" s="1"/>
  <c r="D1410" i="1"/>
  <c r="G1410" i="1" s="1"/>
  <c r="I1410" i="1" s="1"/>
  <c r="D1411" i="1"/>
  <c r="G1411" i="1" s="1"/>
  <c r="D1412" i="1"/>
  <c r="G1412" i="1" s="1"/>
  <c r="D1413" i="1"/>
  <c r="G1413" i="1" s="1"/>
  <c r="D1414" i="1"/>
  <c r="G1414" i="1" s="1"/>
  <c r="D1415" i="1"/>
  <c r="G1415" i="1" s="1"/>
  <c r="D1416" i="1"/>
  <c r="G1416" i="1" s="1"/>
  <c r="D1417" i="1"/>
  <c r="G1417" i="1" s="1"/>
  <c r="D1418" i="1"/>
  <c r="G1418" i="1" s="1"/>
  <c r="D1419" i="1"/>
  <c r="G1419" i="1" s="1"/>
  <c r="D1420" i="1"/>
  <c r="G1420" i="1" s="1"/>
  <c r="D1421" i="1"/>
  <c r="G1421" i="1" s="1"/>
  <c r="D1422" i="1"/>
  <c r="G1422" i="1" s="1"/>
  <c r="I1422" i="1" s="1"/>
  <c r="D1423" i="1"/>
  <c r="G1423" i="1" s="1"/>
  <c r="D1424" i="1"/>
  <c r="G1424" i="1" s="1"/>
  <c r="D1425" i="1"/>
  <c r="G1425" i="1" s="1"/>
  <c r="D1426" i="1"/>
  <c r="G1426" i="1" s="1"/>
  <c r="D1427" i="1"/>
  <c r="G1427" i="1" s="1"/>
  <c r="D1428" i="1"/>
  <c r="G1428" i="1" s="1"/>
  <c r="D1429" i="1"/>
  <c r="G1429" i="1" s="1"/>
  <c r="D1430" i="1"/>
  <c r="G1430" i="1" s="1"/>
  <c r="D1431" i="1"/>
  <c r="G1431" i="1" s="1"/>
  <c r="D1432" i="1"/>
  <c r="G1432" i="1" s="1"/>
  <c r="D1433" i="1"/>
  <c r="G1433" i="1" s="1"/>
  <c r="D1434" i="1"/>
  <c r="G1434" i="1" s="1"/>
  <c r="I1434" i="1" s="1"/>
  <c r="D1435" i="1"/>
  <c r="G1435" i="1" s="1"/>
  <c r="D1436" i="1"/>
  <c r="G1436" i="1" s="1"/>
  <c r="D1437" i="1"/>
  <c r="G1437" i="1" s="1"/>
  <c r="D1438" i="1"/>
  <c r="G1438" i="1" s="1"/>
  <c r="D1439" i="1"/>
  <c r="G1439" i="1" s="1"/>
  <c r="D1440" i="1"/>
  <c r="G1440" i="1" s="1"/>
  <c r="D1441" i="1"/>
  <c r="G1441" i="1" s="1"/>
  <c r="D1442" i="1"/>
  <c r="G1442" i="1" s="1"/>
  <c r="D1443" i="1"/>
  <c r="G1443" i="1" s="1"/>
  <c r="D1444" i="1"/>
  <c r="G1444" i="1" s="1"/>
  <c r="D1445" i="1"/>
  <c r="G1445" i="1" s="1"/>
  <c r="D1446" i="1"/>
  <c r="G1446" i="1" s="1"/>
  <c r="I1446" i="1" s="1"/>
  <c r="D1447" i="1"/>
  <c r="G1447" i="1" s="1"/>
  <c r="D1448" i="1"/>
  <c r="G1448" i="1" s="1"/>
  <c r="D1449" i="1"/>
  <c r="G1449" i="1" s="1"/>
  <c r="D1450" i="1"/>
  <c r="G1450" i="1" s="1"/>
  <c r="D1451" i="1"/>
  <c r="G1451" i="1" s="1"/>
  <c r="D1452" i="1"/>
  <c r="G1452" i="1" s="1"/>
  <c r="D1453" i="1"/>
  <c r="G1453" i="1" s="1"/>
  <c r="D1454" i="1"/>
  <c r="G1454" i="1" s="1"/>
  <c r="D1455" i="1"/>
  <c r="G1455" i="1" s="1"/>
  <c r="D1456" i="1"/>
  <c r="G1456" i="1" s="1"/>
  <c r="D1457" i="1"/>
  <c r="G1457" i="1" s="1"/>
  <c r="D1458" i="1"/>
  <c r="G1458" i="1" s="1"/>
  <c r="I1458" i="1" s="1"/>
  <c r="D1459" i="1"/>
  <c r="G1459" i="1" s="1"/>
  <c r="D1460" i="1"/>
  <c r="G1460" i="1" s="1"/>
  <c r="D1461" i="1"/>
  <c r="G1461" i="1" s="1"/>
  <c r="D1462" i="1"/>
  <c r="G1462" i="1" s="1"/>
  <c r="D1463" i="1"/>
  <c r="G1463" i="1" s="1"/>
  <c r="D1464" i="1"/>
  <c r="G1464" i="1" s="1"/>
  <c r="D1465" i="1"/>
  <c r="G1465" i="1" s="1"/>
  <c r="D1466" i="1"/>
  <c r="G1466" i="1" s="1"/>
  <c r="D1467" i="1"/>
  <c r="G1467" i="1" s="1"/>
  <c r="D1468" i="1"/>
  <c r="G1468" i="1" s="1"/>
  <c r="D1469" i="1"/>
  <c r="G1469" i="1" s="1"/>
  <c r="D1470" i="1"/>
  <c r="G1470" i="1" s="1"/>
  <c r="I1470" i="1" s="1"/>
  <c r="D1471" i="1"/>
  <c r="G1471" i="1" s="1"/>
  <c r="I726" i="1" l="1"/>
  <c r="I642" i="1"/>
  <c r="I558" i="1"/>
  <c r="I462" i="1"/>
  <c r="I426" i="1"/>
  <c r="I282" i="1"/>
  <c r="I54" i="1"/>
  <c r="I762" i="1"/>
  <c r="I618" i="1"/>
  <c r="I954" i="1"/>
  <c r="I858" i="1"/>
  <c r="I90" i="1"/>
  <c r="I774" i="1"/>
  <c r="I582" i="1"/>
  <c r="I1014" i="1"/>
  <c r="I894" i="1"/>
  <c r="I570" i="1"/>
  <c r="I546" i="1"/>
  <c r="I438" i="1"/>
  <c r="I414" i="1"/>
  <c r="I342" i="1"/>
  <c r="I186" i="1"/>
  <c r="I174" i="1"/>
  <c r="I162" i="1"/>
  <c r="I150" i="1"/>
  <c r="I138" i="1"/>
  <c r="I126" i="1"/>
  <c r="I846" i="1"/>
  <c r="I606" i="1"/>
  <c r="I450" i="1"/>
  <c r="I318" i="1"/>
  <c r="I294" i="1"/>
  <c r="H1038" i="1"/>
  <c r="I1038" i="1" s="1"/>
  <c r="H1026" i="1"/>
  <c r="I1026" i="1" s="1"/>
  <c r="H1014" i="1"/>
  <c r="H1002" i="1"/>
  <c r="I1002" i="1" s="1"/>
  <c r="H990" i="1"/>
  <c r="I990" i="1" s="1"/>
  <c r="H978" i="1"/>
  <c r="I978" i="1" s="1"/>
  <c r="H966" i="1"/>
  <c r="I966" i="1" s="1"/>
  <c r="H954" i="1"/>
  <c r="H942" i="1"/>
  <c r="I942" i="1" s="1"/>
  <c r="H930" i="1"/>
  <c r="I930" i="1" s="1"/>
  <c r="H918" i="1"/>
  <c r="I918" i="1" s="1"/>
  <c r="H906" i="1"/>
  <c r="I906" i="1" s="1"/>
  <c r="H894" i="1"/>
  <c r="H882" i="1"/>
  <c r="I882" i="1" s="1"/>
  <c r="H870" i="1"/>
  <c r="I870" i="1" s="1"/>
  <c r="H858" i="1"/>
  <c r="H846" i="1"/>
  <c r="H834" i="1"/>
  <c r="I834" i="1" s="1"/>
  <c r="H822" i="1"/>
  <c r="I822" i="1" s="1"/>
  <c r="H810" i="1"/>
  <c r="I810" i="1" s="1"/>
  <c r="H798" i="1"/>
  <c r="I798" i="1" s="1"/>
  <c r="H786" i="1"/>
  <c r="I786" i="1" s="1"/>
  <c r="H774" i="1"/>
  <c r="H762" i="1"/>
  <c r="H750" i="1"/>
  <c r="I750" i="1" s="1"/>
  <c r="H738" i="1"/>
  <c r="I738" i="1" s="1"/>
  <c r="H726" i="1"/>
  <c r="H714" i="1"/>
  <c r="I714" i="1" s="1"/>
  <c r="H702" i="1"/>
  <c r="H690" i="1"/>
  <c r="I690" i="1" s="1"/>
  <c r="H678" i="1"/>
  <c r="I678" i="1" s="1"/>
  <c r="H666" i="1"/>
  <c r="I666" i="1" s="1"/>
  <c r="H654" i="1"/>
  <c r="I654" i="1" s="1"/>
  <c r="H642" i="1"/>
  <c r="H630" i="1"/>
  <c r="I630" i="1" s="1"/>
  <c r="H618" i="1"/>
  <c r="H606" i="1"/>
  <c r="H594" i="1"/>
  <c r="I594" i="1" s="1"/>
  <c r="H582" i="1"/>
  <c r="H570" i="1"/>
  <c r="H558" i="1"/>
  <c r="H546" i="1"/>
  <c r="H534" i="1"/>
  <c r="I534" i="1" s="1"/>
  <c r="H522" i="1"/>
  <c r="I522" i="1" s="1"/>
  <c r="H510" i="1"/>
  <c r="I510" i="1" s="1"/>
  <c r="H498" i="1"/>
  <c r="I498" i="1" s="1"/>
  <c r="H486" i="1"/>
  <c r="I486" i="1" s="1"/>
  <c r="H474" i="1"/>
  <c r="H462" i="1"/>
  <c r="H450" i="1"/>
  <c r="H438" i="1"/>
  <c r="H426" i="1"/>
  <c r="H414" i="1"/>
  <c r="H402" i="1"/>
  <c r="I402" i="1" s="1"/>
  <c r="H390" i="1"/>
  <c r="I390" i="1" s="1"/>
  <c r="H378" i="1"/>
  <c r="I378" i="1" s="1"/>
  <c r="H366" i="1"/>
  <c r="I366" i="1" s="1"/>
  <c r="H354" i="1"/>
  <c r="I354" i="1" s="1"/>
  <c r="H342" i="1"/>
  <c r="H330" i="1"/>
  <c r="I330" i="1" s="1"/>
  <c r="H318" i="1"/>
  <c r="H306" i="1"/>
  <c r="I306" i="1" s="1"/>
  <c r="H294" i="1"/>
  <c r="H282" i="1"/>
  <c r="H270" i="1"/>
  <c r="I270" i="1" s="1"/>
  <c r="H258" i="1"/>
  <c r="I258" i="1" s="1"/>
  <c r="H246" i="1"/>
  <c r="I246" i="1" s="1"/>
  <c r="H234" i="1"/>
  <c r="I234" i="1" s="1"/>
  <c r="H222" i="1"/>
  <c r="I222" i="1" s="1"/>
  <c r="H210" i="1"/>
  <c r="I210" i="1" s="1"/>
  <c r="H198" i="1"/>
  <c r="I198" i="1" s="1"/>
  <c r="H186" i="1"/>
  <c r="H174" i="1"/>
  <c r="H162" i="1"/>
  <c r="H150" i="1"/>
  <c r="H138" i="1"/>
  <c r="H126" i="1"/>
  <c r="H114" i="1"/>
  <c r="I114" i="1" s="1"/>
  <c r="H102" i="1"/>
  <c r="I102" i="1" s="1"/>
  <c r="H90" i="1"/>
  <c r="H78" i="1"/>
  <c r="I78" i="1" s="1"/>
  <c r="H66" i="1"/>
  <c r="I66" i="1" s="1"/>
  <c r="H54" i="1"/>
  <c r="H42" i="1"/>
  <c r="I42" i="1" s="1"/>
  <c r="H30" i="1"/>
  <c r="I30" i="1" s="1"/>
  <c r="H2" i="1"/>
  <c r="I2" i="1" s="1"/>
  <c r="I1112" i="1"/>
  <c r="I1052" i="1"/>
  <c r="I992" i="1"/>
  <c r="I980" i="1"/>
  <c r="I968" i="1"/>
  <c r="I956" i="1"/>
  <c r="I932" i="1"/>
  <c r="I788" i="1"/>
  <c r="I596" i="1"/>
  <c r="I452" i="1"/>
  <c r="I440" i="1"/>
  <c r="H1463" i="1"/>
  <c r="I1463" i="1" s="1"/>
  <c r="H1451" i="1"/>
  <c r="I1451" i="1" s="1"/>
  <c r="H1439" i="1"/>
  <c r="H1427" i="1"/>
  <c r="I1427" i="1" s="1"/>
  <c r="H1415" i="1"/>
  <c r="I1415" i="1" s="1"/>
  <c r="H1403" i="1"/>
  <c r="H1391" i="1"/>
  <c r="H1379" i="1"/>
  <c r="I1379" i="1" s="1"/>
  <c r="H1367" i="1"/>
  <c r="I1367" i="1" s="1"/>
  <c r="H1355" i="1"/>
  <c r="I1355" i="1" s="1"/>
  <c r="H1343" i="1"/>
  <c r="I1343" i="1" s="1"/>
  <c r="H1331" i="1"/>
  <c r="I1331" i="1" s="1"/>
  <c r="H1319" i="1"/>
  <c r="H1307" i="1"/>
  <c r="I1307" i="1" s="1"/>
  <c r="H1295" i="1"/>
  <c r="I1295" i="1" s="1"/>
  <c r="H1283" i="1"/>
  <c r="I1283" i="1" s="1"/>
  <c r="H1271" i="1"/>
  <c r="I1271" i="1" s="1"/>
  <c r="H1259" i="1"/>
  <c r="H1247" i="1"/>
  <c r="H1235" i="1"/>
  <c r="H1223" i="1"/>
  <c r="I1223" i="1" s="1"/>
  <c r="H1211" i="1"/>
  <c r="H1199" i="1"/>
  <c r="I1199" i="1" s="1"/>
  <c r="H1187" i="1"/>
  <c r="H1175" i="1"/>
  <c r="I1175" i="1" s="1"/>
  <c r="H1163" i="1"/>
  <c r="I1163" i="1" s="1"/>
  <c r="H1151" i="1"/>
  <c r="I1151" i="1" s="1"/>
  <c r="H1139" i="1"/>
  <c r="I1139" i="1" s="1"/>
  <c r="H1127" i="1"/>
  <c r="I1127" i="1" s="1"/>
  <c r="H1115" i="1"/>
  <c r="H1103" i="1"/>
  <c r="H1091" i="1"/>
  <c r="H1079" i="1"/>
  <c r="I1079" i="1" s="1"/>
  <c r="H1067" i="1"/>
  <c r="I1067" i="1" s="1"/>
  <c r="H1055" i="1"/>
  <c r="H1043" i="1"/>
  <c r="H944" i="1"/>
  <c r="I944" i="1" s="1"/>
  <c r="H932" i="1"/>
  <c r="H920" i="1"/>
  <c r="I920" i="1" s="1"/>
  <c r="H908" i="1"/>
  <c r="I908" i="1" s="1"/>
  <c r="H896" i="1"/>
  <c r="I896" i="1" s="1"/>
  <c r="H884" i="1"/>
  <c r="I884" i="1" s="1"/>
  <c r="H872" i="1"/>
  <c r="I872" i="1" s="1"/>
  <c r="H860" i="1"/>
  <c r="I860" i="1" s="1"/>
  <c r="H848" i="1"/>
  <c r="I848" i="1" s="1"/>
  <c r="H836" i="1"/>
  <c r="I836" i="1" s="1"/>
  <c r="H824" i="1"/>
  <c r="I824" i="1" s="1"/>
  <c r="H812" i="1"/>
  <c r="I812" i="1" s="1"/>
  <c r="H800" i="1"/>
  <c r="I800" i="1" s="1"/>
  <c r="H788" i="1"/>
  <c r="H776" i="1"/>
  <c r="I776" i="1" s="1"/>
  <c r="H764" i="1"/>
  <c r="I764" i="1" s="1"/>
  <c r="H752" i="1"/>
  <c r="I752" i="1" s="1"/>
  <c r="H740" i="1"/>
  <c r="I740" i="1" s="1"/>
  <c r="H728" i="1"/>
  <c r="I728" i="1" s="1"/>
  <c r="H716" i="1"/>
  <c r="I716" i="1" s="1"/>
  <c r="H704" i="1"/>
  <c r="I704" i="1" s="1"/>
  <c r="H692" i="1"/>
  <c r="I692" i="1" s="1"/>
  <c r="H680" i="1"/>
  <c r="I680" i="1" s="1"/>
  <c r="H668" i="1"/>
  <c r="I668" i="1" s="1"/>
  <c r="H656" i="1"/>
  <c r="I656" i="1" s="1"/>
  <c r="H644" i="1"/>
  <c r="I644" i="1" s="1"/>
  <c r="H632" i="1"/>
  <c r="I632" i="1" s="1"/>
  <c r="H620" i="1"/>
  <c r="I620" i="1" s="1"/>
  <c r="H608" i="1"/>
  <c r="I608" i="1" s="1"/>
  <c r="H596" i="1"/>
  <c r="H584" i="1"/>
  <c r="I584" i="1" s="1"/>
  <c r="H572" i="1"/>
  <c r="I572" i="1" s="1"/>
  <c r="H560" i="1"/>
  <c r="I560" i="1" s="1"/>
  <c r="H548" i="1"/>
  <c r="I548" i="1" s="1"/>
  <c r="H536" i="1"/>
  <c r="I536" i="1" s="1"/>
  <c r="H524" i="1"/>
  <c r="I524" i="1" s="1"/>
  <c r="H512" i="1"/>
  <c r="I512" i="1" s="1"/>
  <c r="H500" i="1"/>
  <c r="I500" i="1" s="1"/>
  <c r="H488" i="1"/>
  <c r="I488" i="1" s="1"/>
  <c r="H476" i="1"/>
  <c r="I476" i="1" s="1"/>
  <c r="H464" i="1"/>
  <c r="I464" i="1" s="1"/>
  <c r="H452" i="1"/>
  <c r="H440" i="1"/>
  <c r="H428" i="1"/>
  <c r="I428" i="1" s="1"/>
  <c r="H416" i="1"/>
  <c r="I416" i="1" s="1"/>
  <c r="H404" i="1"/>
  <c r="I404" i="1" s="1"/>
  <c r="H392" i="1"/>
  <c r="I392" i="1" s="1"/>
  <c r="H380" i="1"/>
  <c r="I380" i="1" s="1"/>
  <c r="H368" i="1"/>
  <c r="I368" i="1" s="1"/>
  <c r="H356" i="1"/>
  <c r="I356" i="1" s="1"/>
  <c r="H344" i="1"/>
  <c r="H332" i="1"/>
  <c r="H320" i="1"/>
  <c r="I320" i="1" s="1"/>
  <c r="H308" i="1"/>
  <c r="H296" i="1"/>
  <c r="H284" i="1"/>
  <c r="I284" i="1" s="1"/>
  <c r="H272" i="1"/>
  <c r="I272" i="1" s="1"/>
  <c r="H260" i="1"/>
  <c r="I260" i="1" s="1"/>
  <c r="H248" i="1"/>
  <c r="H236" i="1"/>
  <c r="H224" i="1"/>
  <c r="H212" i="1"/>
  <c r="H200" i="1"/>
  <c r="H188" i="1"/>
  <c r="I188" i="1" s="1"/>
  <c r="H176" i="1"/>
  <c r="I176" i="1" s="1"/>
  <c r="H164" i="1"/>
  <c r="H152" i="1"/>
  <c r="H140" i="1"/>
  <c r="I140" i="1" s="1"/>
  <c r="H128" i="1"/>
  <c r="H116" i="1"/>
  <c r="I116" i="1" s="1"/>
  <c r="H104" i="1"/>
  <c r="I104" i="1" s="1"/>
  <c r="H92" i="1"/>
  <c r="I92" i="1" s="1"/>
  <c r="H80" i="1"/>
  <c r="H68" i="1"/>
  <c r="H56" i="1"/>
  <c r="H44" i="1"/>
  <c r="H32" i="1"/>
  <c r="I32" i="1" s="1"/>
  <c r="H20" i="1"/>
  <c r="H8" i="1"/>
  <c r="H1082" i="1"/>
  <c r="I1082" i="1" s="1"/>
  <c r="H1031" i="1"/>
  <c r="I1031" i="1" s="1"/>
  <c r="H1019" i="1"/>
  <c r="H1007" i="1"/>
  <c r="H995" i="1"/>
  <c r="I995" i="1" s="1"/>
  <c r="H983" i="1"/>
  <c r="H971" i="1"/>
  <c r="H959" i="1"/>
  <c r="H947" i="1"/>
  <c r="I947" i="1" s="1"/>
  <c r="H935" i="1"/>
  <c r="I935" i="1" s="1"/>
  <c r="H923" i="1"/>
  <c r="H911" i="1"/>
  <c r="H899" i="1"/>
  <c r="H887" i="1"/>
  <c r="I887" i="1" s="1"/>
  <c r="H875" i="1"/>
  <c r="I875" i="1" s="1"/>
  <c r="H863" i="1"/>
  <c r="I863" i="1" s="1"/>
  <c r="H851" i="1"/>
  <c r="I851" i="1" s="1"/>
  <c r="H839" i="1"/>
  <c r="I839" i="1" s="1"/>
  <c r="H827" i="1"/>
  <c r="I827" i="1" s="1"/>
  <c r="H815" i="1"/>
  <c r="I815" i="1" s="1"/>
  <c r="H803" i="1"/>
  <c r="I803" i="1" s="1"/>
  <c r="H791" i="1"/>
  <c r="I791" i="1" s="1"/>
  <c r="H779" i="1"/>
  <c r="H767" i="1"/>
  <c r="H755" i="1"/>
  <c r="I755" i="1" s="1"/>
  <c r="H743" i="1"/>
  <c r="I743" i="1" s="1"/>
  <c r="H731" i="1"/>
  <c r="I731" i="1" s="1"/>
  <c r="H719" i="1"/>
  <c r="H707" i="1"/>
  <c r="I707" i="1" s="1"/>
  <c r="H695" i="1"/>
  <c r="I695" i="1" s="1"/>
  <c r="H683" i="1"/>
  <c r="I683" i="1" s="1"/>
  <c r="H671" i="1"/>
  <c r="I671" i="1" s="1"/>
  <c r="H659" i="1"/>
  <c r="H647" i="1"/>
  <c r="I647" i="1" s="1"/>
  <c r="H635" i="1"/>
  <c r="H623" i="1"/>
  <c r="H611" i="1"/>
  <c r="I611" i="1" s="1"/>
  <c r="H599" i="1"/>
  <c r="H587" i="1"/>
  <c r="I587" i="1" s="1"/>
  <c r="H575" i="1"/>
  <c r="I575" i="1" s="1"/>
  <c r="H563" i="1"/>
  <c r="I563" i="1" s="1"/>
  <c r="H551" i="1"/>
  <c r="H539" i="1"/>
  <c r="I539" i="1" s="1"/>
  <c r="H527" i="1"/>
  <c r="H515" i="1"/>
  <c r="I515" i="1" s="1"/>
  <c r="H503" i="1"/>
  <c r="I503" i="1" s="1"/>
  <c r="H491" i="1"/>
  <c r="H479" i="1"/>
  <c r="H467" i="1"/>
  <c r="I467" i="1" s="1"/>
  <c r="H455" i="1"/>
  <c r="H443" i="1"/>
  <c r="I443" i="1" s="1"/>
  <c r="H431" i="1"/>
  <c r="I431" i="1" s="1"/>
  <c r="H419" i="1"/>
  <c r="I419" i="1" s="1"/>
  <c r="H407" i="1"/>
  <c r="I407" i="1" s="1"/>
  <c r="H395" i="1"/>
  <c r="I395" i="1" s="1"/>
  <c r="H383" i="1"/>
  <c r="I383" i="1" s="1"/>
  <c r="H371" i="1"/>
  <c r="I371" i="1" s="1"/>
  <c r="H359" i="1"/>
  <c r="I359" i="1" s="1"/>
  <c r="H347" i="1"/>
  <c r="H335" i="1"/>
  <c r="H323" i="1"/>
  <c r="H311" i="1"/>
  <c r="H299" i="1"/>
  <c r="I299" i="1" s="1"/>
  <c r="H287" i="1"/>
  <c r="I287" i="1" s="1"/>
  <c r="H275" i="1"/>
  <c r="H263" i="1"/>
  <c r="H251" i="1"/>
  <c r="H239" i="1"/>
  <c r="H227" i="1"/>
  <c r="I227" i="1" s="1"/>
  <c r="H215" i="1"/>
  <c r="I215" i="1" s="1"/>
  <c r="H203" i="1"/>
  <c r="H191" i="1"/>
  <c r="H179" i="1"/>
  <c r="H167" i="1"/>
  <c r="I167" i="1" s="1"/>
  <c r="H155" i="1"/>
  <c r="I155" i="1" s="1"/>
  <c r="H143" i="1"/>
  <c r="I143" i="1" s="1"/>
  <c r="H131" i="1"/>
  <c r="I131" i="1" s="1"/>
  <c r="H119" i="1"/>
  <c r="I119" i="1" s="1"/>
  <c r="H107" i="1"/>
  <c r="I107" i="1" s="1"/>
  <c r="H95" i="1"/>
  <c r="I95" i="1" s="1"/>
  <c r="H83" i="1"/>
  <c r="I83" i="1" s="1"/>
  <c r="H71" i="1"/>
  <c r="I71" i="1" s="1"/>
  <c r="H59" i="1"/>
  <c r="H47" i="1"/>
  <c r="H35" i="1"/>
  <c r="I35" i="1" s="1"/>
  <c r="H23" i="1"/>
  <c r="I23" i="1" s="1"/>
  <c r="I1263" i="1"/>
  <c r="I987" i="1"/>
  <c r="I1275" i="1"/>
  <c r="I1119" i="1"/>
  <c r="I1375" i="1"/>
  <c r="I1327" i="1"/>
  <c r="I1315" i="1"/>
  <c r="I1303" i="1"/>
  <c r="I1255" i="1"/>
  <c r="I1243" i="1"/>
  <c r="I1231" i="1"/>
  <c r="I1219" i="1"/>
  <c r="I1207" i="1"/>
  <c r="I1195" i="1"/>
  <c r="I1183" i="1"/>
  <c r="I1171" i="1"/>
  <c r="I1159" i="1"/>
  <c r="I1147" i="1"/>
  <c r="I1135" i="1"/>
  <c r="I1123" i="1"/>
  <c r="I1099" i="1"/>
  <c r="I1087" i="1"/>
  <c r="I1075" i="1"/>
  <c r="I1063" i="1"/>
  <c r="I1051" i="1"/>
  <c r="I1039" i="1"/>
  <c r="I1027" i="1"/>
  <c r="I1015" i="1"/>
  <c r="I1003" i="1"/>
  <c r="I991" i="1"/>
  <c r="I979" i="1"/>
  <c r="I967" i="1"/>
  <c r="I955" i="1"/>
  <c r="I943" i="1"/>
  <c r="I931" i="1"/>
  <c r="I919" i="1"/>
  <c r="I907" i="1"/>
  <c r="I895" i="1"/>
  <c r="I883" i="1"/>
  <c r="I871" i="1"/>
  <c r="I859" i="1"/>
  <c r="I847" i="1"/>
  <c r="I835" i="1"/>
  <c r="I823" i="1"/>
  <c r="I811" i="1"/>
  <c r="I799" i="1"/>
  <c r="I787" i="1"/>
  <c r="I775" i="1"/>
  <c r="I763" i="1"/>
  <c r="I751" i="1"/>
  <c r="I739" i="1"/>
  <c r="I727" i="1"/>
  <c r="I715" i="1"/>
  <c r="I703" i="1"/>
  <c r="I691" i="1"/>
  <c r="I679" i="1"/>
  <c r="I667" i="1"/>
  <c r="I655" i="1"/>
  <c r="I643" i="1"/>
  <c r="I631" i="1"/>
  <c r="I619" i="1"/>
  <c r="I607" i="1"/>
  <c r="I595" i="1"/>
  <c r="I583" i="1"/>
  <c r="I571" i="1"/>
  <c r="I559" i="1"/>
  <c r="I547" i="1"/>
  <c r="I535" i="1"/>
  <c r="I523" i="1"/>
  <c r="I511" i="1"/>
  <c r="I499" i="1"/>
  <c r="I487" i="1"/>
  <c r="I475" i="1"/>
  <c r="I463" i="1"/>
  <c r="I451" i="1"/>
  <c r="I439" i="1"/>
  <c r="I427" i="1"/>
  <c r="I415" i="1"/>
  <c r="I403" i="1"/>
  <c r="I391" i="1"/>
  <c r="I379" i="1"/>
  <c r="I367" i="1"/>
  <c r="I319" i="1"/>
  <c r="I223" i="1"/>
  <c r="I79" i="1"/>
  <c r="I55" i="1"/>
  <c r="I43" i="1"/>
  <c r="I31" i="1"/>
  <c r="I964" i="1"/>
  <c r="H367" i="1"/>
  <c r="H355" i="1"/>
  <c r="I355" i="1" s="1"/>
  <c r="H343" i="1"/>
  <c r="I343" i="1" s="1"/>
  <c r="H331" i="1"/>
  <c r="I331" i="1" s="1"/>
  <c r="H319" i="1"/>
  <c r="H307" i="1"/>
  <c r="I307" i="1" s="1"/>
  <c r="H295" i="1"/>
  <c r="I295" i="1" s="1"/>
  <c r="H283" i="1"/>
  <c r="I283" i="1" s="1"/>
  <c r="H271" i="1"/>
  <c r="I271" i="1" s="1"/>
  <c r="H259" i="1"/>
  <c r="I259" i="1" s="1"/>
  <c r="H247" i="1"/>
  <c r="I247" i="1" s="1"/>
  <c r="H235" i="1"/>
  <c r="I235" i="1" s="1"/>
  <c r="H223" i="1"/>
  <c r="H211" i="1"/>
  <c r="I211" i="1" s="1"/>
  <c r="H199" i="1"/>
  <c r="I199" i="1" s="1"/>
  <c r="H187" i="1"/>
  <c r="I187" i="1" s="1"/>
  <c r="H175" i="1"/>
  <c r="I175" i="1" s="1"/>
  <c r="H163" i="1"/>
  <c r="I163" i="1" s="1"/>
  <c r="H151" i="1"/>
  <c r="I151" i="1" s="1"/>
  <c r="H139" i="1"/>
  <c r="I139" i="1" s="1"/>
  <c r="H127" i="1"/>
  <c r="I127" i="1" s="1"/>
  <c r="H115" i="1"/>
  <c r="I115" i="1" s="1"/>
  <c r="H103" i="1"/>
  <c r="I103" i="1" s="1"/>
  <c r="H91" i="1"/>
  <c r="I91" i="1" s="1"/>
  <c r="H79" i="1"/>
  <c r="H67" i="1"/>
  <c r="I67" i="1" s="1"/>
  <c r="H55" i="1"/>
  <c r="H43" i="1"/>
  <c r="H31" i="1"/>
  <c r="H19" i="1"/>
  <c r="I19" i="1" s="1"/>
  <c r="I912" i="1"/>
  <c r="H1408" i="1"/>
  <c r="I1408" i="1" s="1"/>
  <c r="H1204" i="1"/>
  <c r="I1204" i="1" s="1"/>
  <c r="H1132" i="1"/>
  <c r="I1132" i="1" s="1"/>
  <c r="H964" i="1"/>
  <c r="H820" i="1"/>
  <c r="I820" i="1" s="1"/>
  <c r="I1259" i="1"/>
  <c r="I1247" i="1"/>
  <c r="I1115" i="1"/>
  <c r="I1007" i="1"/>
  <c r="I983" i="1"/>
  <c r="I959" i="1"/>
  <c r="I923" i="1"/>
  <c r="I911" i="1"/>
  <c r="I779" i="1"/>
  <c r="I719" i="1"/>
  <c r="I659" i="1"/>
  <c r="I623" i="1"/>
  <c r="I491" i="1"/>
  <c r="I251" i="1"/>
  <c r="H1467" i="1"/>
  <c r="I1467" i="1" s="1"/>
  <c r="H1455" i="1"/>
  <c r="I1455" i="1" s="1"/>
  <c r="H1443" i="1"/>
  <c r="I1443" i="1" s="1"/>
  <c r="H1431" i="1"/>
  <c r="I1431" i="1" s="1"/>
  <c r="H1419" i="1"/>
  <c r="I1419" i="1" s="1"/>
  <c r="H1407" i="1"/>
  <c r="I1407" i="1" s="1"/>
  <c r="H1395" i="1"/>
  <c r="I1395" i="1" s="1"/>
  <c r="H1383" i="1"/>
  <c r="I1383" i="1" s="1"/>
  <c r="H1371" i="1"/>
  <c r="I1371" i="1" s="1"/>
  <c r="H1359" i="1"/>
  <c r="I1359" i="1" s="1"/>
  <c r="H1347" i="1"/>
  <c r="I1347" i="1" s="1"/>
  <c r="H1335" i="1"/>
  <c r="I1335" i="1" s="1"/>
  <c r="H1323" i="1"/>
  <c r="I1323" i="1" s="1"/>
  <c r="H1311" i="1"/>
  <c r="I1311" i="1" s="1"/>
  <c r="H1299" i="1"/>
  <c r="I1299" i="1" s="1"/>
  <c r="H1287" i="1"/>
  <c r="I1287" i="1" s="1"/>
  <c r="H1275" i="1"/>
  <c r="H1263" i="1"/>
  <c r="H1251" i="1"/>
  <c r="I1251" i="1" s="1"/>
  <c r="H1239" i="1"/>
  <c r="I1239" i="1" s="1"/>
  <c r="H1227" i="1"/>
  <c r="I1227" i="1" s="1"/>
  <c r="H1215" i="1"/>
  <c r="I1215" i="1" s="1"/>
  <c r="H1203" i="1"/>
  <c r="I1203" i="1" s="1"/>
  <c r="H1191" i="1"/>
  <c r="I1191" i="1" s="1"/>
  <c r="H1179" i="1"/>
  <c r="I1179" i="1" s="1"/>
  <c r="H1167" i="1"/>
  <c r="I1167" i="1" s="1"/>
  <c r="H1155" i="1"/>
  <c r="I1155" i="1" s="1"/>
  <c r="H1143" i="1"/>
  <c r="I1143" i="1" s="1"/>
  <c r="H1131" i="1"/>
  <c r="I1131" i="1" s="1"/>
  <c r="H1119" i="1"/>
  <c r="H1107" i="1"/>
  <c r="I1107" i="1" s="1"/>
  <c r="H1095" i="1"/>
  <c r="I1095" i="1" s="1"/>
  <c r="H1083" i="1"/>
  <c r="I1083" i="1" s="1"/>
  <c r="H1071" i="1"/>
  <c r="I1071" i="1" s="1"/>
  <c r="H1059" i="1"/>
  <c r="I1059" i="1" s="1"/>
  <c r="H1047" i="1"/>
  <c r="I1047" i="1" s="1"/>
  <c r="H1035" i="1"/>
  <c r="I1035" i="1" s="1"/>
  <c r="H1023" i="1"/>
  <c r="I1023" i="1" s="1"/>
  <c r="H1011" i="1"/>
  <c r="I1011" i="1" s="1"/>
  <c r="H999" i="1"/>
  <c r="I999" i="1" s="1"/>
  <c r="H987" i="1"/>
  <c r="H975" i="1"/>
  <c r="I975" i="1" s="1"/>
  <c r="H963" i="1"/>
  <c r="I963" i="1" s="1"/>
  <c r="I909" i="1"/>
  <c r="H1441" i="1"/>
  <c r="I1441" i="1" s="1"/>
  <c r="H1081" i="1"/>
  <c r="I1081" i="1" s="1"/>
  <c r="H925" i="1"/>
  <c r="I925" i="1" s="1"/>
  <c r="H517" i="1"/>
  <c r="I517" i="1" s="1"/>
  <c r="I344" i="1"/>
  <c r="I332" i="1"/>
  <c r="I308" i="1"/>
  <c r="I296" i="1"/>
  <c r="I248" i="1"/>
  <c r="I236" i="1"/>
  <c r="I224" i="1"/>
  <c r="I212" i="1"/>
  <c r="I200" i="1"/>
  <c r="I164" i="1"/>
  <c r="I152" i="1"/>
  <c r="I128" i="1"/>
  <c r="I80" i="1"/>
  <c r="I68" i="1"/>
  <c r="I56" i="1"/>
  <c r="I44" i="1"/>
  <c r="I20" i="1"/>
  <c r="H1464" i="1"/>
  <c r="I1464" i="1" s="1"/>
  <c r="H1452" i="1"/>
  <c r="H1440" i="1"/>
  <c r="H1428" i="1"/>
  <c r="H1416" i="1"/>
  <c r="H1404" i="1"/>
  <c r="H1392" i="1"/>
  <c r="H1380" i="1"/>
  <c r="I1380" i="1" s="1"/>
  <c r="H1368" i="1"/>
  <c r="I1368" i="1" s="1"/>
  <c r="H1356" i="1"/>
  <c r="I1356" i="1" s="1"/>
  <c r="H1344" i="1"/>
  <c r="I1344" i="1" s="1"/>
  <c r="H1332" i="1"/>
  <c r="I1332" i="1" s="1"/>
  <c r="H1320" i="1"/>
  <c r="I1320" i="1" s="1"/>
  <c r="H1308" i="1"/>
  <c r="H1296" i="1"/>
  <c r="I1296" i="1" s="1"/>
  <c r="H1284" i="1"/>
  <c r="I1284" i="1" s="1"/>
  <c r="H1272" i="1"/>
  <c r="I1272" i="1" s="1"/>
  <c r="H1260" i="1"/>
  <c r="I1260" i="1" s="1"/>
  <c r="H1248" i="1"/>
  <c r="I1248" i="1" s="1"/>
  <c r="H1236" i="1"/>
  <c r="H1224" i="1"/>
  <c r="I1224" i="1" s="1"/>
  <c r="H1212" i="1"/>
  <c r="I1212" i="1" s="1"/>
  <c r="H1200" i="1"/>
  <c r="I1200" i="1" s="1"/>
  <c r="H1188" i="1"/>
  <c r="I1188" i="1" s="1"/>
  <c r="H1176" i="1"/>
  <c r="I1176" i="1" s="1"/>
  <c r="H1164" i="1"/>
  <c r="I1164" i="1" s="1"/>
  <c r="H1152" i="1"/>
  <c r="I1152" i="1" s="1"/>
  <c r="H1140" i="1"/>
  <c r="I1140" i="1" s="1"/>
  <c r="H1128" i="1"/>
  <c r="I1128" i="1" s="1"/>
  <c r="H1116" i="1"/>
  <c r="I1116" i="1" s="1"/>
  <c r="H1104" i="1"/>
  <c r="I1104" i="1" s="1"/>
  <c r="H1092" i="1"/>
  <c r="I1092" i="1" s="1"/>
  <c r="H1080" i="1"/>
  <c r="I1080" i="1" s="1"/>
  <c r="H1068" i="1"/>
  <c r="I1068" i="1" s="1"/>
  <c r="H1056" i="1"/>
  <c r="H1044" i="1"/>
  <c r="I1044" i="1" s="1"/>
  <c r="H1032" i="1"/>
  <c r="I1032" i="1" s="1"/>
  <c r="H1020" i="1"/>
  <c r="H1008" i="1"/>
  <c r="I1008" i="1" s="1"/>
  <c r="H996" i="1"/>
  <c r="H984" i="1"/>
  <c r="I984" i="1" s="1"/>
  <c r="H972" i="1"/>
  <c r="I972" i="1" s="1"/>
  <c r="H960" i="1"/>
  <c r="I960" i="1" s="1"/>
  <c r="H948" i="1"/>
  <c r="I948" i="1" s="1"/>
  <c r="H936" i="1"/>
  <c r="I936" i="1" s="1"/>
  <c r="H924" i="1"/>
  <c r="I924" i="1" s="1"/>
  <c r="H912" i="1"/>
  <c r="H900" i="1"/>
  <c r="I900" i="1" s="1"/>
  <c r="H888" i="1"/>
  <c r="I888" i="1" s="1"/>
  <c r="H876" i="1"/>
  <c r="I876" i="1" s="1"/>
  <c r="H864" i="1"/>
  <c r="I864" i="1" s="1"/>
  <c r="H852" i="1"/>
  <c r="I852" i="1" s="1"/>
  <c r="H840" i="1"/>
  <c r="I840" i="1" s="1"/>
  <c r="H828" i="1"/>
  <c r="I828" i="1" s="1"/>
  <c r="H816" i="1"/>
  <c r="I816" i="1" s="1"/>
  <c r="H804" i="1"/>
  <c r="I804" i="1" s="1"/>
  <c r="I1158" i="1"/>
  <c r="I879" i="1"/>
  <c r="I303" i="1"/>
  <c r="I1142" i="1"/>
  <c r="I1430" i="1"/>
  <c r="I1166" i="1"/>
  <c r="I1034" i="1"/>
  <c r="I1452" i="1"/>
  <c r="I1440" i="1"/>
  <c r="I1428" i="1"/>
  <c r="I1416" i="1"/>
  <c r="I1404" i="1"/>
  <c r="I1392" i="1"/>
  <c r="I1319" i="1"/>
  <c r="I1439" i="1"/>
  <c r="H1442" i="1"/>
  <c r="I1442" i="1" s="1"/>
  <c r="H1406" i="1"/>
  <c r="I1406" i="1" s="1"/>
  <c r="H1382" i="1"/>
  <c r="I1382" i="1" s="1"/>
  <c r="H1346" i="1"/>
  <c r="I1346" i="1" s="1"/>
  <c r="H1322" i="1"/>
  <c r="I1322" i="1" s="1"/>
  <c r="H1286" i="1"/>
  <c r="I1286" i="1" s="1"/>
  <c r="H1250" i="1"/>
  <c r="I1250" i="1" s="1"/>
  <c r="H1214" i="1"/>
  <c r="I1214" i="1" s="1"/>
  <c r="H1178" i="1"/>
  <c r="I1178" i="1" s="1"/>
  <c r="H1154" i="1"/>
  <c r="I1154" i="1" s="1"/>
  <c r="H1130" i="1"/>
  <c r="I1130" i="1" s="1"/>
  <c r="H1106" i="1"/>
  <c r="I1106" i="1" s="1"/>
  <c r="H1094" i="1"/>
  <c r="I1094" i="1" s="1"/>
  <c r="H1070" i="1"/>
  <c r="I1070" i="1" s="1"/>
  <c r="H1058" i="1"/>
  <c r="I1058" i="1" s="1"/>
  <c r="H1046" i="1"/>
  <c r="I1046" i="1" s="1"/>
  <c r="H1034" i="1"/>
  <c r="H1022" i="1"/>
  <c r="I1022" i="1" s="1"/>
  <c r="H1010" i="1"/>
  <c r="I1010" i="1" s="1"/>
  <c r="H986" i="1"/>
  <c r="I986" i="1" s="1"/>
  <c r="H974" i="1"/>
  <c r="I974" i="1" s="1"/>
  <c r="H254" i="1"/>
  <c r="I254" i="1" s="1"/>
  <c r="H218" i="1"/>
  <c r="I218" i="1" s="1"/>
  <c r="H146" i="1"/>
  <c r="I146" i="1" s="1"/>
  <c r="H1454" i="1"/>
  <c r="I1454" i="1" s="1"/>
  <c r="H1430" i="1"/>
  <c r="H1418" i="1"/>
  <c r="I1418" i="1" s="1"/>
  <c r="H1394" i="1"/>
  <c r="I1394" i="1" s="1"/>
  <c r="H1370" i="1"/>
  <c r="I1370" i="1" s="1"/>
  <c r="H1358" i="1"/>
  <c r="I1358" i="1" s="1"/>
  <c r="H1334" i="1"/>
  <c r="I1334" i="1" s="1"/>
  <c r="H1310" i="1"/>
  <c r="I1310" i="1" s="1"/>
  <c r="H1298" i="1"/>
  <c r="I1298" i="1" s="1"/>
  <c r="H1274" i="1"/>
  <c r="I1274" i="1" s="1"/>
  <c r="H1262" i="1"/>
  <c r="I1262" i="1" s="1"/>
  <c r="H1238" i="1"/>
  <c r="I1238" i="1" s="1"/>
  <c r="H1226" i="1"/>
  <c r="I1226" i="1" s="1"/>
  <c r="H1202" i="1"/>
  <c r="I1202" i="1" s="1"/>
  <c r="H1190" i="1"/>
  <c r="I1190" i="1" s="1"/>
  <c r="H1166" i="1"/>
  <c r="H1142" i="1"/>
  <c r="H1118" i="1"/>
  <c r="I1118" i="1" s="1"/>
  <c r="H998" i="1"/>
  <c r="I998" i="1" s="1"/>
  <c r="I1425" i="1"/>
  <c r="I1413" i="1"/>
  <c r="I1389" i="1"/>
  <c r="I1353" i="1"/>
  <c r="I1341" i="1"/>
  <c r="I1317" i="1"/>
  <c r="I1257" i="1"/>
  <c r="I1245" i="1"/>
  <c r="I1233" i="1"/>
  <c r="I1185" i="1"/>
  <c r="I1173" i="1"/>
  <c r="I1101" i="1"/>
  <c r="I1065" i="1"/>
  <c r="I1053" i="1"/>
  <c r="I1029" i="1"/>
  <c r="I1017" i="1"/>
  <c r="I993" i="1"/>
  <c r="I945" i="1"/>
  <c r="I921" i="1"/>
  <c r="I897" i="1"/>
  <c r="I873" i="1"/>
  <c r="I849" i="1"/>
  <c r="I825" i="1"/>
  <c r="I813" i="1"/>
  <c r="I705" i="1"/>
  <c r="I681" i="1"/>
  <c r="I669" i="1"/>
  <c r="I645" i="1"/>
  <c r="I633" i="1"/>
  <c r="I621" i="1"/>
  <c r="I609" i="1"/>
  <c r="I537" i="1"/>
  <c r="I465" i="1"/>
  <c r="I441" i="1"/>
  <c r="I429" i="1"/>
  <c r="I393" i="1"/>
  <c r="I369" i="1"/>
  <c r="I345" i="1"/>
  <c r="I189" i="1"/>
  <c r="I141" i="1"/>
  <c r="I57" i="1"/>
  <c r="H577" i="1"/>
  <c r="I577" i="1" s="1"/>
  <c r="H397" i="1"/>
  <c r="I397" i="1" s="1"/>
  <c r="H169" i="1"/>
  <c r="I169" i="1" s="1"/>
  <c r="H61" i="1"/>
  <c r="H624" i="1"/>
  <c r="I624" i="1" s="1"/>
  <c r="H348" i="1"/>
  <c r="I348" i="1" s="1"/>
  <c r="H204" i="1"/>
  <c r="H60" i="1"/>
  <c r="I60" i="1" s="1"/>
  <c r="H646" i="1"/>
  <c r="I646" i="1" s="1"/>
  <c r="H610" i="1"/>
  <c r="I610" i="1" s="1"/>
  <c r="H951" i="1"/>
  <c r="I951" i="1" s="1"/>
  <c r="H939" i="1"/>
  <c r="I939" i="1" s="1"/>
  <c r="H927" i="1"/>
  <c r="I927" i="1" s="1"/>
  <c r="H915" i="1"/>
  <c r="I915" i="1" s="1"/>
  <c r="H903" i="1"/>
  <c r="I903" i="1" s="1"/>
  <c r="H891" i="1"/>
  <c r="I891" i="1" s="1"/>
  <c r="H879" i="1"/>
  <c r="H867" i="1"/>
  <c r="I867" i="1" s="1"/>
  <c r="H855" i="1"/>
  <c r="I855" i="1" s="1"/>
  <c r="H843" i="1"/>
  <c r="I843" i="1" s="1"/>
  <c r="H831" i="1"/>
  <c r="I831" i="1" s="1"/>
  <c r="H819" i="1"/>
  <c r="I819" i="1" s="1"/>
  <c r="H807" i="1"/>
  <c r="I807" i="1" s="1"/>
  <c r="H795" i="1"/>
  <c r="I795" i="1" s="1"/>
  <c r="H783" i="1"/>
  <c r="I783" i="1" s="1"/>
  <c r="H771" i="1"/>
  <c r="I771" i="1" s="1"/>
  <c r="H759" i="1"/>
  <c r="I759" i="1" s="1"/>
  <c r="H747" i="1"/>
  <c r="I747" i="1" s="1"/>
  <c r="H735" i="1"/>
  <c r="I735" i="1" s="1"/>
  <c r="H723" i="1"/>
  <c r="I723" i="1" s="1"/>
  <c r="H711" i="1"/>
  <c r="I711" i="1" s="1"/>
  <c r="H699" i="1"/>
  <c r="I699" i="1" s="1"/>
  <c r="H687" i="1"/>
  <c r="I687" i="1" s="1"/>
  <c r="H675" i="1"/>
  <c r="I675" i="1" s="1"/>
  <c r="H663" i="1"/>
  <c r="I663" i="1" s="1"/>
  <c r="H651" i="1"/>
  <c r="I651" i="1" s="1"/>
  <c r="H639" i="1"/>
  <c r="I639" i="1" s="1"/>
  <c r="H627" i="1"/>
  <c r="I627" i="1" s="1"/>
  <c r="H615" i="1"/>
  <c r="I615" i="1" s="1"/>
  <c r="H603" i="1"/>
  <c r="I603" i="1" s="1"/>
  <c r="H591" i="1"/>
  <c r="I591" i="1" s="1"/>
  <c r="H579" i="1"/>
  <c r="I579" i="1" s="1"/>
  <c r="H567" i="1"/>
  <c r="I567" i="1" s="1"/>
  <c r="H555" i="1"/>
  <c r="I555" i="1" s="1"/>
  <c r="H543" i="1"/>
  <c r="I543" i="1" s="1"/>
  <c r="H531" i="1"/>
  <c r="I531" i="1" s="1"/>
  <c r="H519" i="1"/>
  <c r="I519" i="1" s="1"/>
  <c r="H507" i="1"/>
  <c r="I507" i="1" s="1"/>
  <c r="H495" i="1"/>
  <c r="I495" i="1" s="1"/>
  <c r="H483" i="1"/>
  <c r="I483" i="1" s="1"/>
  <c r="H471" i="1"/>
  <c r="I471" i="1" s="1"/>
  <c r="H459" i="1"/>
  <c r="I459" i="1" s="1"/>
  <c r="H447" i="1"/>
  <c r="I447" i="1" s="1"/>
  <c r="H435" i="1"/>
  <c r="I435" i="1" s="1"/>
  <c r="H423" i="1"/>
  <c r="I423" i="1" s="1"/>
  <c r="H411" i="1"/>
  <c r="I411" i="1" s="1"/>
  <c r="H399" i="1"/>
  <c r="I399" i="1" s="1"/>
  <c r="H387" i="1"/>
  <c r="I387" i="1" s="1"/>
  <c r="H375" i="1"/>
  <c r="I375" i="1" s="1"/>
  <c r="H363" i="1"/>
  <c r="I363" i="1" s="1"/>
  <c r="H351" i="1"/>
  <c r="I351" i="1" s="1"/>
  <c r="H339" i="1"/>
  <c r="I339" i="1" s="1"/>
  <c r="H327" i="1"/>
  <c r="I327" i="1" s="1"/>
  <c r="H315" i="1"/>
  <c r="I315" i="1" s="1"/>
  <c r="H303" i="1"/>
  <c r="H291" i="1"/>
  <c r="I291" i="1" s="1"/>
  <c r="H279" i="1"/>
  <c r="I279" i="1" s="1"/>
  <c r="H267" i="1"/>
  <c r="I267" i="1" s="1"/>
  <c r="H255" i="1"/>
  <c r="I255" i="1" s="1"/>
  <c r="H243" i="1"/>
  <c r="I243" i="1" s="1"/>
  <c r="H231" i="1"/>
  <c r="I231" i="1" s="1"/>
  <c r="H219" i="1"/>
  <c r="I219" i="1" s="1"/>
  <c r="H207" i="1"/>
  <c r="I207" i="1" s="1"/>
  <c r="H195" i="1"/>
  <c r="I195" i="1" s="1"/>
  <c r="H183" i="1"/>
  <c r="I183" i="1" s="1"/>
  <c r="H171" i="1"/>
  <c r="I171" i="1" s="1"/>
  <c r="H159" i="1"/>
  <c r="I159" i="1" s="1"/>
  <c r="H147" i="1"/>
  <c r="I147" i="1" s="1"/>
  <c r="H135" i="1"/>
  <c r="I135" i="1" s="1"/>
  <c r="H123" i="1"/>
  <c r="I123" i="1" s="1"/>
  <c r="H111" i="1"/>
  <c r="I111" i="1" s="1"/>
  <c r="H99" i="1"/>
  <c r="I99" i="1" s="1"/>
  <c r="H87" i="1"/>
  <c r="I87" i="1" s="1"/>
  <c r="H75" i="1"/>
  <c r="I75" i="1" s="1"/>
  <c r="H63" i="1"/>
  <c r="I63" i="1" s="1"/>
  <c r="H51" i="1"/>
  <c r="I51" i="1" s="1"/>
  <c r="H39" i="1"/>
  <c r="I39" i="1" s="1"/>
  <c r="H27" i="1"/>
  <c r="I27" i="1" s="1"/>
  <c r="H962" i="1"/>
  <c r="I962" i="1" s="1"/>
  <c r="H950" i="1"/>
  <c r="I950" i="1" s="1"/>
  <c r="H938" i="1"/>
  <c r="I938" i="1" s="1"/>
  <c r="H926" i="1"/>
  <c r="I926" i="1" s="1"/>
  <c r="H914" i="1"/>
  <c r="I914" i="1" s="1"/>
  <c r="H902" i="1"/>
  <c r="I902" i="1" s="1"/>
  <c r="H890" i="1"/>
  <c r="I890" i="1" s="1"/>
  <c r="H878" i="1"/>
  <c r="I878" i="1" s="1"/>
  <c r="H866" i="1"/>
  <c r="I866" i="1" s="1"/>
  <c r="H854" i="1"/>
  <c r="I854" i="1" s="1"/>
  <c r="H842" i="1"/>
  <c r="I842" i="1" s="1"/>
  <c r="H830" i="1"/>
  <c r="I830" i="1" s="1"/>
  <c r="H818" i="1"/>
  <c r="I818" i="1" s="1"/>
  <c r="H806" i="1"/>
  <c r="I806" i="1" s="1"/>
  <c r="H794" i="1"/>
  <c r="I794" i="1" s="1"/>
  <c r="H782" i="1"/>
  <c r="I782" i="1" s="1"/>
  <c r="H770" i="1"/>
  <c r="I770" i="1" s="1"/>
  <c r="H758" i="1"/>
  <c r="I758" i="1" s="1"/>
  <c r="H746" i="1"/>
  <c r="I746" i="1" s="1"/>
  <c r="H734" i="1"/>
  <c r="I734" i="1" s="1"/>
  <c r="H722" i="1"/>
  <c r="I722" i="1" s="1"/>
  <c r="H710" i="1"/>
  <c r="I710" i="1" s="1"/>
  <c r="H698" i="1"/>
  <c r="I698" i="1" s="1"/>
  <c r="H686" i="1"/>
  <c r="I686" i="1" s="1"/>
  <c r="H674" i="1"/>
  <c r="I674" i="1" s="1"/>
  <c r="H662" i="1"/>
  <c r="I662" i="1" s="1"/>
  <c r="H650" i="1"/>
  <c r="I650" i="1" s="1"/>
  <c r="H638" i="1"/>
  <c r="I638" i="1" s="1"/>
  <c r="H626" i="1"/>
  <c r="I626" i="1" s="1"/>
  <c r="H614" i="1"/>
  <c r="I614" i="1" s="1"/>
  <c r="H602" i="1"/>
  <c r="I602" i="1" s="1"/>
  <c r="H590" i="1"/>
  <c r="I590" i="1" s="1"/>
  <c r="H578" i="1"/>
  <c r="I578" i="1" s="1"/>
  <c r="H566" i="1"/>
  <c r="I566" i="1" s="1"/>
  <c r="H554" i="1"/>
  <c r="I554" i="1" s="1"/>
  <c r="H542" i="1"/>
  <c r="I542" i="1" s="1"/>
  <c r="H530" i="1"/>
  <c r="I530" i="1" s="1"/>
  <c r="H518" i="1"/>
  <c r="I518" i="1" s="1"/>
  <c r="H506" i="1"/>
  <c r="I506" i="1" s="1"/>
  <c r="H494" i="1"/>
  <c r="I494" i="1" s="1"/>
  <c r="H482" i="1"/>
  <c r="I482" i="1" s="1"/>
  <c r="H470" i="1"/>
  <c r="I470" i="1" s="1"/>
  <c r="H458" i="1"/>
  <c r="I458" i="1" s="1"/>
  <c r="H446" i="1"/>
  <c r="I446" i="1" s="1"/>
  <c r="H434" i="1"/>
  <c r="I434" i="1" s="1"/>
  <c r="H422" i="1"/>
  <c r="I422" i="1" s="1"/>
  <c r="H410" i="1"/>
  <c r="I410" i="1" s="1"/>
  <c r="H398" i="1"/>
  <c r="I398" i="1" s="1"/>
  <c r="H386" i="1"/>
  <c r="I386" i="1" s="1"/>
  <c r="H374" i="1"/>
  <c r="I374" i="1" s="1"/>
  <c r="H362" i="1"/>
  <c r="I362" i="1" s="1"/>
  <c r="H350" i="1"/>
  <c r="I350" i="1" s="1"/>
  <c r="H338" i="1"/>
  <c r="I338" i="1" s="1"/>
  <c r="H326" i="1"/>
  <c r="I326" i="1" s="1"/>
  <c r="H314" i="1"/>
  <c r="I314" i="1" s="1"/>
  <c r="H302" i="1"/>
  <c r="I302" i="1" s="1"/>
  <c r="H290" i="1"/>
  <c r="I290" i="1" s="1"/>
  <c r="H278" i="1"/>
  <c r="I278" i="1" s="1"/>
  <c r="H266" i="1"/>
  <c r="I266" i="1" s="1"/>
  <c r="H242" i="1"/>
  <c r="I242" i="1" s="1"/>
  <c r="H230" i="1"/>
  <c r="I230" i="1" s="1"/>
  <c r="H206" i="1"/>
  <c r="I206" i="1" s="1"/>
  <c r="H194" i="1"/>
  <c r="I194" i="1" s="1"/>
  <c r="H182" i="1"/>
  <c r="I182" i="1" s="1"/>
  <c r="H170" i="1"/>
  <c r="I170" i="1" s="1"/>
  <c r="H158" i="1"/>
  <c r="I158" i="1" s="1"/>
  <c r="H134" i="1"/>
  <c r="I134" i="1" s="1"/>
  <c r="H122" i="1"/>
  <c r="I122" i="1" s="1"/>
  <c r="H110" i="1"/>
  <c r="I110" i="1" s="1"/>
  <c r="H98" i="1"/>
  <c r="I98" i="1" s="1"/>
  <c r="H86" i="1"/>
  <c r="I86" i="1" s="1"/>
  <c r="H74" i="1"/>
  <c r="I74" i="1" s="1"/>
  <c r="H62" i="1"/>
  <c r="I62" i="1" s="1"/>
  <c r="H50" i="1"/>
  <c r="I50" i="1" s="1"/>
  <c r="H38" i="1"/>
  <c r="I38" i="1" s="1"/>
  <c r="H26" i="1"/>
  <c r="I26" i="1" s="1"/>
  <c r="I1189" i="1"/>
  <c r="I589" i="1"/>
  <c r="I541" i="1"/>
  <c r="I971" i="1"/>
  <c r="I701" i="1"/>
  <c r="I61" i="1"/>
  <c r="I1403" i="1"/>
  <c r="I1460" i="1"/>
  <c r="I1388" i="1"/>
  <c r="I1340" i="1"/>
  <c r="I1304" i="1"/>
  <c r="I1292" i="1"/>
  <c r="I1280" i="1"/>
  <c r="I1268" i="1"/>
  <c r="I1256" i="1"/>
  <c r="I1244" i="1"/>
  <c r="I1232" i="1"/>
  <c r="I1220" i="1"/>
  <c r="I1208" i="1"/>
  <c r="I1196" i="1"/>
  <c r="I1184" i="1"/>
  <c r="I1172" i="1"/>
  <c r="I1160" i="1"/>
  <c r="I1148" i="1"/>
  <c r="I1136" i="1"/>
  <c r="I1124" i="1"/>
  <c r="I1100" i="1"/>
  <c r="I1088" i="1"/>
  <c r="I1076" i="1"/>
  <c r="I1064" i="1"/>
  <c r="I1040" i="1"/>
  <c r="I1028" i="1"/>
  <c r="I1016" i="1"/>
  <c r="I1004" i="1"/>
  <c r="I809" i="1"/>
  <c r="I1448" i="1"/>
  <c r="I1400" i="1"/>
  <c r="I1352" i="1"/>
  <c r="I1459" i="1"/>
  <c r="I1411" i="1"/>
  <c r="I1351" i="1"/>
  <c r="I1279" i="1"/>
  <c r="I209" i="1"/>
  <c r="I1436" i="1"/>
  <c r="I1412" i="1"/>
  <c r="I1376" i="1"/>
  <c r="I1328" i="1"/>
  <c r="I1471" i="1"/>
  <c r="I1447" i="1"/>
  <c r="I1423" i="1"/>
  <c r="I1387" i="1"/>
  <c r="I1339" i="1"/>
  <c r="I1267" i="1"/>
  <c r="H1438" i="1"/>
  <c r="I1438" i="1" s="1"/>
  <c r="H1342" i="1"/>
  <c r="I1342" i="1" s="1"/>
  <c r="H1318" i="1"/>
  <c r="I1318" i="1" s="1"/>
  <c r="H1018" i="1"/>
  <c r="I1018" i="1" s="1"/>
  <c r="H742" i="1"/>
  <c r="I742" i="1" s="1"/>
  <c r="H550" i="1"/>
  <c r="I550" i="1" s="1"/>
  <c r="I1049" i="1"/>
  <c r="I1424" i="1"/>
  <c r="I1364" i="1"/>
  <c r="I1316" i="1"/>
  <c r="I1435" i="1"/>
  <c r="I1399" i="1"/>
  <c r="I1363" i="1"/>
  <c r="I1291" i="1"/>
  <c r="I1111" i="1"/>
  <c r="I1469" i="1"/>
  <c r="I1457" i="1"/>
  <c r="I1445" i="1"/>
  <c r="I1433" i="1"/>
  <c r="I1421" i="1"/>
  <c r="I1409" i="1"/>
  <c r="I1397" i="1"/>
  <c r="I1385" i="1"/>
  <c r="I1373" i="1"/>
  <c r="I1361" i="1"/>
  <c r="I1349" i="1"/>
  <c r="I1337" i="1"/>
  <c r="I1325" i="1"/>
  <c r="I1313" i="1"/>
  <c r="I1301" i="1"/>
  <c r="I1277" i="1"/>
  <c r="I1265" i="1"/>
  <c r="I1253" i="1"/>
  <c r="I1241" i="1"/>
  <c r="I1229" i="1"/>
  <c r="I1217" i="1"/>
  <c r="I1205" i="1"/>
  <c r="I1193" i="1"/>
  <c r="I1181" i="1"/>
  <c r="I1169" i="1"/>
  <c r="I1157" i="1"/>
  <c r="I1145" i="1"/>
  <c r="I1133" i="1"/>
  <c r="I1121" i="1"/>
  <c r="I1109" i="1"/>
  <c r="I1097" i="1"/>
  <c r="I1085" i="1"/>
  <c r="I1073" i="1"/>
  <c r="I1061" i="1"/>
  <c r="I1037" i="1"/>
  <c r="I1025" i="1"/>
  <c r="I1013" i="1"/>
  <c r="I989" i="1"/>
  <c r="I977" i="1"/>
  <c r="I965" i="1"/>
  <c r="I953" i="1"/>
  <c r="I941" i="1"/>
  <c r="I929" i="1"/>
  <c r="I917" i="1"/>
  <c r="I905" i="1"/>
  <c r="I881" i="1"/>
  <c r="I869" i="1"/>
  <c r="I857" i="1"/>
  <c r="I845" i="1"/>
  <c r="I833" i="1"/>
  <c r="I821" i="1"/>
  <c r="I797" i="1"/>
  <c r="I785" i="1"/>
  <c r="I773" i="1"/>
  <c r="I761" i="1"/>
  <c r="I749" i="1"/>
  <c r="I737" i="1"/>
  <c r="I725" i="1"/>
  <c r="I713" i="1"/>
  <c r="I689" i="1"/>
  <c r="I677" i="1"/>
  <c r="I665" i="1"/>
  <c r="I653" i="1"/>
  <c r="I641" i="1"/>
  <c r="I629" i="1"/>
  <c r="I617" i="1"/>
  <c r="I593" i="1"/>
  <c r="I581" i="1"/>
  <c r="I569" i="1"/>
  <c r="I557" i="1"/>
  <c r="I545" i="1"/>
  <c r="I533" i="1"/>
  <c r="I521" i="1"/>
  <c r="I509" i="1"/>
  <c r="I497" i="1"/>
  <c r="I485" i="1"/>
  <c r="I473" i="1"/>
  <c r="I461" i="1"/>
  <c r="I449" i="1"/>
  <c r="I437" i="1"/>
  <c r="I425" i="1"/>
  <c r="I413" i="1"/>
  <c r="I401" i="1"/>
  <c r="I389" i="1"/>
  <c r="I377" i="1"/>
  <c r="I353" i="1"/>
  <c r="I341" i="1"/>
  <c r="I329" i="1"/>
  <c r="I317" i="1"/>
  <c r="I305" i="1"/>
  <c r="I293" i="1"/>
  <c r="I281" i="1"/>
  <c r="I269" i="1"/>
  <c r="I257" i="1"/>
  <c r="I245" i="1"/>
  <c r="I233" i="1"/>
  <c r="I221" i="1"/>
  <c r="I197" i="1"/>
  <c r="I185" i="1"/>
  <c r="I173" i="1"/>
  <c r="I161" i="1"/>
  <c r="I149" i="1"/>
  <c r="I137" i="1"/>
  <c r="I125" i="1"/>
  <c r="I101" i="1"/>
  <c r="I89" i="1"/>
  <c r="I77" i="1"/>
  <c r="I65" i="1"/>
  <c r="I53" i="1"/>
  <c r="I41" i="1"/>
  <c r="I29" i="1"/>
  <c r="I1461" i="1"/>
  <c r="I1269" i="1"/>
  <c r="I702" i="1"/>
  <c r="I474" i="1"/>
  <c r="H1462" i="1"/>
  <c r="I1462" i="1" s="1"/>
  <c r="H1450" i="1"/>
  <c r="I1450" i="1" s="1"/>
  <c r="H1426" i="1"/>
  <c r="I1426" i="1" s="1"/>
  <c r="H1414" i="1"/>
  <c r="I1414" i="1" s="1"/>
  <c r="H1402" i="1"/>
  <c r="I1402" i="1" s="1"/>
  <c r="H1390" i="1"/>
  <c r="I1390" i="1" s="1"/>
  <c r="H1378" i="1"/>
  <c r="I1378" i="1" s="1"/>
  <c r="H1366" i="1"/>
  <c r="I1366" i="1" s="1"/>
  <c r="H1354" i="1"/>
  <c r="I1354" i="1" s="1"/>
  <c r="H1330" i="1"/>
  <c r="I1330" i="1" s="1"/>
  <c r="H1306" i="1"/>
  <c r="I1306" i="1" s="1"/>
  <c r="H1294" i="1"/>
  <c r="I1294" i="1" s="1"/>
  <c r="H1282" i="1"/>
  <c r="I1282" i="1" s="1"/>
  <c r="H1270" i="1"/>
  <c r="I1270" i="1" s="1"/>
  <c r="H1258" i="1"/>
  <c r="I1258" i="1" s="1"/>
  <c r="H1246" i="1"/>
  <c r="I1246" i="1" s="1"/>
  <c r="H1234" i="1"/>
  <c r="I1234" i="1" s="1"/>
  <c r="H1222" i="1"/>
  <c r="I1222" i="1" s="1"/>
  <c r="H1210" i="1"/>
  <c r="I1210" i="1" s="1"/>
  <c r="H1198" i="1"/>
  <c r="I1198" i="1" s="1"/>
  <c r="H1186" i="1"/>
  <c r="I1186" i="1" s="1"/>
  <c r="H1174" i="1"/>
  <c r="I1174" i="1" s="1"/>
  <c r="H1162" i="1"/>
  <c r="I1162" i="1" s="1"/>
  <c r="H1150" i="1"/>
  <c r="I1150" i="1" s="1"/>
  <c r="H1138" i="1"/>
  <c r="I1138" i="1" s="1"/>
  <c r="H1126" i="1"/>
  <c r="I1126" i="1" s="1"/>
  <c r="H1114" i="1"/>
  <c r="I1114" i="1" s="1"/>
  <c r="H1102" i="1"/>
  <c r="I1102" i="1" s="1"/>
  <c r="H1090" i="1"/>
  <c r="I1090" i="1" s="1"/>
  <c r="H1078" i="1"/>
  <c r="I1078" i="1" s="1"/>
  <c r="H1066" i="1"/>
  <c r="I1066" i="1" s="1"/>
  <c r="H1054" i="1"/>
  <c r="I1054" i="1" s="1"/>
  <c r="H1042" i="1"/>
  <c r="I1042" i="1" s="1"/>
  <c r="H1030" i="1"/>
  <c r="I1030" i="1" s="1"/>
  <c r="H1006" i="1"/>
  <c r="I1006" i="1" s="1"/>
  <c r="H994" i="1"/>
  <c r="I994" i="1" s="1"/>
  <c r="H982" i="1"/>
  <c r="I982" i="1" s="1"/>
  <c r="H970" i="1"/>
  <c r="I970" i="1" s="1"/>
  <c r="H958" i="1"/>
  <c r="I958" i="1" s="1"/>
  <c r="H946" i="1"/>
  <c r="I946" i="1" s="1"/>
  <c r="H934" i="1"/>
  <c r="I934" i="1" s="1"/>
  <c r="H922" i="1"/>
  <c r="I922" i="1" s="1"/>
  <c r="H910" i="1"/>
  <c r="I910" i="1" s="1"/>
  <c r="H898" i="1"/>
  <c r="I898" i="1" s="1"/>
  <c r="H886" i="1"/>
  <c r="I886" i="1" s="1"/>
  <c r="H874" i="1"/>
  <c r="I874" i="1" s="1"/>
  <c r="H862" i="1"/>
  <c r="I862" i="1" s="1"/>
  <c r="H850" i="1"/>
  <c r="I850" i="1" s="1"/>
  <c r="H838" i="1"/>
  <c r="I838" i="1" s="1"/>
  <c r="H826" i="1"/>
  <c r="I826" i="1" s="1"/>
  <c r="H814" i="1"/>
  <c r="I814" i="1" s="1"/>
  <c r="H802" i="1"/>
  <c r="I802" i="1" s="1"/>
  <c r="H790" i="1"/>
  <c r="I790" i="1" s="1"/>
  <c r="H778" i="1"/>
  <c r="I778" i="1" s="1"/>
  <c r="H766" i="1"/>
  <c r="I766" i="1" s="1"/>
  <c r="H754" i="1"/>
  <c r="I754" i="1" s="1"/>
  <c r="H730" i="1"/>
  <c r="I730" i="1" s="1"/>
  <c r="H718" i="1"/>
  <c r="I718" i="1" s="1"/>
  <c r="H706" i="1"/>
  <c r="I706" i="1" s="1"/>
  <c r="H694" i="1"/>
  <c r="I694" i="1" s="1"/>
  <c r="H682" i="1"/>
  <c r="I682" i="1" s="1"/>
  <c r="H670" i="1"/>
  <c r="I670" i="1" s="1"/>
  <c r="H658" i="1"/>
  <c r="I658" i="1" s="1"/>
  <c r="H634" i="1"/>
  <c r="I634" i="1" s="1"/>
  <c r="H622" i="1"/>
  <c r="I622" i="1" s="1"/>
  <c r="H598" i="1"/>
  <c r="I598" i="1" s="1"/>
  <c r="H586" i="1"/>
  <c r="I586" i="1" s="1"/>
  <c r="H574" i="1"/>
  <c r="I574" i="1" s="1"/>
  <c r="H562" i="1"/>
  <c r="I562" i="1" s="1"/>
  <c r="H538" i="1"/>
  <c r="I538" i="1" s="1"/>
  <c r="H526" i="1"/>
  <c r="I526" i="1" s="1"/>
  <c r="H514" i="1"/>
  <c r="I514" i="1" s="1"/>
  <c r="H502" i="1"/>
  <c r="I502" i="1" s="1"/>
  <c r="H490" i="1"/>
  <c r="I490" i="1" s="1"/>
  <c r="H478" i="1"/>
  <c r="I478" i="1" s="1"/>
  <c r="H466" i="1"/>
  <c r="I466" i="1" s="1"/>
  <c r="H454" i="1"/>
  <c r="I454" i="1" s="1"/>
  <c r="H442" i="1"/>
  <c r="I442" i="1" s="1"/>
  <c r="H430" i="1"/>
  <c r="I430" i="1" s="1"/>
  <c r="H418" i="1"/>
  <c r="I418" i="1" s="1"/>
  <c r="H406" i="1"/>
  <c r="I406" i="1" s="1"/>
  <c r="H394" i="1"/>
  <c r="I394" i="1" s="1"/>
  <c r="H382" i="1"/>
  <c r="I382" i="1" s="1"/>
  <c r="H370" i="1"/>
  <c r="I370" i="1" s="1"/>
  <c r="H358" i="1"/>
  <c r="I358" i="1" s="1"/>
  <c r="H346" i="1"/>
  <c r="I346" i="1" s="1"/>
  <c r="H334" i="1"/>
  <c r="I334" i="1" s="1"/>
  <c r="H322" i="1"/>
  <c r="I322" i="1" s="1"/>
  <c r="H310" i="1"/>
  <c r="I310" i="1" s="1"/>
  <c r="H298" i="1"/>
  <c r="I298" i="1" s="1"/>
  <c r="H286" i="1"/>
  <c r="I286" i="1" s="1"/>
  <c r="H274" i="1"/>
  <c r="I274" i="1" s="1"/>
  <c r="H262" i="1"/>
  <c r="I262" i="1" s="1"/>
  <c r="H250" i="1"/>
  <c r="I250" i="1" s="1"/>
  <c r="H238" i="1"/>
  <c r="I238" i="1" s="1"/>
  <c r="H226" i="1"/>
  <c r="I226" i="1" s="1"/>
  <c r="H214" i="1"/>
  <c r="I214" i="1" s="1"/>
  <c r="H202" i="1"/>
  <c r="I202" i="1" s="1"/>
  <c r="H190" i="1"/>
  <c r="I190" i="1" s="1"/>
  <c r="H178" i="1"/>
  <c r="I178" i="1" s="1"/>
  <c r="H166" i="1"/>
  <c r="I166" i="1" s="1"/>
  <c r="H154" i="1"/>
  <c r="I154" i="1" s="1"/>
  <c r="H142" i="1"/>
  <c r="I142" i="1" s="1"/>
  <c r="H130" i="1"/>
  <c r="H118" i="1"/>
  <c r="I118" i="1" s="1"/>
  <c r="H106" i="1"/>
  <c r="I106" i="1" s="1"/>
  <c r="H94" i="1"/>
  <c r="I94" i="1" s="1"/>
  <c r="H82" i="1"/>
  <c r="I82" i="1" s="1"/>
  <c r="H70" i="1"/>
  <c r="I70" i="1" s="1"/>
  <c r="H58" i="1"/>
  <c r="H46" i="1"/>
  <c r="I46" i="1" s="1"/>
  <c r="H34" i="1"/>
  <c r="I34" i="1" s="1"/>
  <c r="H22" i="1"/>
  <c r="I22" i="1" s="1"/>
  <c r="I237" i="1"/>
  <c r="I1236" i="1"/>
  <c r="I1056" i="1"/>
  <c r="I1020" i="1"/>
  <c r="I996" i="1"/>
  <c r="I204" i="1"/>
  <c r="H1468" i="1"/>
  <c r="I1468" i="1" s="1"/>
  <c r="H1456" i="1"/>
  <c r="I1456" i="1" s="1"/>
  <c r="H1444" i="1"/>
  <c r="I1444" i="1" s="1"/>
  <c r="H1432" i="1"/>
  <c r="I1432" i="1" s="1"/>
  <c r="H1420" i="1"/>
  <c r="I1420" i="1" s="1"/>
  <c r="H1396" i="1"/>
  <c r="I1396" i="1" s="1"/>
  <c r="H1384" i="1"/>
  <c r="I1384" i="1" s="1"/>
  <c r="H1372" i="1"/>
  <c r="I1372" i="1" s="1"/>
  <c r="H1360" i="1"/>
  <c r="I1360" i="1" s="1"/>
  <c r="H1348" i="1"/>
  <c r="I1348" i="1" s="1"/>
  <c r="H1336" i="1"/>
  <c r="I1336" i="1" s="1"/>
  <c r="H1324" i="1"/>
  <c r="I1324" i="1" s="1"/>
  <c r="H1312" i="1"/>
  <c r="I1312" i="1" s="1"/>
  <c r="H1300" i="1"/>
  <c r="I1300" i="1" s="1"/>
  <c r="H1288" i="1"/>
  <c r="I1288" i="1" s="1"/>
  <c r="H1276" i="1"/>
  <c r="I1276" i="1" s="1"/>
  <c r="H1264" i="1"/>
  <c r="I1264" i="1" s="1"/>
  <c r="H1252" i="1"/>
  <c r="I1252" i="1" s="1"/>
  <c r="H1240" i="1"/>
  <c r="I1240" i="1" s="1"/>
  <c r="H1228" i="1"/>
  <c r="I1228" i="1" s="1"/>
  <c r="H1216" i="1"/>
  <c r="I1216" i="1" s="1"/>
  <c r="H1192" i="1"/>
  <c r="I1192" i="1" s="1"/>
  <c r="H1180" i="1"/>
  <c r="I1180" i="1" s="1"/>
  <c r="H1168" i="1"/>
  <c r="I1168" i="1" s="1"/>
  <c r="H1156" i="1"/>
  <c r="I1156" i="1" s="1"/>
  <c r="H1144" i="1"/>
  <c r="I1144" i="1" s="1"/>
  <c r="H1120" i="1"/>
  <c r="I1120" i="1" s="1"/>
  <c r="H1108" i="1"/>
  <c r="I1108" i="1" s="1"/>
  <c r="H1096" i="1"/>
  <c r="I1096" i="1" s="1"/>
  <c r="H1084" i="1"/>
  <c r="I1084" i="1" s="1"/>
  <c r="H1072" i="1"/>
  <c r="I1072" i="1" s="1"/>
  <c r="H1060" i="1"/>
  <c r="I1060" i="1" s="1"/>
  <c r="H1048" i="1"/>
  <c r="I1048" i="1" s="1"/>
  <c r="H1036" i="1"/>
  <c r="I1036" i="1" s="1"/>
  <c r="H1024" i="1"/>
  <c r="I1024" i="1" s="1"/>
  <c r="H1012" i="1"/>
  <c r="I1012" i="1" s="1"/>
  <c r="H1000" i="1"/>
  <c r="I1000" i="1" s="1"/>
  <c r="H988" i="1"/>
  <c r="I988" i="1" s="1"/>
  <c r="H976" i="1"/>
  <c r="I976" i="1" s="1"/>
  <c r="H952" i="1"/>
  <c r="I952" i="1" s="1"/>
  <c r="H940" i="1"/>
  <c r="I940" i="1" s="1"/>
  <c r="H928" i="1"/>
  <c r="I928" i="1" s="1"/>
  <c r="H916" i="1"/>
  <c r="I916" i="1" s="1"/>
  <c r="H904" i="1"/>
  <c r="I904" i="1" s="1"/>
  <c r="H892" i="1"/>
  <c r="I892" i="1" s="1"/>
  <c r="H880" i="1"/>
  <c r="I880" i="1" s="1"/>
  <c r="H868" i="1"/>
  <c r="I868" i="1" s="1"/>
  <c r="H856" i="1"/>
  <c r="I856" i="1" s="1"/>
  <c r="H844" i="1"/>
  <c r="I844" i="1" s="1"/>
  <c r="H832" i="1"/>
  <c r="I832" i="1" s="1"/>
  <c r="H808" i="1"/>
  <c r="I808" i="1" s="1"/>
  <c r="H796" i="1"/>
  <c r="I796" i="1" s="1"/>
  <c r="H784" i="1"/>
  <c r="I784" i="1" s="1"/>
  <c r="H772" i="1"/>
  <c r="I772" i="1" s="1"/>
  <c r="H760" i="1"/>
  <c r="I760" i="1" s="1"/>
  <c r="H748" i="1"/>
  <c r="I748" i="1" s="1"/>
  <c r="H736" i="1"/>
  <c r="I736" i="1" s="1"/>
  <c r="H724" i="1"/>
  <c r="I724" i="1" s="1"/>
  <c r="H712" i="1"/>
  <c r="I712" i="1" s="1"/>
  <c r="H700" i="1"/>
  <c r="I700" i="1" s="1"/>
  <c r="H688" i="1"/>
  <c r="I688" i="1" s="1"/>
  <c r="H640" i="1"/>
  <c r="I640" i="1" s="1"/>
  <c r="H580" i="1"/>
  <c r="I580" i="1" s="1"/>
  <c r="I1235" i="1"/>
  <c r="I1103" i="1"/>
  <c r="I1019" i="1"/>
  <c r="I767" i="1"/>
  <c r="I599" i="1"/>
  <c r="I347" i="1"/>
  <c r="I311" i="1"/>
  <c r="I263" i="1"/>
  <c r="I191" i="1"/>
  <c r="I179" i="1"/>
  <c r="I59" i="1"/>
  <c r="I47" i="1"/>
  <c r="I1308" i="1"/>
  <c r="I1211" i="1"/>
  <c r="I1187" i="1"/>
  <c r="I1091" i="1"/>
  <c r="I1043" i="1"/>
  <c r="I899" i="1"/>
  <c r="I635" i="1"/>
  <c r="I551" i="1"/>
  <c r="I527" i="1"/>
  <c r="I479" i="1"/>
  <c r="I455" i="1"/>
  <c r="I335" i="1"/>
  <c r="I323" i="1"/>
  <c r="I275" i="1"/>
  <c r="I239" i="1"/>
  <c r="I203" i="1"/>
  <c r="I130" i="1"/>
  <c r="I58" i="1"/>
  <c r="H1466" i="1"/>
  <c r="I1466" i="1" s="1"/>
  <c r="I1391" i="1"/>
  <c r="I1055" i="1"/>
  <c r="I1449" i="1"/>
  <c r="I1437" i="1"/>
  <c r="I1401" i="1"/>
  <c r="I1377" i="1"/>
  <c r="I1365" i="1"/>
  <c r="I1329" i="1"/>
  <c r="I1305" i="1"/>
  <c r="I1293" i="1"/>
  <c r="I1281" i="1"/>
  <c r="I1221" i="1"/>
  <c r="I1209" i="1"/>
  <c r="I1197" i="1"/>
  <c r="I1161" i="1"/>
  <c r="I1149" i="1"/>
  <c r="I1137" i="1"/>
  <c r="I1125" i="1"/>
  <c r="I1113" i="1"/>
  <c r="I1089" i="1"/>
  <c r="I1077" i="1"/>
  <c r="I1041" i="1"/>
  <c r="I1005" i="1"/>
  <c r="I981" i="1"/>
  <c r="I969" i="1"/>
  <c r="I957" i="1"/>
  <c r="I933" i="1"/>
  <c r="I885" i="1"/>
  <c r="I861" i="1"/>
  <c r="I837" i="1"/>
  <c r="I801" i="1"/>
  <c r="I789" i="1"/>
  <c r="I777" i="1"/>
  <c r="I765" i="1"/>
  <c r="I753" i="1"/>
  <c r="I741" i="1"/>
  <c r="I729" i="1"/>
  <c r="I717" i="1"/>
  <c r="I693" i="1"/>
  <c r="I657" i="1"/>
  <c r="I597" i="1"/>
  <c r="I585" i="1"/>
  <c r="I573" i="1"/>
  <c r="I561" i="1"/>
  <c r="I549" i="1"/>
  <c r="I525" i="1"/>
  <c r="I513" i="1"/>
  <c r="I501" i="1"/>
  <c r="I489" i="1"/>
  <c r="I477" i="1"/>
  <c r="I453" i="1"/>
  <c r="I417" i="1"/>
  <c r="I405" i="1"/>
  <c r="I381" i="1"/>
  <c r="I357" i="1"/>
  <c r="I333" i="1"/>
  <c r="I321" i="1"/>
  <c r="I309" i="1"/>
  <c r="I297" i="1"/>
  <c r="I285" i="1"/>
  <c r="I273" i="1"/>
  <c r="I261" i="1"/>
  <c r="I249" i="1"/>
  <c r="I225" i="1"/>
  <c r="I213" i="1"/>
  <c r="I201" i="1"/>
  <c r="I177" i="1"/>
  <c r="I165" i="1"/>
  <c r="I153" i="1"/>
  <c r="I129" i="1"/>
  <c r="I117" i="1"/>
  <c r="I105" i="1"/>
  <c r="I93" i="1"/>
  <c r="I81" i="1"/>
  <c r="I69" i="1"/>
  <c r="I45" i="1"/>
  <c r="I33" i="1"/>
  <c r="I21" i="1"/>
  <c r="H1465" i="1"/>
  <c r="I1465" i="1" s="1"/>
  <c r="H1453" i="1"/>
  <c r="I1453" i="1" s="1"/>
  <c r="H1429" i="1"/>
  <c r="I1429" i="1" s="1"/>
  <c r="H1417" i="1"/>
  <c r="I1417" i="1" s="1"/>
  <c r="H1405" i="1"/>
  <c r="I1405" i="1" s="1"/>
  <c r="H1393" i="1"/>
  <c r="I1393" i="1" s="1"/>
  <c r="H1381" i="1"/>
  <c r="I1381" i="1" s="1"/>
  <c r="H1369" i="1"/>
  <c r="I1369" i="1" s="1"/>
  <c r="H1357" i="1"/>
  <c r="I1357" i="1" s="1"/>
  <c r="H1345" i="1"/>
  <c r="I1345" i="1" s="1"/>
  <c r="H1333" i="1"/>
  <c r="I1333" i="1" s="1"/>
  <c r="H1321" i="1"/>
  <c r="I1321" i="1" s="1"/>
  <c r="H1309" i="1"/>
  <c r="I1309" i="1" s="1"/>
  <c r="H1297" i="1"/>
  <c r="I1297" i="1" s="1"/>
  <c r="H1285" i="1"/>
  <c r="I1285" i="1" s="1"/>
  <c r="H1273" i="1"/>
  <c r="I1273" i="1" s="1"/>
  <c r="H1261" i="1"/>
  <c r="I1261" i="1" s="1"/>
  <c r="H1249" i="1"/>
  <c r="I1249" i="1" s="1"/>
  <c r="H1237" i="1"/>
  <c r="I1237" i="1" s="1"/>
  <c r="H1225" i="1"/>
  <c r="I1225" i="1" s="1"/>
  <c r="H1213" i="1"/>
  <c r="I1213" i="1" s="1"/>
  <c r="H1201" i="1"/>
  <c r="I1201" i="1" s="1"/>
  <c r="H1189" i="1"/>
  <c r="H1177" i="1"/>
  <c r="I1177" i="1" s="1"/>
  <c r="H1165" i="1"/>
  <c r="I1165" i="1" s="1"/>
  <c r="H1153" i="1"/>
  <c r="I1153" i="1" s="1"/>
  <c r="H1141" i="1"/>
  <c r="I1141" i="1" s="1"/>
  <c r="H1129" i="1"/>
  <c r="I1129" i="1" s="1"/>
  <c r="H1117" i="1"/>
  <c r="I1117" i="1" s="1"/>
  <c r="H1105" i="1"/>
  <c r="I1105" i="1" s="1"/>
  <c r="H1093" i="1"/>
  <c r="I1093" i="1" s="1"/>
  <c r="H1069" i="1"/>
  <c r="I1069" i="1" s="1"/>
  <c r="H1057" i="1"/>
  <c r="I1057" i="1" s="1"/>
  <c r="H1045" i="1"/>
  <c r="I1045" i="1" s="1"/>
  <c r="H1033" i="1"/>
  <c r="I1033" i="1" s="1"/>
  <c r="H1021" i="1"/>
  <c r="I1021" i="1" s="1"/>
  <c r="H1009" i="1"/>
  <c r="I1009" i="1" s="1"/>
  <c r="H997" i="1"/>
  <c r="I997" i="1" s="1"/>
  <c r="H985" i="1"/>
  <c r="I985" i="1" s="1"/>
  <c r="H973" i="1"/>
  <c r="I973" i="1" s="1"/>
  <c r="H961" i="1"/>
  <c r="I961" i="1" s="1"/>
  <c r="H949" i="1"/>
  <c r="I949" i="1" s="1"/>
  <c r="H937" i="1"/>
  <c r="I937" i="1" s="1"/>
  <c r="H913" i="1"/>
  <c r="I913" i="1" s="1"/>
  <c r="H901" i="1"/>
  <c r="I901" i="1" s="1"/>
  <c r="H889" i="1"/>
  <c r="I889" i="1" s="1"/>
  <c r="H877" i="1"/>
  <c r="I877" i="1" s="1"/>
  <c r="H865" i="1"/>
  <c r="I865" i="1" s="1"/>
  <c r="H853" i="1"/>
  <c r="I853" i="1" s="1"/>
  <c r="H841" i="1"/>
  <c r="I841" i="1" s="1"/>
  <c r="H829" i="1"/>
  <c r="I829" i="1" s="1"/>
  <c r="H817" i="1"/>
  <c r="I817" i="1" s="1"/>
  <c r="H805" i="1"/>
  <c r="I805" i="1" s="1"/>
  <c r="H793" i="1"/>
  <c r="I793" i="1" s="1"/>
  <c r="H781" i="1"/>
  <c r="I781" i="1" s="1"/>
  <c r="H769" i="1"/>
  <c r="I769" i="1" s="1"/>
  <c r="H757" i="1"/>
  <c r="I757" i="1" s="1"/>
  <c r="H745" i="1"/>
  <c r="I745" i="1" s="1"/>
  <c r="H733" i="1"/>
  <c r="I733" i="1" s="1"/>
  <c r="H721" i="1"/>
  <c r="I721" i="1" s="1"/>
  <c r="H709" i="1"/>
  <c r="I709" i="1" s="1"/>
  <c r="H697" i="1"/>
  <c r="I697" i="1" s="1"/>
  <c r="H685" i="1"/>
  <c r="I685" i="1" s="1"/>
  <c r="H673" i="1"/>
  <c r="I673" i="1" s="1"/>
  <c r="H661" i="1"/>
  <c r="I661" i="1" s="1"/>
  <c r="H649" i="1"/>
  <c r="I649" i="1" s="1"/>
  <c r="H637" i="1"/>
  <c r="I637" i="1" s="1"/>
  <c r="H625" i="1"/>
  <c r="I625" i="1" s="1"/>
  <c r="H613" i="1"/>
  <c r="I613" i="1" s="1"/>
  <c r="H601" i="1"/>
  <c r="I601" i="1" s="1"/>
  <c r="H589" i="1"/>
  <c r="H565" i="1"/>
  <c r="I565" i="1" s="1"/>
  <c r="H553" i="1"/>
  <c r="I553" i="1" s="1"/>
  <c r="H541" i="1"/>
  <c r="H481" i="1"/>
  <c r="I481" i="1" s="1"/>
  <c r="H445" i="1"/>
  <c r="I445" i="1" s="1"/>
  <c r="H421" i="1"/>
  <c r="I421" i="1" s="1"/>
  <c r="H313" i="1"/>
  <c r="I313" i="1" s="1"/>
  <c r="H253" i="1"/>
  <c r="I253" i="1" s="1"/>
  <c r="H241" i="1"/>
  <c r="I241" i="1" s="1"/>
  <c r="H97" i="1"/>
  <c r="I97" i="1" s="1"/>
  <c r="H676" i="1"/>
  <c r="I676" i="1" s="1"/>
  <c r="H664" i="1"/>
  <c r="I664" i="1" s="1"/>
  <c r="H652" i="1"/>
  <c r="I652" i="1" s="1"/>
  <c r="H628" i="1"/>
  <c r="I628" i="1" s="1"/>
  <c r="H616" i="1"/>
  <c r="I616" i="1" s="1"/>
  <c r="H604" i="1"/>
  <c r="I604" i="1" s="1"/>
  <c r="H592" i="1"/>
  <c r="I592" i="1" s="1"/>
  <c r="H568" i="1"/>
  <c r="I568" i="1" s="1"/>
  <c r="H556" i="1"/>
  <c r="I556" i="1" s="1"/>
  <c r="H544" i="1"/>
  <c r="I544" i="1" s="1"/>
  <c r="H532" i="1"/>
  <c r="I532" i="1" s="1"/>
  <c r="H520" i="1"/>
  <c r="I520" i="1" s="1"/>
  <c r="H508" i="1"/>
  <c r="I508" i="1" s="1"/>
  <c r="H496" i="1"/>
  <c r="I496" i="1" s="1"/>
  <c r="H484" i="1"/>
  <c r="I484" i="1" s="1"/>
  <c r="H472" i="1"/>
  <c r="I472" i="1" s="1"/>
  <c r="H460" i="1"/>
  <c r="I460" i="1" s="1"/>
  <c r="H448" i="1"/>
  <c r="I448" i="1" s="1"/>
  <c r="H436" i="1"/>
  <c r="I436" i="1" s="1"/>
  <c r="H424" i="1"/>
  <c r="I424" i="1" s="1"/>
  <c r="H412" i="1"/>
  <c r="I412" i="1" s="1"/>
  <c r="H400" i="1"/>
  <c r="I400" i="1" s="1"/>
  <c r="H388" i="1"/>
  <c r="I388" i="1" s="1"/>
  <c r="H376" i="1"/>
  <c r="I376" i="1" s="1"/>
  <c r="H364" i="1"/>
  <c r="I364" i="1" s="1"/>
  <c r="H352" i="1"/>
  <c r="I352" i="1" s="1"/>
  <c r="H340" i="1"/>
  <c r="I340" i="1" s="1"/>
  <c r="H328" i="1"/>
  <c r="I328" i="1" s="1"/>
  <c r="H316" i="1"/>
  <c r="I316" i="1" s="1"/>
  <c r="H304" i="1"/>
  <c r="I304" i="1" s="1"/>
  <c r="H292" i="1"/>
  <c r="I292" i="1" s="1"/>
  <c r="H280" i="1"/>
  <c r="I280" i="1" s="1"/>
  <c r="H268" i="1"/>
  <c r="I268" i="1" s="1"/>
  <c r="H256" i="1"/>
  <c r="I256" i="1" s="1"/>
  <c r="H244" i="1"/>
  <c r="I244" i="1" s="1"/>
  <c r="H232" i="1"/>
  <c r="I232" i="1" s="1"/>
  <c r="H220" i="1"/>
  <c r="I220" i="1" s="1"/>
  <c r="H208" i="1"/>
  <c r="I208" i="1" s="1"/>
  <c r="H196" i="1"/>
  <c r="I196" i="1" s="1"/>
  <c r="H184" i="1"/>
  <c r="I184" i="1" s="1"/>
  <c r="H172" i="1"/>
  <c r="I172" i="1" s="1"/>
  <c r="H160" i="1"/>
  <c r="I160" i="1" s="1"/>
  <c r="H148" i="1"/>
  <c r="I148" i="1" s="1"/>
  <c r="H136" i="1"/>
  <c r="I136" i="1" s="1"/>
  <c r="H124" i="1"/>
  <c r="I124" i="1" s="1"/>
  <c r="H112" i="1"/>
  <c r="I112" i="1" s="1"/>
  <c r="H100" i="1"/>
  <c r="I100" i="1" s="1"/>
  <c r="H88" i="1"/>
  <c r="I88" i="1" s="1"/>
  <c r="H76" i="1"/>
  <c r="I76" i="1" s="1"/>
  <c r="H64" i="1"/>
  <c r="I64" i="1" s="1"/>
  <c r="H52" i="1"/>
  <c r="I52" i="1" s="1"/>
  <c r="H40" i="1"/>
  <c r="I40" i="1" s="1"/>
  <c r="H28" i="1"/>
  <c r="I28" i="1" s="1"/>
  <c r="H529" i="1"/>
  <c r="I529" i="1" s="1"/>
  <c r="H505" i="1"/>
  <c r="I505" i="1" s="1"/>
  <c r="H493" i="1"/>
  <c r="I493" i="1" s="1"/>
  <c r="H469" i="1"/>
  <c r="I469" i="1" s="1"/>
  <c r="H457" i="1"/>
  <c r="I457" i="1" s="1"/>
  <c r="H433" i="1"/>
  <c r="I433" i="1" s="1"/>
  <c r="H409" i="1"/>
  <c r="I409" i="1" s="1"/>
  <c r="H385" i="1"/>
  <c r="I385" i="1" s="1"/>
  <c r="H373" i="1"/>
  <c r="I373" i="1" s="1"/>
  <c r="H361" i="1"/>
  <c r="I361" i="1" s="1"/>
  <c r="H349" i="1"/>
  <c r="I349" i="1" s="1"/>
  <c r="H337" i="1"/>
  <c r="I337" i="1" s="1"/>
  <c r="H325" i="1"/>
  <c r="I325" i="1" s="1"/>
  <c r="H301" i="1"/>
  <c r="I301" i="1" s="1"/>
  <c r="H289" i="1"/>
  <c r="I289" i="1" s="1"/>
  <c r="H277" i="1"/>
  <c r="I277" i="1" s="1"/>
  <c r="H265" i="1"/>
  <c r="I265" i="1" s="1"/>
  <c r="H229" i="1"/>
  <c r="I229" i="1" s="1"/>
  <c r="H217" i="1"/>
  <c r="I217" i="1" s="1"/>
  <c r="H205" i="1"/>
  <c r="I205" i="1" s="1"/>
  <c r="H193" i="1"/>
  <c r="I193" i="1" s="1"/>
  <c r="H181" i="1"/>
  <c r="I181" i="1" s="1"/>
  <c r="H157" i="1"/>
  <c r="I157" i="1" s="1"/>
  <c r="H145" i="1"/>
  <c r="I145" i="1" s="1"/>
  <c r="H133" i="1"/>
  <c r="I133" i="1" s="1"/>
  <c r="H121" i="1"/>
  <c r="I121" i="1" s="1"/>
  <c r="H109" i="1"/>
  <c r="I109" i="1" s="1"/>
  <c r="H85" i="1"/>
  <c r="I85" i="1" s="1"/>
  <c r="H73" i="1"/>
  <c r="I73" i="1" s="1"/>
  <c r="H49" i="1"/>
  <c r="I49" i="1" s="1"/>
  <c r="H37" i="1"/>
  <c r="I37" i="1" s="1"/>
  <c r="H25" i="1"/>
  <c r="I25" i="1" s="1"/>
  <c r="H792" i="1"/>
  <c r="I792" i="1" s="1"/>
  <c r="H780" i="1"/>
  <c r="I780" i="1" s="1"/>
  <c r="H768" i="1"/>
  <c r="I768" i="1" s="1"/>
  <c r="H756" i="1"/>
  <c r="I756" i="1" s="1"/>
  <c r="H744" i="1"/>
  <c r="I744" i="1" s="1"/>
  <c r="H732" i="1"/>
  <c r="I732" i="1" s="1"/>
  <c r="H720" i="1"/>
  <c r="I720" i="1" s="1"/>
  <c r="H708" i="1"/>
  <c r="I708" i="1" s="1"/>
  <c r="H696" i="1"/>
  <c r="I696" i="1" s="1"/>
  <c r="H684" i="1"/>
  <c r="I684" i="1" s="1"/>
  <c r="H672" i="1"/>
  <c r="I672" i="1" s="1"/>
  <c r="H660" i="1"/>
  <c r="I660" i="1" s="1"/>
  <c r="H648" i="1"/>
  <c r="I648" i="1" s="1"/>
  <c r="H636" i="1"/>
  <c r="I636" i="1" s="1"/>
  <c r="H612" i="1"/>
  <c r="I612" i="1" s="1"/>
  <c r="H600" i="1"/>
  <c r="I600" i="1" s="1"/>
  <c r="H588" i="1"/>
  <c r="I588" i="1" s="1"/>
  <c r="H576" i="1"/>
  <c r="I576" i="1" s="1"/>
  <c r="H564" i="1"/>
  <c r="I564" i="1" s="1"/>
  <c r="H552" i="1"/>
  <c r="I552" i="1" s="1"/>
  <c r="H540" i="1"/>
  <c r="I540" i="1" s="1"/>
  <c r="H528" i="1"/>
  <c r="I528" i="1" s="1"/>
  <c r="H516" i="1"/>
  <c r="I516" i="1" s="1"/>
  <c r="H504" i="1"/>
  <c r="I504" i="1" s="1"/>
  <c r="H492" i="1"/>
  <c r="I492" i="1" s="1"/>
  <c r="H480" i="1"/>
  <c r="I480" i="1" s="1"/>
  <c r="H468" i="1"/>
  <c r="I468" i="1" s="1"/>
  <c r="H456" i="1"/>
  <c r="I456" i="1" s="1"/>
  <c r="H444" i="1"/>
  <c r="I444" i="1" s="1"/>
  <c r="H432" i="1"/>
  <c r="I432" i="1" s="1"/>
  <c r="H420" i="1"/>
  <c r="I420" i="1" s="1"/>
  <c r="H408" i="1"/>
  <c r="I408" i="1" s="1"/>
  <c r="H396" i="1"/>
  <c r="I396" i="1" s="1"/>
  <c r="H384" i="1"/>
  <c r="I384" i="1" s="1"/>
  <c r="H372" i="1"/>
  <c r="I372" i="1" s="1"/>
  <c r="H360" i="1"/>
  <c r="I360" i="1" s="1"/>
  <c r="H336" i="1"/>
  <c r="I336" i="1" s="1"/>
  <c r="H324" i="1"/>
  <c r="I324" i="1" s="1"/>
  <c r="H312" i="1"/>
  <c r="I312" i="1" s="1"/>
  <c r="H300" i="1"/>
  <c r="I300" i="1" s="1"/>
  <c r="H288" i="1"/>
  <c r="I288" i="1" s="1"/>
  <c r="H276" i="1"/>
  <c r="I276" i="1" s="1"/>
  <c r="H264" i="1"/>
  <c r="I264" i="1" s="1"/>
  <c r="H252" i="1"/>
  <c r="I252" i="1" s="1"/>
  <c r="H240" i="1"/>
  <c r="I240" i="1" s="1"/>
  <c r="H228" i="1"/>
  <c r="I228" i="1" s="1"/>
  <c r="H216" i="1"/>
  <c r="I216" i="1" s="1"/>
  <c r="H192" i="1"/>
  <c r="I192" i="1" s="1"/>
  <c r="H180" i="1"/>
  <c r="I180" i="1" s="1"/>
  <c r="H168" i="1"/>
  <c r="I168" i="1" s="1"/>
  <c r="H156" i="1"/>
  <c r="I156" i="1" s="1"/>
  <c r="H144" i="1"/>
  <c r="I144" i="1" s="1"/>
  <c r="H132" i="1"/>
  <c r="I132" i="1" s="1"/>
  <c r="H120" i="1"/>
  <c r="I120" i="1" s="1"/>
  <c r="H108" i="1"/>
  <c r="I108" i="1" s="1"/>
  <c r="H96" i="1"/>
  <c r="I96" i="1" s="1"/>
  <c r="H84" i="1"/>
  <c r="I84" i="1" s="1"/>
  <c r="H72" i="1"/>
  <c r="I72" i="1" s="1"/>
  <c r="H48" i="1"/>
  <c r="I48" i="1" s="1"/>
  <c r="H36" i="1"/>
  <c r="I36" i="1" s="1"/>
  <c r="H24" i="1"/>
  <c r="I24" i="1" s="1"/>
  <c r="H11" i="1"/>
  <c r="I11" i="1" s="1"/>
  <c r="H7" i="1"/>
  <c r="I7" i="1" s="1"/>
  <c r="H18" i="1"/>
  <c r="I18" i="1" s="1"/>
  <c r="H6" i="1"/>
  <c r="I6" i="1" s="1"/>
  <c r="H17" i="1"/>
  <c r="I17" i="1" s="1"/>
  <c r="H5" i="1"/>
  <c r="I5" i="1" s="1"/>
  <c r="H16" i="1"/>
  <c r="I16" i="1" s="1"/>
  <c r="H4" i="1"/>
  <c r="I4" i="1" s="1"/>
  <c r="H15" i="1"/>
  <c r="I15" i="1" s="1"/>
  <c r="H3" i="1"/>
  <c r="I3" i="1" s="1"/>
  <c r="I9" i="1"/>
  <c r="I8" i="1"/>
  <c r="H12" i="1"/>
  <c r="I12" i="1" s="1"/>
  <c r="H10" i="1"/>
  <c r="I10" i="1" s="1"/>
  <c r="H14" i="1"/>
  <c r="I14" i="1" s="1"/>
  <c r="H13" i="1"/>
  <c r="I1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F69425-0DC4-4709-97ED-C5147AB1B96D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<sst xmlns="http://schemas.openxmlformats.org/spreadsheetml/2006/main" count="4458" uniqueCount="42">
  <si>
    <t>EmployeeID</t>
  </si>
  <si>
    <t>Age</t>
  </si>
  <si>
    <t>Department</t>
  </si>
  <si>
    <t>JobRole</t>
  </si>
  <si>
    <t>JobLevel</t>
  </si>
  <si>
    <t>MonthlyIncome</t>
  </si>
  <si>
    <t>YearsAtCompany</t>
  </si>
  <si>
    <t>WorkLifeBalance</t>
  </si>
  <si>
    <t>Sales</t>
  </si>
  <si>
    <t>Sales Executive</t>
  </si>
  <si>
    <t>Yes</t>
  </si>
  <si>
    <t>Research &amp; Development</t>
  </si>
  <si>
    <t>Research Scientist</t>
  </si>
  <si>
    <t>No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</si>
  <si>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</si>
  <si>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</si>
  <si>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</si>
  <si>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</si>
  <si>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</si>
  <si>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</si>
  <si>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</si>
  <si>
    <t>Column2</t>
  </si>
  <si>
    <t>Attrition</t>
  </si>
  <si>
    <t>HRA (20%)</t>
  </si>
  <si>
    <t>PF (12%)</t>
  </si>
  <si>
    <t>TAX (10%)</t>
  </si>
  <si>
    <t>Gross Pay</t>
  </si>
  <si>
    <t>Deduction</t>
  </si>
  <si>
    <t>Net Pay</t>
  </si>
  <si>
    <t>EmployeeNumber</t>
  </si>
  <si>
    <t>Row Labels</t>
  </si>
  <si>
    <t>Grand Total</t>
  </si>
  <si>
    <t>Count of EmployeeNumber</t>
  </si>
  <si>
    <t>Headcount by Department</t>
  </si>
  <si>
    <t>Average of MonthlyIncome</t>
  </si>
  <si>
    <t>Attrition Count / Rate by Department</t>
  </si>
  <si>
    <t>Column Labels</t>
  </si>
  <si>
    <t>Total Employee Count</t>
  </si>
  <si>
    <t>Employee Count</t>
  </si>
  <si>
    <t>Total %</t>
  </si>
  <si>
    <t>%</t>
  </si>
  <si>
    <t xml:space="preserve">Average Monthly income by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</si>
</sst>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59595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pivotButton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2" fillId="2" borderId="1" xfId="1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 vertical="center" readingOrder="1"/>
    </xf>
    <xf numFmtId="0" fontId="0" fillId="0" borderId="0" xfId="0" applyAlignment="1">
      <alignment horizontal="center"/>
    </xf>
  </cellXfs>
  <cellStyles count="2">
    <cellStyle name="60% - Accent5" xfId="1" builtinId="48"/>
    <cellStyle name="Normal" xfId="0" builtinId="0"/>
  </cellStyles>
  <dxfs count="99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trike val="0"/>
      </font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64" formatCode="_ [$₹-4009]\ * #,##0.00_ ;_ [$₹-4009]\ * \-#,##0.00_ ;_ [$₹-4009]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[$₹-4009]\ * #,##0.00_ ;_ [$₹-4009]\ * \-#,##0.00_ ;_ [$₹-4009]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[$₹-4009]\ * #,##0.00_ ;_ [$₹-4009]\ * \-#,##0.00_ ;_ [$₹-4009]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[$₹-4009]\ * #,##0.00_ ;_ [$₹-4009]\ * \-#,##0.00_ ;_ [$₹-4009]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[$₹-4009]\ * #,##0.00_ ;_ [$₹-4009]\ * \-#,##0.00_ ;_ [$₹-4009]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[$₹-4009]\ * #,##0.00_ ;_ [$₹-4009]\ * \-#,##0.00_ ;_ [$₹-4009]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[$₹-4009]\ * #,##0.00_ ;_ [$₹-4009]\ * \-#,##0.00_ ;_ [$₹-4009]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164" formatCode="_ [$₹-4009]\ * #,##0.00_ ;_ [$₹-4009]\ * \-#,##0.00_ ;_ [$₹-4009]\ * &quot;-&quot;??_ ;_ @_ 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03764"/>
      <color rgb="FFD9EAF7"/>
      <color rgb="FF66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Dashboard.xlsx]Report!PivotTable6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Report!$B$34:$B$36</c:f>
              <c:strCache>
                <c:ptCount val="1"/>
                <c:pt idx="0">
                  <c:v>No - Employee Count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Report!$A$37:$A$40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Report!$B$37:$B$40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8-485D-B1EA-C66B9BF01838}"/>
            </c:ext>
          </c:extLst>
        </c:ser>
        <c:ser>
          <c:idx val="1"/>
          <c:order val="1"/>
          <c:tx>
            <c:strRef>
              <c:f>Report!$C$34:$C$36</c:f>
              <c:strCache>
                <c:ptCount val="1"/>
                <c:pt idx="0">
                  <c:v>No - %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Report!$A$37:$A$40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Report!$C$37:$C$40</c:f>
              <c:numCache>
                <c:formatCode>0.0%</c:formatCode>
                <c:ptCount val="3"/>
                <c:pt idx="0">
                  <c:v>0.80952380952380953</c:v>
                </c:pt>
                <c:pt idx="1">
                  <c:v>0.86160249739854322</c:v>
                </c:pt>
                <c:pt idx="2">
                  <c:v>0.79372197309417036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88-485D-B1EA-C66B9BF01838}"/>
            </c:ext>
          </c:extLst>
        </c:ser>
        <c:ser>
          <c:idx val="2"/>
          <c:order val="2"/>
          <c:tx>
            <c:strRef>
              <c:f>Report!$D$34:$D$36</c:f>
              <c:strCache>
                <c:ptCount val="1"/>
                <c:pt idx="0">
                  <c:v>Yes - Employee Count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Report!$A$37:$A$40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Report!$D$37:$D$40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988-485D-B1EA-C66B9BF01838}"/>
            </c:ext>
          </c:extLst>
        </c:ser>
        <c:ser>
          <c:idx val="3"/>
          <c:order val="3"/>
          <c:tx>
            <c:strRef>
              <c:f>Report!$E$34:$E$36</c:f>
              <c:strCache>
                <c:ptCount val="1"/>
                <c:pt idx="0">
                  <c:v>Yes - %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Report!$A$37:$A$40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Report!$E$37:$E$40</c:f>
              <c:numCache>
                <c:formatCode>0.0%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988-485D-B1EA-C66B9BF01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19930703"/>
        <c:axId val="1019928303"/>
      </c:barChart>
      <c:catAx>
        <c:axId val="101993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28303"/>
        <c:crosses val="autoZero"/>
        <c:auto val="1"/>
        <c:lblAlgn val="ctr"/>
        <c:lblOffset val="100"/>
        <c:noMultiLvlLbl val="0"/>
      </c:catAx>
      <c:valAx>
        <c:axId val="10199283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3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Dashboard.xlsx]Report!PivotTable2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cap="all" baseline="0">
                <a:effectLst/>
              </a:rPr>
              <a:t>Headcount by Department</a:t>
            </a:r>
            <a:r>
              <a:rPr lang="en-IN" sz="1200" b="1" i="0" u="none" strike="noStrike" cap="all" baseline="0">
                <a:effectLst/>
              </a:rPr>
              <a:t> </a:t>
            </a:r>
            <a:endParaRPr lang="en-US" sz="1200"/>
          </a:p>
        </c:rich>
      </c:tx>
      <c:layout>
        <c:manualLayout>
          <c:xMode val="edge"/>
          <c:yMode val="edge"/>
          <c:x val="0.21831422485846541"/>
          <c:y val="0.114109055762677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Report!$B$10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Report!$A$11:$A$14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Report!$B$11:$B$14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2-4444-8AA3-C1A3C7377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19925423"/>
        <c:axId val="1019922543"/>
      </c:barChart>
      <c:catAx>
        <c:axId val="101992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22543"/>
        <c:crosses val="autoZero"/>
        <c:auto val="1"/>
        <c:lblAlgn val="ctr"/>
        <c:lblOffset val="100"/>
        <c:noMultiLvlLbl val="0"/>
      </c:catAx>
      <c:valAx>
        <c:axId val="10199225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2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Dashboard.xlsx]Report!PivotTable5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cap="all" baseline="0">
                <a:effectLst/>
              </a:rPr>
              <a:t>Average Monthly income by Department</a:t>
            </a:r>
            <a:r>
              <a:rPr lang="en-IN" sz="1400" b="1" i="0" u="none" strike="noStrike" cap="all" baseline="0">
                <a:effectLst/>
              </a:rPr>
              <a:t> </a:t>
            </a:r>
            <a:endParaRPr lang="en-US" sz="1400"/>
          </a:p>
        </c:rich>
      </c:tx>
      <c:layout>
        <c:manualLayout>
          <c:xMode val="edge"/>
          <c:yMode val="edge"/>
          <c:x val="0.15774429361908962"/>
          <c:y val="8.8360197248663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Report!$B$21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Report!$A$22:$A$25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Report!$B$22:$B$25</c:f>
              <c:numCache>
                <c:formatCode>_ [$₹-4009]\ * #,##0.00_ ;_ [$₹-4009]\ * \-#,##0.00_ ;_ [$₹-4009]\ * "-"??_ ;_ @_ 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D-4225-ADB7-4DAEE7AB2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706607391"/>
        <c:axId val="1706592511"/>
      </c:barChart>
      <c:catAx>
        <c:axId val="170660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592511"/>
        <c:crosses val="autoZero"/>
        <c:auto val="1"/>
        <c:lblAlgn val="ctr"/>
        <c:lblOffset val="100"/>
        <c:noMultiLvlLbl val="0"/>
      </c:catAx>
      <c:valAx>
        <c:axId val="17065925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60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21663</xdr:rowOff>
    </xdr:from>
    <xdr:to>
      <xdr:col>6</xdr:col>
      <xdr:colOff>485775</xdr:colOff>
      <xdr:row>57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AFC47-A485-BB7C-9A63-EDB17BF18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4548</xdr:colOff>
      <xdr:row>7</xdr:row>
      <xdr:rowOff>163740</xdr:rowOff>
    </xdr:from>
    <xdr:to>
      <xdr:col>7</xdr:col>
      <xdr:colOff>1647825</xdr:colOff>
      <xdr:row>18</xdr:row>
      <xdr:rowOff>180976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06AC61-DA89-6529-B985-E1408AAE4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4549</xdr:colOff>
      <xdr:row>19</xdr:row>
      <xdr:rowOff>11339</xdr:rowOff>
    </xdr:from>
    <xdr:to>
      <xdr:col>7</xdr:col>
      <xdr:colOff>1590676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029239-1A9E-1264-6B54-0BECA8A6F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495301</xdr:colOff>
      <xdr:row>0</xdr:row>
      <xdr:rowOff>9525</xdr:rowOff>
    </xdr:from>
    <xdr:to>
      <xdr:col>5</xdr:col>
      <xdr:colOff>1295401</xdr:colOff>
      <xdr:row>3</xdr:row>
      <xdr:rowOff>123825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AEC18AB-F4F3-DF28-A01E-E4BC1FB3E2DC}"/>
            </a:ext>
          </a:extLst>
        </xdr:cNvPr>
        <xdr:cNvSpPr txBox="1"/>
      </xdr:nvSpPr>
      <xdr:spPr>
        <a:xfrm>
          <a:off x="2714626" y="9525"/>
          <a:ext cx="4676775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>
              <a:solidFill>
                <a:srgbClr val="666666"/>
              </a:solidFill>
              <a:latin typeface="+mj-lt"/>
            </a:rPr>
            <a:t>HR ANALYTICS DASHBOARD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rgbClr val="666666"/>
              </a:solidFill>
              <a:effectLst/>
              <a:latin typeface="+mn-lt"/>
              <a:ea typeface="+mn-ea"/>
              <a:cs typeface="+mn-cs"/>
            </a:rPr>
            <a:t>        •Headcount • Salary • Attrition Insights</a:t>
          </a:r>
          <a:endParaRPr lang="en-IN" sz="2000">
            <a:solidFill>
              <a:srgbClr val="666666"/>
            </a:solidFill>
            <a:effectLst/>
          </a:endParaRPr>
        </a:p>
        <a:p>
          <a:endParaRPr lang="en-IN" sz="2000">
            <a:solidFill>
              <a:schemeClr val="accent1"/>
            </a:solidFill>
            <a:latin typeface="+mj-lt"/>
          </a:endParaRPr>
        </a:p>
      </xdr:txBody>
    </xdr:sp>
    <xdr:clientData/>
  </xdr:twoCellAnchor>
  <xdr:twoCellAnchor>
    <xdr:from>
      <xdr:col>4</xdr:col>
      <xdr:colOff>400049</xdr:colOff>
      <xdr:row>4</xdr:row>
      <xdr:rowOff>95249</xdr:rowOff>
    </xdr:from>
    <xdr:to>
      <xdr:col>6</xdr:col>
      <xdr:colOff>435824</xdr:colOff>
      <xdr:row>6</xdr:row>
      <xdr:rowOff>38249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C055C06-8A99-1617-B27D-57502B10100D}"/>
            </a:ext>
          </a:extLst>
        </xdr:cNvPr>
        <xdr:cNvSpPr/>
      </xdr:nvSpPr>
      <xdr:spPr>
        <a:xfrm>
          <a:off x="6076949" y="857249"/>
          <a:ext cx="1836000" cy="324000"/>
        </a:xfrm>
        <a:prstGeom prst="roundRect">
          <a:avLst/>
        </a:prstGeom>
        <a:solidFill>
          <a:srgbClr val="D9EAF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219074</xdr:colOff>
      <xdr:row>4</xdr:row>
      <xdr:rowOff>95249</xdr:rowOff>
    </xdr:from>
    <xdr:to>
      <xdr:col>4</xdr:col>
      <xdr:colOff>311999</xdr:colOff>
      <xdr:row>6</xdr:row>
      <xdr:rowOff>38249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D60575B-8651-4A3B-8ECF-4DE557482F25}"/>
            </a:ext>
          </a:extLst>
        </xdr:cNvPr>
        <xdr:cNvSpPr/>
      </xdr:nvSpPr>
      <xdr:spPr>
        <a:xfrm>
          <a:off x="4152899" y="857249"/>
          <a:ext cx="1836000" cy="324000"/>
        </a:xfrm>
        <a:prstGeom prst="roundRect">
          <a:avLst/>
        </a:prstGeom>
        <a:solidFill>
          <a:srgbClr val="D9EAF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2219324</xdr:colOff>
      <xdr:row>4</xdr:row>
      <xdr:rowOff>95249</xdr:rowOff>
    </xdr:from>
    <xdr:to>
      <xdr:col>2</xdr:col>
      <xdr:colOff>121499</xdr:colOff>
      <xdr:row>6</xdr:row>
      <xdr:rowOff>142875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23A91E7-8924-48B6-8CBF-08FA9381CCCD}"/>
            </a:ext>
          </a:extLst>
        </xdr:cNvPr>
        <xdr:cNvSpPr/>
      </xdr:nvSpPr>
      <xdr:spPr>
        <a:xfrm>
          <a:off x="2219324" y="857249"/>
          <a:ext cx="1836000" cy="428626"/>
        </a:xfrm>
        <a:prstGeom prst="roundRect">
          <a:avLst/>
        </a:prstGeom>
        <a:solidFill>
          <a:srgbClr val="D9EAF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219074</xdr:colOff>
      <xdr:row>4</xdr:row>
      <xdr:rowOff>95249</xdr:rowOff>
    </xdr:from>
    <xdr:to>
      <xdr:col>4</xdr:col>
      <xdr:colOff>311999</xdr:colOff>
      <xdr:row>6</xdr:row>
      <xdr:rowOff>142875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7E45128-E585-4C2D-A9A6-CF5AA79574FF}"/>
            </a:ext>
          </a:extLst>
        </xdr:cNvPr>
        <xdr:cNvSpPr/>
      </xdr:nvSpPr>
      <xdr:spPr>
        <a:xfrm>
          <a:off x="4152899" y="857249"/>
          <a:ext cx="1836000" cy="428626"/>
        </a:xfrm>
        <a:prstGeom prst="roundRect">
          <a:avLst/>
        </a:prstGeom>
        <a:solidFill>
          <a:srgbClr val="D9EAF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3</xdr:row>
      <xdr:rowOff>180975</xdr:rowOff>
    </xdr:from>
    <xdr:to>
      <xdr:col>2</xdr:col>
      <xdr:colOff>66675</xdr:colOff>
      <xdr:row>7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1824C4-46E3-42D9-F8AD-4DA7BBC41979}"/>
            </a:ext>
          </a:extLst>
        </xdr:cNvPr>
        <xdr:cNvSpPr txBox="1"/>
      </xdr:nvSpPr>
      <xdr:spPr>
        <a:xfrm>
          <a:off x="2238375" y="752475"/>
          <a:ext cx="1762125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latin typeface="+mn-lt"/>
            </a:rPr>
            <a:t>Total </a:t>
          </a:r>
          <a:r>
            <a:rPr lang="en-IN" sz="1400" b="1">
              <a:solidFill>
                <a:srgbClr val="203764"/>
              </a:solidFill>
              <a:latin typeface="+mn-lt"/>
            </a:rPr>
            <a:t>Employees</a:t>
          </a:r>
        </a:p>
        <a:p>
          <a:pPr algn="ctr"/>
          <a:r>
            <a:rPr lang="en-IN" sz="1400" b="1">
              <a:solidFill>
                <a:srgbClr val="203764"/>
              </a:solidFill>
              <a:latin typeface="+mn-lt"/>
            </a:rPr>
            <a:t>1470</a:t>
          </a:r>
        </a:p>
      </xdr:txBody>
    </xdr:sp>
    <xdr:clientData/>
  </xdr:twoCellAnchor>
  <xdr:twoCellAnchor>
    <xdr:from>
      <xdr:col>2</xdr:col>
      <xdr:colOff>238125</xdr:colOff>
      <xdr:row>4</xdr:row>
      <xdr:rowOff>76201</xdr:rowOff>
    </xdr:from>
    <xdr:to>
      <xdr:col>4</xdr:col>
      <xdr:colOff>314325</xdr:colOff>
      <xdr:row>7</xdr:row>
      <xdr:rowOff>28575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D29A2075-96A6-D502-B8BB-93F4D71D9B20}"/>
            </a:ext>
          </a:extLst>
        </xdr:cNvPr>
        <xdr:cNvSpPr txBox="1">
          <a:spLocks noChangeArrowheads="1"/>
        </xdr:cNvSpPr>
      </xdr:nvSpPr>
      <xdr:spPr bwMode="auto">
        <a:xfrm>
          <a:off x="4171950" y="838201"/>
          <a:ext cx="1819275" cy="5238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n-IN" sz="1400" b="1" i="0" u="none" strike="noStrike" baseline="0">
              <a:solidFill>
                <a:srgbClr val="203764"/>
              </a:solidFill>
              <a:latin typeface="Calibri"/>
              <a:ea typeface="Calibri"/>
              <a:cs typeface="Calibri"/>
            </a:rPr>
            <a:t>Attrition Rate</a:t>
          </a:r>
        </a:p>
        <a:p>
          <a:pPr algn="ctr" rtl="0">
            <a:defRPr sz="1000"/>
          </a:pPr>
          <a:r>
            <a:rPr lang="en-IN" sz="1400" b="1" i="0" u="none" strike="noStrike" baseline="0">
              <a:solidFill>
                <a:srgbClr val="203764"/>
              </a:solidFill>
              <a:latin typeface="Calibri"/>
              <a:ea typeface="Calibri"/>
              <a:cs typeface="Calibri"/>
            </a:rPr>
            <a:t>16.12%</a:t>
          </a:r>
        </a:p>
      </xdr:txBody>
    </xdr:sp>
    <xdr:clientData/>
  </xdr:twoCellAnchor>
  <xdr:twoCellAnchor>
    <xdr:from>
      <xdr:col>4</xdr:col>
      <xdr:colOff>400049</xdr:colOff>
      <xdr:row>4</xdr:row>
      <xdr:rowOff>95249</xdr:rowOff>
    </xdr:from>
    <xdr:to>
      <xdr:col>6</xdr:col>
      <xdr:colOff>435824</xdr:colOff>
      <xdr:row>6</xdr:row>
      <xdr:rowOff>142875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AEC3ED34-3695-401E-93AF-CB3F09EB9DDF}"/>
            </a:ext>
          </a:extLst>
        </xdr:cNvPr>
        <xdr:cNvSpPr/>
      </xdr:nvSpPr>
      <xdr:spPr>
        <a:xfrm>
          <a:off x="6076949" y="857249"/>
          <a:ext cx="1836000" cy="428626"/>
        </a:xfrm>
        <a:prstGeom prst="roundRect">
          <a:avLst/>
        </a:prstGeom>
        <a:solidFill>
          <a:srgbClr val="D9EAF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390526</xdr:colOff>
      <xdr:row>4</xdr:row>
      <xdr:rowOff>76200</xdr:rowOff>
    </xdr:from>
    <xdr:to>
      <xdr:col>6</xdr:col>
      <xdr:colOff>438151</xdr:colOff>
      <xdr:row>7</xdr:row>
      <xdr:rowOff>9525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BCD4CD16-4793-9257-6124-EDA7DD8979BD}"/>
            </a:ext>
          </a:extLst>
        </xdr:cNvPr>
        <xdr:cNvSpPr txBox="1">
          <a:spLocks noChangeArrowheads="1"/>
        </xdr:cNvSpPr>
      </xdr:nvSpPr>
      <xdr:spPr bwMode="auto">
        <a:xfrm>
          <a:off x="6067426" y="838200"/>
          <a:ext cx="184785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n-IN" sz="1400" b="1" i="0" u="none" strike="noStrike" baseline="0">
              <a:solidFill>
                <a:srgbClr val="203764"/>
              </a:solidFill>
              <a:latin typeface="Calibri"/>
              <a:ea typeface="Calibri"/>
              <a:cs typeface="Calibri"/>
            </a:rPr>
            <a:t>Avg Monthly Income</a:t>
          </a:r>
        </a:p>
        <a:p>
          <a:pPr algn="ctr" rtl="0">
            <a:defRPr sz="1000"/>
          </a:pPr>
          <a:r>
            <a:rPr lang="en-IN" sz="1400" b="1" i="0" u="none" strike="noStrike" baseline="0">
              <a:solidFill>
                <a:srgbClr val="203764"/>
              </a:solidFill>
              <a:latin typeface="+mn-lt"/>
              <a:ea typeface="Calibri"/>
              <a:cs typeface="Calibri"/>
            </a:rPr>
            <a:t>₹6,502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Sardar" refreshedDate="45995.734440624998" createdVersion="8" refreshedVersion="8" minRefreshableVersion="3" recordCount="1470" xr:uid="{C6F0309D-8A01-4044-A2C7-FA2C2FB23D62}">
  <cacheSource type="worksheet">
    <worksheetSource name="Employee"/>
  </cacheSource>
  <cacheFields count="10"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Age" numFmtId="0">
      <sharedItems containsSemiMixedTypes="0" containsString="0" containsNumber="1" containsInteger="1" minValue="18" maxValue="60"/>
    </cacheField>
    <cacheField name="Department" numFmtId="0">
      <sharedItems count="3">
        <s v="Sales"/>
        <s v="Research &amp; Development"/>
        <s v="Human Resources"/>
      </sharedItems>
    </cacheField>
    <cacheField name="JobRole" numFmtId="0">
      <sharedItems/>
    </cacheField>
    <cacheField name="JobLevel" numFmtId="0">
      <sharedItems containsSemiMixedTypes="0" containsString="0" containsNumber="1" containsInteger="1" minValue="1" maxValue="5"/>
    </cacheField>
    <cacheField name="MonthlyIncome" numFmtId="0">
      <sharedItems containsSemiMixedTypes="0" containsString="0" containsNumber="1" containsInteger="1" minValue="1009" maxValue="19999"/>
    </cacheField>
    <cacheField name="YearsAtCompany" numFmtId="0">
      <sharedItems containsSemiMixedTypes="0" containsString="0" containsNumber="1" containsInteger="1" minValue="0" maxValue="40"/>
    </cacheField>
    <cacheField name="WorkLifeBalance" numFmtId="0">
      <sharedItems containsSemiMixedTypes="0" containsString="0" containsNumber="1" containsInteger="1" minValue="1" maxValue="4"/>
    </cacheField>
    <cacheField name="Attrition" numFmtId="0">
      <sharedItems count="2">
        <s v="Yes"/>
        <s v="No"/>
      </sharedItems>
    </cacheField>
    <cacheField name="Column2" numFmtId="0">
      <sharedItems/>
    </cacheField>
  </cacheFields>
  <extLst>
    <ext xmlns:x14="http://schemas.microsoft.com/office/spreadsheetml/2009/9/main" uri="{725AE2AE-9491-48be-B2B4-4EB974FC3084}">
      <x14:pivotCacheDefinition pivotCacheId="117829344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Sardar" refreshedDate="45995.747847453706" createdVersion="8" refreshedVersion="8" minRefreshableVersion="3" recordCount="1470" xr:uid="{EC3B620F-DDA4-40FB-B0F7-23D79ED0F83D}">
  <cacheSource type="worksheet">
    <worksheetSource name="Payroll"/>
  </cacheSource>
  <cacheFields count="9">
    <cacheField name="EmployeeID" numFmtId="0">
      <sharedItems containsSemiMixedTypes="0" containsString="0" containsNumber="1" containsInteger="1" minValue="1" maxValue="2068"/>
    </cacheField>
    <cacheField name="Department" numFmtId="0">
      <sharedItems count="3">
        <s v="Sales"/>
        <s v="Research &amp; Development"/>
        <s v="Human Resources"/>
      </sharedItems>
    </cacheField>
    <cacheField name="MonthlyIncome" numFmtId="164">
      <sharedItems containsSemiMixedTypes="0" containsString="0" containsNumber="1" containsInteger="1" minValue="1009" maxValue="19999"/>
    </cacheField>
    <cacheField name="HRA (20%)" numFmtId="164">
      <sharedItems containsSemiMixedTypes="0" containsString="0" containsNumber="1" minValue="201.8" maxValue="3999.8"/>
    </cacheField>
    <cacheField name="PF (12%)" numFmtId="164">
      <sharedItems containsSemiMixedTypes="0" containsString="0" containsNumber="1" minValue="121.08" maxValue="2399.88"/>
    </cacheField>
    <cacheField name="TAX (10%)" numFmtId="164">
      <sharedItems containsSemiMixedTypes="0" containsString="0" containsNumber="1" minValue="100.9" maxValue="1999.9"/>
    </cacheField>
    <cacheField name="Gross Pay" numFmtId="164">
      <sharedItems containsSemiMixedTypes="0" containsString="0" containsNumber="1" minValue="1210.8" maxValue="23998.799999999999"/>
    </cacheField>
    <cacheField name="Deduction" numFmtId="164">
      <sharedItems containsSemiMixedTypes="0" containsString="0" containsNumber="1" minValue="221.98000000000002" maxValue="4399.7800000000007"/>
    </cacheField>
    <cacheField name="Net Pay" numFmtId="164">
      <sharedItems containsSemiMixedTypes="0" containsString="0" containsNumber="1" minValue="988.81999999999994" maxValue="19599.01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n v="41"/>
    <x v="0"/>
    <s v="Sales Executive"/>
    <n v="2"/>
    <n v="5993"/>
    <n v="6"/>
    <n v="1"/>
    <x v="0"/>
    <s v="Resigned"/>
  </r>
  <r>
    <x v="1"/>
    <n v="49"/>
    <x v="1"/>
    <s v="Research Scientist"/>
    <n v="2"/>
    <n v="5130"/>
    <n v="10"/>
    <n v="3"/>
    <x v="1"/>
    <s v="Active"/>
  </r>
  <r>
    <x v="2"/>
    <n v="37"/>
    <x v="1"/>
    <s v="Laboratory Technician"/>
    <n v="1"/>
    <n v="2090"/>
    <n v="0"/>
    <n v="3"/>
    <x v="0"/>
    <s v="Resigned"/>
  </r>
  <r>
    <x v="3"/>
    <n v="33"/>
    <x v="1"/>
    <s v="Research Scientist"/>
    <n v="1"/>
    <n v="2909"/>
    <n v="8"/>
    <n v="3"/>
    <x v="1"/>
    <s v="Active"/>
  </r>
  <r>
    <x v="4"/>
    <n v="27"/>
    <x v="1"/>
    <s v="Laboratory Technician"/>
    <n v="1"/>
    <n v="3468"/>
    <n v="2"/>
    <n v="3"/>
    <x v="1"/>
    <s v="Active"/>
  </r>
  <r>
    <x v="5"/>
    <n v="32"/>
    <x v="1"/>
    <s v="Laboratory Technician"/>
    <n v="1"/>
    <n v="3068"/>
    <n v="7"/>
    <n v="2"/>
    <x v="1"/>
    <s v="Active"/>
  </r>
  <r>
    <x v="6"/>
    <n v="59"/>
    <x v="1"/>
    <s v="Laboratory Technician"/>
    <n v="1"/>
    <n v="2670"/>
    <n v="1"/>
    <n v="2"/>
    <x v="1"/>
    <s v="Active"/>
  </r>
  <r>
    <x v="7"/>
    <n v="30"/>
    <x v="1"/>
    <s v="Laboratory Technician"/>
    <n v="1"/>
    <n v="2693"/>
    <n v="1"/>
    <n v="3"/>
    <x v="1"/>
    <s v="Active"/>
  </r>
  <r>
    <x v="8"/>
    <n v="38"/>
    <x v="1"/>
    <s v="Manufacturing Director"/>
    <n v="3"/>
    <n v="9526"/>
    <n v="9"/>
    <n v="3"/>
    <x v="1"/>
    <s v="Active"/>
  </r>
  <r>
    <x v="9"/>
    <n v="36"/>
    <x v="1"/>
    <s v="Healthcare Representative"/>
    <n v="2"/>
    <n v="5237"/>
    <n v="7"/>
    <n v="2"/>
    <x v="1"/>
    <s v="Active"/>
  </r>
  <r>
    <x v="10"/>
    <n v="35"/>
    <x v="1"/>
    <s v="Laboratory Technician"/>
    <n v="1"/>
    <n v="2426"/>
    <n v="5"/>
    <n v="3"/>
    <x v="1"/>
    <s v="Active"/>
  </r>
  <r>
    <x v="11"/>
    <n v="29"/>
    <x v="1"/>
    <s v="Laboratory Technician"/>
    <n v="2"/>
    <n v="4193"/>
    <n v="9"/>
    <n v="3"/>
    <x v="1"/>
    <s v="Active"/>
  </r>
  <r>
    <x v="12"/>
    <n v="31"/>
    <x v="1"/>
    <s v="Research Scientist"/>
    <n v="1"/>
    <n v="2911"/>
    <n v="5"/>
    <n v="2"/>
    <x v="1"/>
    <s v="Active"/>
  </r>
  <r>
    <x v="13"/>
    <n v="34"/>
    <x v="1"/>
    <s v="Laboratory Technician"/>
    <n v="1"/>
    <n v="2661"/>
    <n v="2"/>
    <n v="3"/>
    <x v="1"/>
    <s v="Active"/>
  </r>
  <r>
    <x v="14"/>
    <n v="28"/>
    <x v="1"/>
    <s v="Laboratory Technician"/>
    <n v="1"/>
    <n v="2028"/>
    <n v="4"/>
    <n v="3"/>
    <x v="0"/>
    <s v="Resigned"/>
  </r>
  <r>
    <x v="15"/>
    <n v="29"/>
    <x v="1"/>
    <s v="Manufacturing Director"/>
    <n v="3"/>
    <n v="9980"/>
    <n v="10"/>
    <n v="3"/>
    <x v="1"/>
    <s v="Active"/>
  </r>
  <r>
    <x v="16"/>
    <n v="32"/>
    <x v="1"/>
    <s v="Research Scientist"/>
    <n v="1"/>
    <n v="3298"/>
    <n v="6"/>
    <n v="2"/>
    <x v="1"/>
    <s v="Active"/>
  </r>
  <r>
    <x v="17"/>
    <n v="22"/>
    <x v="1"/>
    <s v="Laboratory Technician"/>
    <n v="1"/>
    <n v="2935"/>
    <n v="1"/>
    <n v="2"/>
    <x v="1"/>
    <s v="Active"/>
  </r>
  <r>
    <x v="18"/>
    <n v="53"/>
    <x v="0"/>
    <s v="Manager"/>
    <n v="4"/>
    <n v="15427"/>
    <n v="25"/>
    <n v="3"/>
    <x v="1"/>
    <s v="Active"/>
  </r>
  <r>
    <x v="19"/>
    <n v="38"/>
    <x v="1"/>
    <s v="Research Scientist"/>
    <n v="1"/>
    <n v="3944"/>
    <n v="3"/>
    <n v="3"/>
    <x v="1"/>
    <s v="Active"/>
  </r>
  <r>
    <x v="20"/>
    <n v="24"/>
    <x v="1"/>
    <s v="Manufacturing Director"/>
    <n v="2"/>
    <n v="4011"/>
    <n v="4"/>
    <n v="2"/>
    <x v="1"/>
    <s v="Active"/>
  </r>
  <r>
    <x v="21"/>
    <n v="36"/>
    <x v="0"/>
    <s v="Sales Representative"/>
    <n v="1"/>
    <n v="3407"/>
    <n v="5"/>
    <n v="3"/>
    <x v="0"/>
    <s v="Resigned"/>
  </r>
  <r>
    <x v="22"/>
    <n v="34"/>
    <x v="1"/>
    <s v="Research Director"/>
    <n v="3"/>
    <n v="11994"/>
    <n v="12"/>
    <n v="3"/>
    <x v="1"/>
    <s v="Active"/>
  </r>
  <r>
    <x v="23"/>
    <n v="21"/>
    <x v="1"/>
    <s v="Research Scientist"/>
    <n v="1"/>
    <n v="1232"/>
    <n v="0"/>
    <n v="3"/>
    <x v="1"/>
    <s v="Active"/>
  </r>
  <r>
    <x v="24"/>
    <n v="34"/>
    <x v="1"/>
    <s v="Research Scientist"/>
    <n v="1"/>
    <n v="2960"/>
    <n v="4"/>
    <n v="3"/>
    <x v="0"/>
    <s v="Resigned"/>
  </r>
  <r>
    <x v="25"/>
    <n v="53"/>
    <x v="1"/>
    <s v="Manager"/>
    <n v="5"/>
    <n v="19094"/>
    <n v="14"/>
    <n v="2"/>
    <x v="1"/>
    <s v="Active"/>
  </r>
  <r>
    <x v="26"/>
    <n v="32"/>
    <x v="1"/>
    <s v="Research Scientist"/>
    <n v="1"/>
    <n v="3919"/>
    <n v="10"/>
    <n v="3"/>
    <x v="0"/>
    <s v="Resigned"/>
  </r>
  <r>
    <x v="27"/>
    <n v="42"/>
    <x v="0"/>
    <s v="Sales Executive"/>
    <n v="2"/>
    <n v="6825"/>
    <n v="9"/>
    <n v="3"/>
    <x v="1"/>
    <s v="Active"/>
  </r>
  <r>
    <x v="28"/>
    <n v="44"/>
    <x v="1"/>
    <s v="Healthcare Representative"/>
    <n v="3"/>
    <n v="10248"/>
    <n v="22"/>
    <n v="3"/>
    <x v="1"/>
    <s v="Active"/>
  </r>
  <r>
    <x v="29"/>
    <n v="46"/>
    <x v="0"/>
    <s v="Manager"/>
    <n v="5"/>
    <n v="18947"/>
    <n v="2"/>
    <n v="2"/>
    <x v="1"/>
    <s v="Active"/>
  </r>
  <r>
    <x v="30"/>
    <n v="33"/>
    <x v="1"/>
    <s v="Laboratory Technician"/>
    <n v="1"/>
    <n v="2496"/>
    <n v="1"/>
    <n v="3"/>
    <x v="1"/>
    <s v="Active"/>
  </r>
  <r>
    <x v="31"/>
    <n v="44"/>
    <x v="1"/>
    <s v="Healthcare Representative"/>
    <n v="2"/>
    <n v="6465"/>
    <n v="4"/>
    <n v="4"/>
    <x v="1"/>
    <s v="Active"/>
  </r>
  <r>
    <x v="32"/>
    <n v="30"/>
    <x v="1"/>
    <s v="Laboratory Technician"/>
    <n v="1"/>
    <n v="2206"/>
    <n v="10"/>
    <n v="3"/>
    <x v="1"/>
    <s v="Active"/>
  </r>
  <r>
    <x v="33"/>
    <n v="39"/>
    <x v="0"/>
    <s v="Sales Representative"/>
    <n v="2"/>
    <n v="2086"/>
    <n v="1"/>
    <n v="4"/>
    <x v="0"/>
    <s v="Resigned"/>
  </r>
  <r>
    <x v="34"/>
    <n v="24"/>
    <x v="1"/>
    <s v="Research Scientist"/>
    <n v="1"/>
    <n v="2293"/>
    <n v="2"/>
    <n v="2"/>
    <x v="0"/>
    <s v="Resigned"/>
  </r>
  <r>
    <x v="35"/>
    <n v="43"/>
    <x v="1"/>
    <s v="Research Scientist"/>
    <n v="1"/>
    <n v="2645"/>
    <n v="5"/>
    <n v="2"/>
    <x v="1"/>
    <s v="Active"/>
  </r>
  <r>
    <x v="36"/>
    <n v="50"/>
    <x v="0"/>
    <s v="Sales Representative"/>
    <n v="1"/>
    <n v="2683"/>
    <n v="3"/>
    <n v="3"/>
    <x v="0"/>
    <s v="Resigned"/>
  </r>
  <r>
    <x v="37"/>
    <n v="35"/>
    <x v="0"/>
    <s v="Sales Representative"/>
    <n v="1"/>
    <n v="2014"/>
    <n v="2"/>
    <n v="3"/>
    <x v="1"/>
    <s v="Active"/>
  </r>
  <r>
    <x v="38"/>
    <n v="36"/>
    <x v="1"/>
    <s v="Research Scientist"/>
    <n v="1"/>
    <n v="3419"/>
    <n v="1"/>
    <n v="4"/>
    <x v="1"/>
    <s v="Active"/>
  </r>
  <r>
    <x v="39"/>
    <n v="33"/>
    <x v="0"/>
    <s v="Sales Executive"/>
    <n v="2"/>
    <n v="5376"/>
    <n v="5"/>
    <n v="3"/>
    <x v="1"/>
    <s v="Active"/>
  </r>
  <r>
    <x v="40"/>
    <n v="35"/>
    <x v="1"/>
    <s v="Laboratory Technician"/>
    <n v="1"/>
    <n v="1951"/>
    <n v="1"/>
    <n v="3"/>
    <x v="1"/>
    <s v="Active"/>
  </r>
  <r>
    <x v="41"/>
    <n v="27"/>
    <x v="1"/>
    <s v="Laboratory Technician"/>
    <n v="1"/>
    <n v="2341"/>
    <n v="1"/>
    <n v="3"/>
    <x v="1"/>
    <s v="Active"/>
  </r>
  <r>
    <x v="42"/>
    <n v="26"/>
    <x v="1"/>
    <s v="Laboratory Technician"/>
    <n v="1"/>
    <n v="2293"/>
    <n v="1"/>
    <n v="2"/>
    <x v="0"/>
    <s v="Resigned"/>
  </r>
  <r>
    <x v="43"/>
    <n v="27"/>
    <x v="0"/>
    <s v="Sales Executive"/>
    <n v="3"/>
    <n v="8726"/>
    <n v="9"/>
    <n v="3"/>
    <x v="1"/>
    <s v="Active"/>
  </r>
  <r>
    <x v="44"/>
    <n v="30"/>
    <x v="1"/>
    <s v="Laboratory Technician"/>
    <n v="2"/>
    <n v="4011"/>
    <n v="12"/>
    <n v="3"/>
    <x v="1"/>
    <s v="Active"/>
  </r>
  <r>
    <x v="45"/>
    <n v="41"/>
    <x v="1"/>
    <s v="Research Director"/>
    <n v="5"/>
    <n v="19545"/>
    <n v="22"/>
    <n v="3"/>
    <x v="0"/>
    <s v="Resigned"/>
  </r>
  <r>
    <x v="46"/>
    <n v="34"/>
    <x v="0"/>
    <s v="Sales Executive"/>
    <n v="2"/>
    <n v="4568"/>
    <n v="9"/>
    <n v="3"/>
    <x v="1"/>
    <s v="Active"/>
  </r>
  <r>
    <x v="47"/>
    <n v="37"/>
    <x v="1"/>
    <s v="Research Scientist"/>
    <n v="1"/>
    <n v="3022"/>
    <n v="1"/>
    <n v="3"/>
    <x v="1"/>
    <s v="Active"/>
  </r>
  <r>
    <x v="48"/>
    <n v="46"/>
    <x v="0"/>
    <s v="Sales Executive"/>
    <n v="2"/>
    <n v="5772"/>
    <n v="9"/>
    <n v="3"/>
    <x v="1"/>
    <s v="Active"/>
  </r>
  <r>
    <x v="49"/>
    <n v="35"/>
    <x v="1"/>
    <s v="Laboratory Technician"/>
    <n v="1"/>
    <n v="2269"/>
    <n v="1"/>
    <n v="3"/>
    <x v="1"/>
    <s v="Active"/>
  </r>
  <r>
    <x v="50"/>
    <n v="48"/>
    <x v="1"/>
    <s v="Laboratory Technician"/>
    <n v="3"/>
    <n v="5381"/>
    <n v="1"/>
    <n v="3"/>
    <x v="0"/>
    <s v="Resigned"/>
  </r>
  <r>
    <x v="51"/>
    <n v="28"/>
    <x v="1"/>
    <s v="Laboratory Technician"/>
    <n v="1"/>
    <n v="3441"/>
    <n v="2"/>
    <n v="2"/>
    <x v="0"/>
    <s v="Resigned"/>
  </r>
  <r>
    <x v="52"/>
    <n v="44"/>
    <x v="0"/>
    <s v="Sales Executive"/>
    <n v="2"/>
    <n v="5454"/>
    <n v="4"/>
    <n v="2"/>
    <x v="1"/>
    <s v="Active"/>
  </r>
  <r>
    <x v="53"/>
    <n v="35"/>
    <x v="1"/>
    <s v="Healthcare Representative"/>
    <n v="3"/>
    <n v="9884"/>
    <n v="4"/>
    <n v="3"/>
    <x v="1"/>
    <s v="Active"/>
  </r>
  <r>
    <x v="54"/>
    <n v="26"/>
    <x v="0"/>
    <s v="Sales Executive"/>
    <n v="2"/>
    <n v="4157"/>
    <n v="2"/>
    <n v="2"/>
    <x v="1"/>
    <s v="Active"/>
  </r>
  <r>
    <x v="55"/>
    <n v="33"/>
    <x v="1"/>
    <s v="Research Director"/>
    <n v="3"/>
    <n v="13458"/>
    <n v="15"/>
    <n v="3"/>
    <x v="1"/>
    <s v="Active"/>
  </r>
  <r>
    <x v="56"/>
    <n v="35"/>
    <x v="0"/>
    <s v="Sales Executive"/>
    <n v="3"/>
    <n v="9069"/>
    <n v="9"/>
    <n v="2"/>
    <x v="1"/>
    <s v="Active"/>
  </r>
  <r>
    <x v="57"/>
    <n v="35"/>
    <x v="1"/>
    <s v="Laboratory Technician"/>
    <n v="1"/>
    <n v="4014"/>
    <n v="2"/>
    <n v="3"/>
    <x v="1"/>
    <s v="Active"/>
  </r>
  <r>
    <x v="58"/>
    <n v="31"/>
    <x v="1"/>
    <s v="Laboratory Technician"/>
    <n v="2"/>
    <n v="5915"/>
    <n v="7"/>
    <n v="2"/>
    <x v="1"/>
    <s v="Active"/>
  </r>
  <r>
    <x v="59"/>
    <n v="37"/>
    <x v="1"/>
    <s v="Manufacturing Director"/>
    <n v="2"/>
    <n v="5993"/>
    <n v="7"/>
    <n v="4"/>
    <x v="1"/>
    <s v="Active"/>
  </r>
  <r>
    <x v="60"/>
    <n v="32"/>
    <x v="1"/>
    <s v="Manufacturing Director"/>
    <n v="2"/>
    <n v="6162"/>
    <n v="9"/>
    <n v="3"/>
    <x v="1"/>
    <s v="Active"/>
  </r>
  <r>
    <x v="61"/>
    <n v="38"/>
    <x v="1"/>
    <s v="Laboratory Technician"/>
    <n v="2"/>
    <n v="2406"/>
    <n v="10"/>
    <n v="3"/>
    <x v="1"/>
    <s v="Active"/>
  </r>
  <r>
    <x v="62"/>
    <n v="50"/>
    <x v="1"/>
    <s v="Research Director"/>
    <n v="5"/>
    <n v="18740"/>
    <n v="27"/>
    <n v="2"/>
    <x v="1"/>
    <s v="Active"/>
  </r>
  <r>
    <x v="63"/>
    <n v="59"/>
    <x v="0"/>
    <s v="Sales Executive"/>
    <n v="3"/>
    <n v="7637"/>
    <n v="21"/>
    <n v="2"/>
    <x v="1"/>
    <s v="Active"/>
  </r>
  <r>
    <x v="64"/>
    <n v="36"/>
    <x v="1"/>
    <s v="Healthcare Representative"/>
    <n v="3"/>
    <n v="10096"/>
    <n v="17"/>
    <n v="3"/>
    <x v="1"/>
    <s v="Active"/>
  </r>
  <r>
    <x v="65"/>
    <n v="55"/>
    <x v="1"/>
    <s v="Manager"/>
    <n v="4"/>
    <n v="14756"/>
    <n v="5"/>
    <n v="3"/>
    <x v="1"/>
    <s v="Active"/>
  </r>
  <r>
    <x v="66"/>
    <n v="36"/>
    <x v="1"/>
    <s v="Manufacturing Director"/>
    <n v="2"/>
    <n v="6499"/>
    <n v="6"/>
    <n v="3"/>
    <x v="1"/>
    <s v="Active"/>
  </r>
  <r>
    <x v="67"/>
    <n v="45"/>
    <x v="1"/>
    <s v="Research Scientist"/>
    <n v="3"/>
    <n v="9724"/>
    <n v="1"/>
    <n v="3"/>
    <x v="1"/>
    <s v="Active"/>
  </r>
  <r>
    <x v="68"/>
    <n v="35"/>
    <x v="1"/>
    <s v="Research Scientist"/>
    <n v="1"/>
    <n v="2194"/>
    <n v="3"/>
    <n v="2"/>
    <x v="1"/>
    <s v="Active"/>
  </r>
  <r>
    <x v="69"/>
    <n v="36"/>
    <x v="1"/>
    <s v="Research Scientist"/>
    <n v="1"/>
    <n v="3388"/>
    <n v="1"/>
    <n v="2"/>
    <x v="0"/>
    <s v="Resigned"/>
  </r>
  <r>
    <x v="70"/>
    <n v="59"/>
    <x v="0"/>
    <s v="Sales Executive"/>
    <n v="2"/>
    <n v="5473"/>
    <n v="4"/>
    <n v="2"/>
    <x v="1"/>
    <s v="Active"/>
  </r>
  <r>
    <x v="71"/>
    <n v="29"/>
    <x v="1"/>
    <s v="Research Scientist"/>
    <n v="1"/>
    <n v="2703"/>
    <n v="5"/>
    <n v="3"/>
    <x v="1"/>
    <s v="Active"/>
  </r>
  <r>
    <x v="72"/>
    <n v="31"/>
    <x v="1"/>
    <s v="Research Scientist"/>
    <n v="1"/>
    <n v="2501"/>
    <n v="1"/>
    <n v="3"/>
    <x v="1"/>
    <s v="Active"/>
  </r>
  <r>
    <x v="73"/>
    <n v="32"/>
    <x v="1"/>
    <s v="Research Scientist"/>
    <n v="2"/>
    <n v="6220"/>
    <n v="10"/>
    <n v="3"/>
    <x v="1"/>
    <s v="Active"/>
  </r>
  <r>
    <x v="74"/>
    <n v="36"/>
    <x v="1"/>
    <s v="Laboratory Technician"/>
    <n v="1"/>
    <n v="3038"/>
    <n v="1"/>
    <n v="3"/>
    <x v="1"/>
    <s v="Active"/>
  </r>
  <r>
    <x v="75"/>
    <n v="31"/>
    <x v="1"/>
    <s v="Manufacturing Director"/>
    <n v="2"/>
    <n v="4424"/>
    <n v="11"/>
    <n v="3"/>
    <x v="1"/>
    <s v="Active"/>
  </r>
  <r>
    <x v="76"/>
    <n v="35"/>
    <x v="0"/>
    <s v="Sales Executive"/>
    <n v="2"/>
    <n v="4312"/>
    <n v="15"/>
    <n v="3"/>
    <x v="1"/>
    <s v="Active"/>
  </r>
  <r>
    <x v="77"/>
    <n v="45"/>
    <x v="1"/>
    <s v="Research Director"/>
    <n v="3"/>
    <n v="13245"/>
    <n v="0"/>
    <n v="4"/>
    <x v="1"/>
    <s v="Active"/>
  </r>
  <r>
    <x v="78"/>
    <n v="37"/>
    <x v="1"/>
    <s v="Research Director"/>
    <n v="3"/>
    <n v="13664"/>
    <n v="5"/>
    <n v="4"/>
    <x v="1"/>
    <s v="Active"/>
  </r>
  <r>
    <x v="79"/>
    <n v="46"/>
    <x v="2"/>
    <s v="Human Resources"/>
    <n v="2"/>
    <n v="5021"/>
    <n v="4"/>
    <n v="3"/>
    <x v="1"/>
    <s v="Active"/>
  </r>
  <r>
    <x v="80"/>
    <n v="30"/>
    <x v="1"/>
    <s v="Laboratory Technician"/>
    <n v="2"/>
    <n v="5126"/>
    <n v="10"/>
    <n v="2"/>
    <x v="1"/>
    <s v="Active"/>
  </r>
  <r>
    <x v="81"/>
    <n v="35"/>
    <x v="1"/>
    <s v="Research Scientist"/>
    <n v="1"/>
    <n v="2859"/>
    <n v="6"/>
    <n v="3"/>
    <x v="1"/>
    <s v="Active"/>
  </r>
  <r>
    <x v="82"/>
    <n v="55"/>
    <x v="0"/>
    <s v="Sales Executive"/>
    <n v="3"/>
    <n v="10239"/>
    <n v="1"/>
    <n v="3"/>
    <x v="1"/>
    <s v="Active"/>
  </r>
  <r>
    <x v="83"/>
    <n v="38"/>
    <x v="1"/>
    <s v="Research Scientist"/>
    <n v="2"/>
    <n v="5329"/>
    <n v="13"/>
    <n v="3"/>
    <x v="1"/>
    <s v="Active"/>
  </r>
  <r>
    <x v="84"/>
    <n v="34"/>
    <x v="1"/>
    <s v="Manufacturing Director"/>
    <n v="2"/>
    <n v="4325"/>
    <n v="5"/>
    <n v="3"/>
    <x v="1"/>
    <s v="Active"/>
  </r>
  <r>
    <x v="85"/>
    <n v="56"/>
    <x v="1"/>
    <s v="Manufacturing Director"/>
    <n v="3"/>
    <n v="7260"/>
    <n v="6"/>
    <n v="2"/>
    <x v="1"/>
    <s v="Active"/>
  </r>
  <r>
    <x v="86"/>
    <n v="23"/>
    <x v="0"/>
    <s v="Sales Representative"/>
    <n v="1"/>
    <n v="2322"/>
    <n v="0"/>
    <n v="3"/>
    <x v="1"/>
    <s v="Active"/>
  </r>
  <r>
    <x v="87"/>
    <n v="51"/>
    <x v="1"/>
    <s v="Laboratory Technician"/>
    <n v="1"/>
    <n v="2075"/>
    <n v="4"/>
    <n v="3"/>
    <x v="1"/>
    <s v="Active"/>
  </r>
  <r>
    <x v="88"/>
    <n v="30"/>
    <x v="1"/>
    <s v="Healthcare Representative"/>
    <n v="2"/>
    <n v="4152"/>
    <n v="11"/>
    <n v="3"/>
    <x v="1"/>
    <s v="Active"/>
  </r>
  <r>
    <x v="89"/>
    <n v="46"/>
    <x v="0"/>
    <s v="Sales Executive"/>
    <n v="3"/>
    <n v="9619"/>
    <n v="9"/>
    <n v="3"/>
    <x v="0"/>
    <s v="Resigned"/>
  </r>
  <r>
    <x v="90"/>
    <n v="40"/>
    <x v="1"/>
    <s v="Healthcare Representative"/>
    <n v="4"/>
    <n v="13503"/>
    <n v="22"/>
    <n v="2"/>
    <x v="1"/>
    <s v="Active"/>
  </r>
  <r>
    <x v="91"/>
    <n v="51"/>
    <x v="0"/>
    <s v="Sales Executive"/>
    <n v="2"/>
    <n v="5441"/>
    <n v="10"/>
    <n v="1"/>
    <x v="1"/>
    <s v="Active"/>
  </r>
  <r>
    <x v="92"/>
    <n v="30"/>
    <x v="0"/>
    <s v="Sales Executive"/>
    <n v="2"/>
    <n v="5209"/>
    <n v="11"/>
    <n v="2"/>
    <x v="1"/>
    <s v="Active"/>
  </r>
  <r>
    <x v="93"/>
    <n v="46"/>
    <x v="1"/>
    <s v="Healthcare Representative"/>
    <n v="3"/>
    <n v="10673"/>
    <n v="10"/>
    <n v="2"/>
    <x v="1"/>
    <s v="Active"/>
  </r>
  <r>
    <x v="94"/>
    <n v="32"/>
    <x v="0"/>
    <s v="Sales Executive"/>
    <n v="2"/>
    <n v="5010"/>
    <n v="11"/>
    <n v="3"/>
    <x v="1"/>
    <s v="Active"/>
  </r>
  <r>
    <x v="95"/>
    <n v="54"/>
    <x v="1"/>
    <s v="Research Director"/>
    <n v="3"/>
    <n v="13549"/>
    <n v="4"/>
    <n v="1"/>
    <x v="1"/>
    <s v="Active"/>
  </r>
  <r>
    <x v="96"/>
    <n v="24"/>
    <x v="0"/>
    <s v="Sales Executive"/>
    <n v="2"/>
    <n v="4999"/>
    <n v="3"/>
    <n v="2"/>
    <x v="1"/>
    <s v="Active"/>
  </r>
  <r>
    <x v="97"/>
    <n v="28"/>
    <x v="0"/>
    <s v="Sales Executive"/>
    <n v="2"/>
    <n v="4221"/>
    <n v="5"/>
    <n v="4"/>
    <x v="1"/>
    <s v="Active"/>
  </r>
  <r>
    <x v="98"/>
    <n v="58"/>
    <x v="0"/>
    <s v="Sales Executive"/>
    <n v="4"/>
    <n v="13872"/>
    <n v="37"/>
    <n v="2"/>
    <x v="1"/>
    <s v="Active"/>
  </r>
  <r>
    <x v="99"/>
    <n v="44"/>
    <x v="1"/>
    <s v="Laboratory Technician"/>
    <n v="2"/>
    <n v="2042"/>
    <n v="3"/>
    <n v="4"/>
    <x v="1"/>
    <s v="Active"/>
  </r>
  <r>
    <x v="100"/>
    <n v="37"/>
    <x v="2"/>
    <s v="Human Resources"/>
    <n v="1"/>
    <n v="2073"/>
    <n v="3"/>
    <n v="3"/>
    <x v="0"/>
    <s v="Resigned"/>
  </r>
  <r>
    <x v="101"/>
    <n v="32"/>
    <x v="1"/>
    <s v="Research Scientist"/>
    <n v="1"/>
    <n v="2956"/>
    <n v="1"/>
    <n v="3"/>
    <x v="1"/>
    <s v="Active"/>
  </r>
  <r>
    <x v="102"/>
    <n v="20"/>
    <x v="1"/>
    <s v="Laboratory Technician"/>
    <n v="1"/>
    <n v="2926"/>
    <n v="1"/>
    <n v="3"/>
    <x v="0"/>
    <s v="Resigned"/>
  </r>
  <r>
    <x v="103"/>
    <n v="34"/>
    <x v="1"/>
    <s v="Research Scientist"/>
    <n v="2"/>
    <n v="4809"/>
    <n v="16"/>
    <n v="3"/>
    <x v="1"/>
    <s v="Active"/>
  </r>
  <r>
    <x v="104"/>
    <n v="37"/>
    <x v="1"/>
    <s v="Healthcare Representative"/>
    <n v="2"/>
    <n v="5163"/>
    <n v="1"/>
    <n v="4"/>
    <x v="1"/>
    <s v="Active"/>
  </r>
  <r>
    <x v="105"/>
    <n v="59"/>
    <x v="2"/>
    <s v="Manager"/>
    <n v="5"/>
    <n v="18844"/>
    <n v="3"/>
    <n v="3"/>
    <x v="1"/>
    <s v="Active"/>
  </r>
  <r>
    <x v="106"/>
    <n v="50"/>
    <x v="1"/>
    <s v="Research Director"/>
    <n v="5"/>
    <n v="18172"/>
    <n v="8"/>
    <n v="2"/>
    <x v="1"/>
    <s v="Active"/>
  </r>
  <r>
    <x v="107"/>
    <n v="25"/>
    <x v="0"/>
    <s v="Sales Executive"/>
    <n v="2"/>
    <n v="5744"/>
    <n v="6"/>
    <n v="3"/>
    <x v="0"/>
    <s v="Resigned"/>
  </r>
  <r>
    <x v="108"/>
    <n v="25"/>
    <x v="1"/>
    <s v="Research Scientist"/>
    <n v="1"/>
    <n v="2889"/>
    <n v="2"/>
    <n v="3"/>
    <x v="1"/>
    <s v="Active"/>
  </r>
  <r>
    <x v="109"/>
    <n v="22"/>
    <x v="1"/>
    <s v="Laboratory Technician"/>
    <n v="1"/>
    <n v="2871"/>
    <n v="0"/>
    <n v="3"/>
    <x v="1"/>
    <s v="Active"/>
  </r>
  <r>
    <x v="110"/>
    <n v="51"/>
    <x v="1"/>
    <s v="Healthcare Representative"/>
    <n v="3"/>
    <n v="7484"/>
    <n v="13"/>
    <n v="2"/>
    <x v="1"/>
    <s v="Active"/>
  </r>
  <r>
    <x v="111"/>
    <n v="34"/>
    <x v="1"/>
    <s v="Laboratory Technician"/>
    <n v="2"/>
    <n v="6074"/>
    <n v="9"/>
    <n v="3"/>
    <x v="0"/>
    <s v="Resigned"/>
  </r>
  <r>
    <x v="112"/>
    <n v="54"/>
    <x v="2"/>
    <s v="Manager"/>
    <n v="4"/>
    <n v="17328"/>
    <n v="5"/>
    <n v="3"/>
    <x v="1"/>
    <s v="Active"/>
  </r>
  <r>
    <x v="113"/>
    <n v="24"/>
    <x v="1"/>
    <s v="Laboratory Technician"/>
    <n v="1"/>
    <n v="2774"/>
    <n v="5"/>
    <n v="3"/>
    <x v="1"/>
    <s v="Active"/>
  </r>
  <r>
    <x v="114"/>
    <n v="34"/>
    <x v="1"/>
    <s v="Research Scientist"/>
    <n v="2"/>
    <n v="4505"/>
    <n v="1"/>
    <n v="3"/>
    <x v="1"/>
    <s v="Active"/>
  </r>
  <r>
    <x v="115"/>
    <n v="37"/>
    <x v="0"/>
    <s v="Sales Executive"/>
    <n v="3"/>
    <n v="7428"/>
    <n v="5"/>
    <n v="3"/>
    <x v="1"/>
    <s v="Active"/>
  </r>
  <r>
    <x v="116"/>
    <n v="34"/>
    <x v="1"/>
    <s v="Manager"/>
    <n v="3"/>
    <n v="11631"/>
    <n v="11"/>
    <n v="3"/>
    <x v="1"/>
    <s v="Active"/>
  </r>
  <r>
    <x v="117"/>
    <n v="36"/>
    <x v="0"/>
    <s v="Sales Executive"/>
    <n v="3"/>
    <n v="9738"/>
    <n v="9"/>
    <n v="3"/>
    <x v="1"/>
    <s v="Active"/>
  </r>
  <r>
    <x v="118"/>
    <n v="36"/>
    <x v="1"/>
    <s v="Laboratory Technician"/>
    <n v="1"/>
    <n v="2835"/>
    <n v="1"/>
    <n v="3"/>
    <x v="1"/>
    <s v="Active"/>
  </r>
  <r>
    <x v="119"/>
    <n v="43"/>
    <x v="0"/>
    <s v="Manager"/>
    <n v="4"/>
    <n v="16959"/>
    <n v="25"/>
    <n v="4"/>
    <x v="1"/>
    <s v="Active"/>
  </r>
  <r>
    <x v="120"/>
    <n v="30"/>
    <x v="1"/>
    <s v="Research Scientist"/>
    <n v="1"/>
    <n v="2613"/>
    <n v="10"/>
    <n v="2"/>
    <x v="1"/>
    <s v="Active"/>
  </r>
  <r>
    <x v="121"/>
    <n v="33"/>
    <x v="0"/>
    <s v="Sales Executive"/>
    <n v="2"/>
    <n v="6146"/>
    <n v="7"/>
    <n v="4"/>
    <x v="1"/>
    <s v="Active"/>
  </r>
  <r>
    <x v="122"/>
    <n v="56"/>
    <x v="1"/>
    <s v="Research Scientist"/>
    <n v="1"/>
    <n v="4963"/>
    <n v="5"/>
    <n v="3"/>
    <x v="0"/>
    <s v="Resigned"/>
  </r>
  <r>
    <x v="123"/>
    <n v="51"/>
    <x v="1"/>
    <s v="Research Director"/>
    <n v="5"/>
    <n v="19537"/>
    <n v="20"/>
    <n v="3"/>
    <x v="1"/>
    <s v="Active"/>
  </r>
  <r>
    <x v="124"/>
    <n v="31"/>
    <x v="0"/>
    <s v="Sales Executive"/>
    <n v="2"/>
    <n v="6172"/>
    <n v="7"/>
    <n v="2"/>
    <x v="0"/>
    <s v="Resigned"/>
  </r>
  <r>
    <x v="125"/>
    <n v="26"/>
    <x v="1"/>
    <s v="Research Scientist"/>
    <n v="1"/>
    <n v="2368"/>
    <n v="5"/>
    <n v="2"/>
    <x v="1"/>
    <s v="Active"/>
  </r>
  <r>
    <x v="126"/>
    <n v="58"/>
    <x v="1"/>
    <s v="Healthcare Representative"/>
    <n v="3"/>
    <n v="10312"/>
    <n v="40"/>
    <n v="2"/>
    <x v="0"/>
    <s v="Resigned"/>
  </r>
  <r>
    <x v="127"/>
    <n v="19"/>
    <x v="0"/>
    <s v="Sales Representative"/>
    <n v="1"/>
    <n v="1675"/>
    <n v="0"/>
    <n v="2"/>
    <x v="0"/>
    <s v="Resigned"/>
  </r>
  <r>
    <x v="128"/>
    <n v="22"/>
    <x v="1"/>
    <s v="Laboratory Technician"/>
    <n v="1"/>
    <n v="2523"/>
    <n v="2"/>
    <n v="3"/>
    <x v="1"/>
    <s v="Active"/>
  </r>
  <r>
    <x v="129"/>
    <n v="49"/>
    <x v="1"/>
    <s v="Manufacturing Director"/>
    <n v="2"/>
    <n v="6567"/>
    <n v="15"/>
    <n v="2"/>
    <x v="1"/>
    <s v="Active"/>
  </r>
  <r>
    <x v="130"/>
    <n v="43"/>
    <x v="1"/>
    <s v="Research Scientist"/>
    <n v="1"/>
    <n v="4739"/>
    <n v="3"/>
    <n v="3"/>
    <x v="1"/>
    <s v="Active"/>
  </r>
  <r>
    <x v="131"/>
    <n v="50"/>
    <x v="0"/>
    <s v="Sales Executive"/>
    <n v="3"/>
    <n v="9208"/>
    <n v="2"/>
    <n v="3"/>
    <x v="1"/>
    <s v="Active"/>
  </r>
  <r>
    <x v="132"/>
    <n v="31"/>
    <x v="0"/>
    <s v="Sales Executive"/>
    <n v="2"/>
    <n v="4559"/>
    <n v="2"/>
    <n v="3"/>
    <x v="0"/>
    <s v="Resigned"/>
  </r>
  <r>
    <x v="133"/>
    <n v="41"/>
    <x v="0"/>
    <s v="Sales Executive"/>
    <n v="3"/>
    <n v="8189"/>
    <n v="9"/>
    <n v="3"/>
    <x v="1"/>
    <s v="Active"/>
  </r>
  <r>
    <x v="134"/>
    <n v="26"/>
    <x v="2"/>
    <s v="Human Resources"/>
    <n v="1"/>
    <n v="2942"/>
    <n v="8"/>
    <n v="3"/>
    <x v="1"/>
    <s v="Active"/>
  </r>
  <r>
    <x v="135"/>
    <n v="36"/>
    <x v="1"/>
    <s v="Manufacturing Director"/>
    <n v="2"/>
    <n v="4941"/>
    <n v="3"/>
    <n v="3"/>
    <x v="1"/>
    <s v="Active"/>
  </r>
  <r>
    <x v="136"/>
    <n v="51"/>
    <x v="1"/>
    <s v="Manufacturing Director"/>
    <n v="3"/>
    <n v="10650"/>
    <n v="4"/>
    <n v="3"/>
    <x v="0"/>
    <s v="Resigned"/>
  </r>
  <r>
    <x v="137"/>
    <n v="39"/>
    <x v="0"/>
    <s v="Sales Executive"/>
    <n v="2"/>
    <n v="5902"/>
    <n v="15"/>
    <n v="4"/>
    <x v="1"/>
    <s v="Active"/>
  </r>
  <r>
    <x v="138"/>
    <n v="25"/>
    <x v="0"/>
    <s v="Sales Executive"/>
    <n v="2"/>
    <n v="8639"/>
    <n v="2"/>
    <n v="3"/>
    <x v="1"/>
    <s v="Active"/>
  </r>
  <r>
    <x v="139"/>
    <n v="30"/>
    <x v="2"/>
    <s v="Human Resources"/>
    <n v="2"/>
    <n v="6347"/>
    <n v="11"/>
    <n v="1"/>
    <x v="1"/>
    <s v="Active"/>
  </r>
  <r>
    <x v="140"/>
    <n v="32"/>
    <x v="1"/>
    <s v="Laboratory Technician"/>
    <n v="1"/>
    <n v="4200"/>
    <n v="5"/>
    <n v="4"/>
    <x v="0"/>
    <s v="Resigned"/>
  </r>
  <r>
    <x v="141"/>
    <n v="45"/>
    <x v="1"/>
    <s v="Research Scientist"/>
    <n v="1"/>
    <n v="3452"/>
    <n v="6"/>
    <n v="2"/>
    <x v="1"/>
    <s v="Active"/>
  </r>
  <r>
    <x v="142"/>
    <n v="38"/>
    <x v="1"/>
    <s v="Research Scientist"/>
    <n v="2"/>
    <n v="4317"/>
    <n v="3"/>
    <n v="3"/>
    <x v="1"/>
    <s v="Active"/>
  </r>
  <r>
    <x v="143"/>
    <n v="30"/>
    <x v="1"/>
    <s v="Research Scientist"/>
    <n v="1"/>
    <n v="2632"/>
    <n v="5"/>
    <n v="2"/>
    <x v="1"/>
    <s v="Active"/>
  </r>
  <r>
    <x v="144"/>
    <n v="32"/>
    <x v="0"/>
    <s v="Sales Executive"/>
    <n v="2"/>
    <n v="4668"/>
    <n v="8"/>
    <n v="4"/>
    <x v="1"/>
    <s v="Active"/>
  </r>
  <r>
    <x v="145"/>
    <n v="30"/>
    <x v="1"/>
    <s v="Research Scientist"/>
    <n v="1"/>
    <n v="3204"/>
    <n v="3"/>
    <n v="3"/>
    <x v="1"/>
    <s v="Active"/>
  </r>
  <r>
    <x v="146"/>
    <n v="30"/>
    <x v="1"/>
    <s v="Laboratory Technician"/>
    <n v="1"/>
    <n v="2720"/>
    <n v="5"/>
    <n v="3"/>
    <x v="1"/>
    <s v="Active"/>
  </r>
  <r>
    <x v="147"/>
    <n v="41"/>
    <x v="1"/>
    <s v="Manager"/>
    <n v="4"/>
    <n v="17181"/>
    <n v="7"/>
    <n v="2"/>
    <x v="1"/>
    <s v="Active"/>
  </r>
  <r>
    <x v="148"/>
    <n v="41"/>
    <x v="1"/>
    <s v="Laboratory Technician"/>
    <n v="1"/>
    <n v="2238"/>
    <n v="5"/>
    <n v="3"/>
    <x v="1"/>
    <s v="Active"/>
  </r>
  <r>
    <x v="149"/>
    <n v="19"/>
    <x v="1"/>
    <s v="Laboratory Technician"/>
    <n v="1"/>
    <n v="1483"/>
    <n v="1"/>
    <n v="3"/>
    <x v="1"/>
    <s v="Active"/>
  </r>
  <r>
    <x v="150"/>
    <n v="40"/>
    <x v="1"/>
    <s v="Research Scientist"/>
    <n v="2"/>
    <n v="5605"/>
    <n v="20"/>
    <n v="3"/>
    <x v="1"/>
    <s v="Active"/>
  </r>
  <r>
    <x v="151"/>
    <n v="35"/>
    <x v="0"/>
    <s v="Sales Executive"/>
    <n v="3"/>
    <n v="7295"/>
    <n v="10"/>
    <n v="3"/>
    <x v="1"/>
    <s v="Active"/>
  </r>
  <r>
    <x v="152"/>
    <n v="53"/>
    <x v="0"/>
    <s v="Sales Representative"/>
    <n v="2"/>
    <n v="2306"/>
    <n v="7"/>
    <n v="1"/>
    <x v="1"/>
    <s v="Active"/>
  </r>
  <r>
    <x v="153"/>
    <n v="45"/>
    <x v="1"/>
    <s v="Laboratory Technician"/>
    <n v="2"/>
    <n v="2348"/>
    <n v="17"/>
    <n v="1"/>
    <x v="1"/>
    <s v="Active"/>
  </r>
  <r>
    <x v="154"/>
    <n v="32"/>
    <x v="0"/>
    <s v="Sales Executive"/>
    <n v="3"/>
    <n v="8998"/>
    <n v="9"/>
    <n v="3"/>
    <x v="1"/>
    <s v="Active"/>
  </r>
  <r>
    <x v="155"/>
    <n v="29"/>
    <x v="1"/>
    <s v="Manufacturing Director"/>
    <n v="2"/>
    <n v="4319"/>
    <n v="10"/>
    <n v="3"/>
    <x v="1"/>
    <s v="Active"/>
  </r>
  <r>
    <x v="156"/>
    <n v="51"/>
    <x v="1"/>
    <s v="Manufacturing Director"/>
    <n v="2"/>
    <n v="6132"/>
    <n v="1"/>
    <n v="3"/>
    <x v="1"/>
    <s v="Active"/>
  </r>
  <r>
    <x v="157"/>
    <n v="58"/>
    <x v="1"/>
    <s v="Research Scientist"/>
    <n v="1"/>
    <n v="3346"/>
    <n v="1"/>
    <n v="2"/>
    <x v="1"/>
    <s v="Active"/>
  </r>
  <r>
    <x v="158"/>
    <n v="40"/>
    <x v="0"/>
    <s v="Sales Executive"/>
    <n v="3"/>
    <n v="10855"/>
    <n v="12"/>
    <n v="2"/>
    <x v="1"/>
    <s v="Active"/>
  </r>
  <r>
    <x v="159"/>
    <n v="34"/>
    <x v="0"/>
    <s v="Sales Representative"/>
    <n v="1"/>
    <n v="2231"/>
    <n v="4"/>
    <n v="3"/>
    <x v="1"/>
    <s v="Active"/>
  </r>
  <r>
    <x v="160"/>
    <n v="22"/>
    <x v="1"/>
    <s v="Research Scientist"/>
    <n v="1"/>
    <n v="2323"/>
    <n v="2"/>
    <n v="3"/>
    <x v="1"/>
    <s v="Active"/>
  </r>
  <r>
    <x v="161"/>
    <n v="27"/>
    <x v="1"/>
    <s v="Research Scientist"/>
    <n v="1"/>
    <n v="2024"/>
    <n v="2"/>
    <n v="1"/>
    <x v="1"/>
    <s v="Active"/>
  </r>
  <r>
    <x v="162"/>
    <n v="28"/>
    <x v="1"/>
    <s v="Research Scientist"/>
    <n v="1"/>
    <n v="2713"/>
    <n v="5"/>
    <n v="1"/>
    <x v="1"/>
    <s v="Active"/>
  </r>
  <r>
    <x v="163"/>
    <n v="57"/>
    <x v="1"/>
    <s v="Healthcare Representative"/>
    <n v="3"/>
    <n v="9439"/>
    <n v="5"/>
    <n v="1"/>
    <x v="1"/>
    <s v="Active"/>
  </r>
  <r>
    <x v="164"/>
    <n v="27"/>
    <x v="1"/>
    <s v="Research Scientist"/>
    <n v="1"/>
    <n v="2566"/>
    <n v="1"/>
    <n v="2"/>
    <x v="1"/>
    <s v="Active"/>
  </r>
  <r>
    <x v="165"/>
    <n v="50"/>
    <x v="1"/>
    <s v="Manager"/>
    <n v="5"/>
    <n v="19926"/>
    <n v="5"/>
    <n v="3"/>
    <x v="1"/>
    <s v="Active"/>
  </r>
  <r>
    <x v="166"/>
    <n v="41"/>
    <x v="1"/>
    <s v="Research Scientist"/>
    <n v="1"/>
    <n v="2451"/>
    <n v="9"/>
    <n v="3"/>
    <x v="1"/>
    <s v="Active"/>
  </r>
  <r>
    <x v="167"/>
    <n v="30"/>
    <x v="0"/>
    <s v="Sales Executive"/>
    <n v="3"/>
    <n v="9419"/>
    <n v="10"/>
    <n v="3"/>
    <x v="1"/>
    <s v="Active"/>
  </r>
  <r>
    <x v="168"/>
    <n v="38"/>
    <x v="0"/>
    <s v="Sales Executive"/>
    <n v="2"/>
    <n v="8686"/>
    <n v="8"/>
    <n v="4"/>
    <x v="1"/>
    <s v="Active"/>
  </r>
  <r>
    <x v="169"/>
    <n v="32"/>
    <x v="1"/>
    <s v="Research Scientist"/>
    <n v="1"/>
    <n v="3038"/>
    <n v="5"/>
    <n v="3"/>
    <x v="1"/>
    <s v="Active"/>
  </r>
  <r>
    <x v="170"/>
    <n v="27"/>
    <x v="1"/>
    <s v="Research Scientist"/>
    <n v="1"/>
    <n v="3058"/>
    <n v="5"/>
    <n v="2"/>
    <x v="1"/>
    <s v="Active"/>
  </r>
  <r>
    <x v="171"/>
    <n v="19"/>
    <x v="0"/>
    <s v="Sales Representative"/>
    <n v="1"/>
    <n v="2325"/>
    <n v="0"/>
    <n v="4"/>
    <x v="0"/>
    <s v="Resigned"/>
  </r>
  <r>
    <x v="172"/>
    <n v="36"/>
    <x v="1"/>
    <s v="Laboratory Technician"/>
    <n v="1"/>
    <n v="2088"/>
    <n v="8"/>
    <n v="2"/>
    <x v="1"/>
    <s v="Active"/>
  </r>
  <r>
    <x v="173"/>
    <n v="30"/>
    <x v="1"/>
    <s v="Laboratory Technician"/>
    <n v="2"/>
    <n v="3072"/>
    <n v="12"/>
    <n v="3"/>
    <x v="1"/>
    <s v="Active"/>
  </r>
  <r>
    <x v="174"/>
    <n v="45"/>
    <x v="0"/>
    <s v="Sales Executive"/>
    <n v="2"/>
    <n v="5006"/>
    <n v="5"/>
    <n v="4"/>
    <x v="1"/>
    <s v="Active"/>
  </r>
  <r>
    <x v="175"/>
    <n v="56"/>
    <x v="1"/>
    <s v="Research Scientist"/>
    <n v="1"/>
    <n v="4257"/>
    <n v="2"/>
    <n v="3"/>
    <x v="1"/>
    <s v="Active"/>
  </r>
  <r>
    <x v="176"/>
    <n v="33"/>
    <x v="1"/>
    <s v="Research Scientist"/>
    <n v="1"/>
    <n v="2500"/>
    <n v="3"/>
    <n v="4"/>
    <x v="1"/>
    <s v="Active"/>
  </r>
  <r>
    <x v="177"/>
    <n v="19"/>
    <x v="1"/>
    <s v="Laboratory Technician"/>
    <n v="1"/>
    <n v="1102"/>
    <n v="1"/>
    <n v="2"/>
    <x v="0"/>
    <s v="Resigned"/>
  </r>
  <r>
    <x v="178"/>
    <n v="46"/>
    <x v="0"/>
    <s v="Sales Executive"/>
    <n v="3"/>
    <n v="10453"/>
    <n v="24"/>
    <n v="3"/>
    <x v="1"/>
    <s v="Active"/>
  </r>
  <r>
    <x v="179"/>
    <n v="38"/>
    <x v="1"/>
    <s v="Laboratory Technician"/>
    <n v="1"/>
    <n v="2288"/>
    <n v="2"/>
    <n v="3"/>
    <x v="1"/>
    <s v="Active"/>
  </r>
  <r>
    <x v="180"/>
    <n v="31"/>
    <x v="1"/>
    <s v="Research Scientist"/>
    <n v="1"/>
    <n v="3929"/>
    <n v="4"/>
    <n v="3"/>
    <x v="1"/>
    <s v="Active"/>
  </r>
  <r>
    <x v="181"/>
    <n v="34"/>
    <x v="1"/>
    <s v="Research Scientist"/>
    <n v="1"/>
    <n v="2311"/>
    <n v="3"/>
    <n v="3"/>
    <x v="1"/>
    <s v="Active"/>
  </r>
  <r>
    <x v="182"/>
    <n v="41"/>
    <x v="0"/>
    <s v="Sales Representative"/>
    <n v="1"/>
    <n v="3140"/>
    <n v="4"/>
    <n v="2"/>
    <x v="0"/>
    <s v="Resigned"/>
  </r>
  <r>
    <x v="183"/>
    <n v="50"/>
    <x v="1"/>
    <s v="Laboratory Technician"/>
    <n v="1"/>
    <n v="3690"/>
    <n v="3"/>
    <n v="2"/>
    <x v="1"/>
    <s v="Active"/>
  </r>
  <r>
    <x v="184"/>
    <n v="53"/>
    <x v="1"/>
    <s v="Manufacturing Director"/>
    <n v="2"/>
    <n v="4450"/>
    <n v="4"/>
    <n v="3"/>
    <x v="1"/>
    <s v="Active"/>
  </r>
  <r>
    <x v="185"/>
    <n v="33"/>
    <x v="1"/>
    <s v="Research Scientist"/>
    <n v="1"/>
    <n v="2756"/>
    <n v="8"/>
    <n v="3"/>
    <x v="1"/>
    <s v="Active"/>
  </r>
  <r>
    <x v="186"/>
    <n v="40"/>
    <x v="1"/>
    <s v="Manager"/>
    <n v="5"/>
    <n v="19033"/>
    <n v="20"/>
    <n v="3"/>
    <x v="1"/>
    <s v="Active"/>
  </r>
  <r>
    <x v="187"/>
    <n v="55"/>
    <x v="1"/>
    <s v="Research Director"/>
    <n v="5"/>
    <n v="18722"/>
    <n v="24"/>
    <n v="3"/>
    <x v="1"/>
    <s v="Active"/>
  </r>
  <r>
    <x v="188"/>
    <n v="34"/>
    <x v="1"/>
    <s v="Manufacturing Director"/>
    <n v="2"/>
    <n v="9547"/>
    <n v="10"/>
    <n v="2"/>
    <x v="1"/>
    <s v="Active"/>
  </r>
  <r>
    <x v="189"/>
    <n v="51"/>
    <x v="1"/>
    <s v="Healthcare Representative"/>
    <n v="4"/>
    <n v="13734"/>
    <n v="7"/>
    <n v="3"/>
    <x v="1"/>
    <s v="Active"/>
  </r>
  <r>
    <x v="190"/>
    <n v="52"/>
    <x v="1"/>
    <s v="Manager"/>
    <n v="5"/>
    <n v="19999"/>
    <n v="33"/>
    <n v="3"/>
    <x v="1"/>
    <s v="Active"/>
  </r>
  <r>
    <x v="191"/>
    <n v="27"/>
    <x v="1"/>
    <s v="Research Scientist"/>
    <n v="1"/>
    <n v="2279"/>
    <n v="7"/>
    <n v="2"/>
    <x v="1"/>
    <s v="Active"/>
  </r>
  <r>
    <x v="192"/>
    <n v="35"/>
    <x v="1"/>
    <s v="Manufacturing Director"/>
    <n v="2"/>
    <n v="5916"/>
    <n v="1"/>
    <n v="3"/>
    <x v="0"/>
    <s v="Resigned"/>
  </r>
  <r>
    <x v="193"/>
    <n v="43"/>
    <x v="1"/>
    <s v="Research Scientist"/>
    <n v="1"/>
    <n v="2089"/>
    <n v="5"/>
    <n v="4"/>
    <x v="1"/>
    <s v="Active"/>
  </r>
  <r>
    <x v="194"/>
    <n v="45"/>
    <x v="1"/>
    <s v="Manager"/>
    <n v="4"/>
    <n v="16792"/>
    <n v="20"/>
    <n v="3"/>
    <x v="1"/>
    <s v="Active"/>
  </r>
  <r>
    <x v="195"/>
    <n v="37"/>
    <x v="1"/>
    <s v="Research Scientist"/>
    <n v="1"/>
    <n v="3564"/>
    <n v="8"/>
    <n v="2"/>
    <x v="1"/>
    <s v="Active"/>
  </r>
  <r>
    <x v="196"/>
    <n v="35"/>
    <x v="1"/>
    <s v="Laboratory Technician"/>
    <n v="2"/>
    <n v="4425"/>
    <n v="6"/>
    <n v="3"/>
    <x v="1"/>
    <s v="Active"/>
  </r>
  <r>
    <x v="197"/>
    <n v="42"/>
    <x v="1"/>
    <s v="Manufacturing Director"/>
    <n v="2"/>
    <n v="5265"/>
    <n v="5"/>
    <n v="3"/>
    <x v="1"/>
    <s v="Active"/>
  </r>
  <r>
    <x v="198"/>
    <n v="38"/>
    <x v="1"/>
    <s v="Manufacturing Director"/>
    <n v="2"/>
    <n v="6553"/>
    <n v="1"/>
    <n v="3"/>
    <x v="1"/>
    <s v="Active"/>
  </r>
  <r>
    <x v="199"/>
    <n v="38"/>
    <x v="1"/>
    <s v="Manufacturing Director"/>
    <n v="2"/>
    <n v="6261"/>
    <n v="7"/>
    <n v="1"/>
    <x v="1"/>
    <s v="Active"/>
  </r>
  <r>
    <x v="200"/>
    <n v="27"/>
    <x v="1"/>
    <s v="Manufacturing Director"/>
    <n v="2"/>
    <n v="4298"/>
    <n v="2"/>
    <n v="3"/>
    <x v="1"/>
    <s v="Active"/>
  </r>
  <r>
    <x v="201"/>
    <n v="49"/>
    <x v="1"/>
    <s v="Manufacturing Director"/>
    <n v="2"/>
    <n v="6804"/>
    <n v="7"/>
    <n v="3"/>
    <x v="1"/>
    <s v="Active"/>
  </r>
  <r>
    <x v="202"/>
    <n v="34"/>
    <x v="1"/>
    <s v="Research Scientist"/>
    <n v="1"/>
    <n v="3815"/>
    <n v="5"/>
    <n v="4"/>
    <x v="1"/>
    <s v="Active"/>
  </r>
  <r>
    <x v="203"/>
    <n v="40"/>
    <x v="1"/>
    <s v="Laboratory Technician"/>
    <n v="2"/>
    <n v="2741"/>
    <n v="7"/>
    <n v="4"/>
    <x v="1"/>
    <s v="Active"/>
  </r>
  <r>
    <x v="204"/>
    <n v="38"/>
    <x v="1"/>
    <s v="Healthcare Representative"/>
    <n v="2"/>
    <n v="6673"/>
    <n v="1"/>
    <n v="3"/>
    <x v="0"/>
    <s v="Resigned"/>
  </r>
  <r>
    <x v="205"/>
    <n v="29"/>
    <x v="0"/>
    <s v="Sales Executive"/>
    <n v="3"/>
    <n v="7639"/>
    <n v="10"/>
    <n v="2"/>
    <x v="0"/>
    <s v="Resigned"/>
  </r>
  <r>
    <x v="206"/>
    <n v="22"/>
    <x v="1"/>
    <s v="Research Scientist"/>
    <n v="1"/>
    <n v="2328"/>
    <n v="4"/>
    <n v="2"/>
    <x v="1"/>
    <s v="Active"/>
  </r>
  <r>
    <x v="207"/>
    <n v="36"/>
    <x v="1"/>
    <s v="Laboratory Technician"/>
    <n v="1"/>
    <n v="2153"/>
    <n v="8"/>
    <n v="3"/>
    <x v="1"/>
    <s v="Active"/>
  </r>
  <r>
    <x v="208"/>
    <n v="40"/>
    <x v="1"/>
    <s v="Healthcare Representative"/>
    <n v="2"/>
    <n v="4876"/>
    <n v="3"/>
    <n v="1"/>
    <x v="1"/>
    <s v="Active"/>
  </r>
  <r>
    <x v="209"/>
    <n v="46"/>
    <x v="1"/>
    <s v="Healthcare Representative"/>
    <n v="3"/>
    <n v="9396"/>
    <n v="4"/>
    <n v="3"/>
    <x v="1"/>
    <s v="Active"/>
  </r>
  <r>
    <x v="210"/>
    <n v="32"/>
    <x v="0"/>
    <s v="Sales Executive"/>
    <n v="3"/>
    <n v="10400"/>
    <n v="14"/>
    <n v="2"/>
    <x v="0"/>
    <s v="Resigned"/>
  </r>
  <r>
    <x v="211"/>
    <n v="30"/>
    <x v="1"/>
    <s v="Manufacturing Director"/>
    <n v="3"/>
    <n v="8474"/>
    <n v="11"/>
    <n v="3"/>
    <x v="1"/>
    <s v="Active"/>
  </r>
  <r>
    <x v="212"/>
    <n v="27"/>
    <x v="0"/>
    <s v="Sales Executive"/>
    <n v="2"/>
    <n v="9981"/>
    <n v="7"/>
    <n v="3"/>
    <x v="1"/>
    <s v="Active"/>
  </r>
  <r>
    <x v="213"/>
    <n v="51"/>
    <x v="1"/>
    <s v="Research Director"/>
    <n v="3"/>
    <n v="12490"/>
    <n v="10"/>
    <n v="1"/>
    <x v="1"/>
    <s v="Active"/>
  </r>
  <r>
    <x v="214"/>
    <n v="30"/>
    <x v="1"/>
    <s v="Research Scientist"/>
    <n v="1"/>
    <n v="2657"/>
    <n v="5"/>
    <n v="3"/>
    <x v="0"/>
    <s v="Resigned"/>
  </r>
  <r>
    <x v="215"/>
    <n v="41"/>
    <x v="0"/>
    <s v="Manager"/>
    <n v="3"/>
    <n v="13591"/>
    <n v="1"/>
    <n v="3"/>
    <x v="1"/>
    <s v="Active"/>
  </r>
  <r>
    <x v="216"/>
    <n v="30"/>
    <x v="0"/>
    <s v="Sales Executive"/>
    <n v="2"/>
    <n v="6696"/>
    <n v="6"/>
    <n v="2"/>
    <x v="0"/>
    <s v="Resigned"/>
  </r>
  <r>
    <x v="217"/>
    <n v="29"/>
    <x v="1"/>
    <s v="Research Scientist"/>
    <n v="1"/>
    <n v="2058"/>
    <n v="6"/>
    <n v="2"/>
    <x v="0"/>
    <s v="Resigned"/>
  </r>
  <r>
    <x v="218"/>
    <n v="45"/>
    <x v="0"/>
    <s v="Sales Executive"/>
    <n v="3"/>
    <n v="8865"/>
    <n v="19"/>
    <n v="3"/>
    <x v="1"/>
    <s v="Active"/>
  </r>
  <r>
    <x v="219"/>
    <n v="54"/>
    <x v="0"/>
    <s v="Sales Executive"/>
    <n v="2"/>
    <n v="5940"/>
    <n v="6"/>
    <n v="3"/>
    <x v="1"/>
    <s v="Active"/>
  </r>
  <r>
    <x v="220"/>
    <n v="36"/>
    <x v="1"/>
    <s v="Laboratory Technician"/>
    <n v="2"/>
    <n v="5914"/>
    <n v="13"/>
    <n v="4"/>
    <x v="1"/>
    <s v="Active"/>
  </r>
  <r>
    <x v="221"/>
    <n v="33"/>
    <x v="1"/>
    <s v="Research Scientist"/>
    <n v="1"/>
    <n v="2622"/>
    <n v="3"/>
    <n v="3"/>
    <x v="1"/>
    <s v="Active"/>
  </r>
  <r>
    <x v="222"/>
    <n v="37"/>
    <x v="1"/>
    <s v="Research Director"/>
    <n v="3"/>
    <n v="12185"/>
    <n v="10"/>
    <n v="3"/>
    <x v="1"/>
    <s v="Active"/>
  </r>
  <r>
    <x v="223"/>
    <n v="38"/>
    <x v="0"/>
    <s v="Sales Executive"/>
    <n v="3"/>
    <n v="10609"/>
    <n v="16"/>
    <n v="2"/>
    <x v="1"/>
    <s v="Active"/>
  </r>
  <r>
    <x v="224"/>
    <n v="31"/>
    <x v="1"/>
    <s v="Manufacturing Director"/>
    <n v="2"/>
    <n v="4345"/>
    <n v="5"/>
    <n v="3"/>
    <x v="1"/>
    <s v="Active"/>
  </r>
  <r>
    <x v="225"/>
    <n v="59"/>
    <x v="1"/>
    <s v="Research Scientist"/>
    <n v="1"/>
    <n v="2177"/>
    <n v="1"/>
    <n v="3"/>
    <x v="1"/>
    <s v="Active"/>
  </r>
  <r>
    <x v="226"/>
    <n v="37"/>
    <x v="0"/>
    <s v="Sales Representative"/>
    <n v="1"/>
    <n v="2793"/>
    <n v="9"/>
    <n v="3"/>
    <x v="1"/>
    <s v="Active"/>
  </r>
  <r>
    <x v="227"/>
    <n v="29"/>
    <x v="0"/>
    <s v="Sales Executive"/>
    <n v="3"/>
    <n v="7918"/>
    <n v="11"/>
    <n v="3"/>
    <x v="1"/>
    <s v="Active"/>
  </r>
  <r>
    <x v="228"/>
    <n v="35"/>
    <x v="0"/>
    <s v="Sales Executive"/>
    <n v="3"/>
    <n v="8789"/>
    <n v="10"/>
    <n v="4"/>
    <x v="1"/>
    <s v="Active"/>
  </r>
  <r>
    <x v="229"/>
    <n v="29"/>
    <x v="1"/>
    <s v="Research Scientist"/>
    <n v="1"/>
    <n v="2389"/>
    <n v="4"/>
    <n v="2"/>
    <x v="0"/>
    <s v="Resigned"/>
  </r>
  <r>
    <x v="230"/>
    <n v="52"/>
    <x v="1"/>
    <s v="Laboratory Technician"/>
    <n v="1"/>
    <n v="3212"/>
    <n v="2"/>
    <n v="2"/>
    <x v="1"/>
    <s v="Active"/>
  </r>
  <r>
    <x v="231"/>
    <n v="42"/>
    <x v="1"/>
    <s v="Manager"/>
    <n v="5"/>
    <n v="19232"/>
    <n v="22"/>
    <n v="3"/>
    <x v="1"/>
    <s v="Active"/>
  </r>
  <r>
    <x v="232"/>
    <n v="59"/>
    <x v="2"/>
    <s v="Human Resources"/>
    <n v="1"/>
    <n v="2267"/>
    <n v="2"/>
    <n v="2"/>
    <x v="1"/>
    <s v="Active"/>
  </r>
  <r>
    <x v="233"/>
    <n v="50"/>
    <x v="0"/>
    <s v="Manager"/>
    <n v="5"/>
    <n v="19517"/>
    <n v="7"/>
    <n v="2"/>
    <x v="1"/>
    <s v="Active"/>
  </r>
  <r>
    <x v="234"/>
    <n v="33"/>
    <x v="1"/>
    <s v="Laboratory Technician"/>
    <n v="1"/>
    <n v="2436"/>
    <n v="5"/>
    <n v="1"/>
    <x v="0"/>
    <s v="Resigned"/>
  </r>
  <r>
    <x v="235"/>
    <n v="43"/>
    <x v="0"/>
    <s v="Manager"/>
    <n v="4"/>
    <n v="16064"/>
    <n v="17"/>
    <n v="3"/>
    <x v="1"/>
    <s v="Active"/>
  </r>
  <r>
    <x v="236"/>
    <n v="33"/>
    <x v="1"/>
    <s v="Laboratory Technician"/>
    <n v="1"/>
    <n v="2707"/>
    <n v="9"/>
    <n v="4"/>
    <x v="0"/>
    <s v="Resigned"/>
  </r>
  <r>
    <x v="237"/>
    <n v="52"/>
    <x v="0"/>
    <s v="Manager"/>
    <n v="5"/>
    <n v="19068"/>
    <n v="33"/>
    <n v="4"/>
    <x v="1"/>
    <s v="Active"/>
  </r>
  <r>
    <x v="238"/>
    <n v="32"/>
    <x v="0"/>
    <s v="Sales Representative"/>
    <n v="1"/>
    <n v="3931"/>
    <n v="4"/>
    <n v="3"/>
    <x v="1"/>
    <s v="Active"/>
  </r>
  <r>
    <x v="239"/>
    <n v="32"/>
    <x v="1"/>
    <s v="Laboratory Technician"/>
    <n v="1"/>
    <n v="3730"/>
    <n v="3"/>
    <n v="1"/>
    <x v="0"/>
    <s v="Resigned"/>
  </r>
  <r>
    <x v="240"/>
    <n v="39"/>
    <x v="1"/>
    <s v="Laboratory Technician"/>
    <n v="1"/>
    <n v="2232"/>
    <n v="3"/>
    <n v="3"/>
    <x v="1"/>
    <s v="Active"/>
  </r>
  <r>
    <x v="241"/>
    <n v="32"/>
    <x v="0"/>
    <s v="Sales Executive"/>
    <n v="2"/>
    <n v="4465"/>
    <n v="3"/>
    <n v="3"/>
    <x v="1"/>
    <s v="Active"/>
  </r>
  <r>
    <x v="242"/>
    <n v="41"/>
    <x v="1"/>
    <s v="Research Scientist"/>
    <n v="2"/>
    <n v="3072"/>
    <n v="1"/>
    <n v="2"/>
    <x v="1"/>
    <s v="Active"/>
  </r>
  <r>
    <x v="243"/>
    <n v="40"/>
    <x v="1"/>
    <s v="Research Scientist"/>
    <n v="2"/>
    <n v="3319"/>
    <n v="9"/>
    <n v="3"/>
    <x v="1"/>
    <s v="Active"/>
  </r>
  <r>
    <x v="244"/>
    <n v="45"/>
    <x v="1"/>
    <s v="Manager"/>
    <n v="5"/>
    <n v="19202"/>
    <n v="24"/>
    <n v="3"/>
    <x v="1"/>
    <s v="Active"/>
  </r>
  <r>
    <x v="245"/>
    <n v="31"/>
    <x v="1"/>
    <s v="Research Director"/>
    <n v="3"/>
    <n v="13675"/>
    <n v="2"/>
    <n v="3"/>
    <x v="1"/>
    <s v="Active"/>
  </r>
  <r>
    <x v="246"/>
    <n v="33"/>
    <x v="1"/>
    <s v="Research Scientist"/>
    <n v="1"/>
    <n v="2911"/>
    <n v="2"/>
    <n v="2"/>
    <x v="1"/>
    <s v="Active"/>
  </r>
  <r>
    <x v="247"/>
    <n v="34"/>
    <x v="1"/>
    <s v="Manufacturing Director"/>
    <n v="2"/>
    <n v="5957"/>
    <n v="11"/>
    <n v="3"/>
    <x v="1"/>
    <s v="Active"/>
  </r>
  <r>
    <x v="248"/>
    <n v="37"/>
    <x v="1"/>
    <s v="Research Scientist"/>
    <n v="1"/>
    <n v="3920"/>
    <n v="3"/>
    <n v="2"/>
    <x v="1"/>
    <s v="Active"/>
  </r>
  <r>
    <x v="249"/>
    <n v="45"/>
    <x v="1"/>
    <s v="Manufacturing Director"/>
    <n v="2"/>
    <n v="6434"/>
    <n v="3"/>
    <n v="3"/>
    <x v="1"/>
    <s v="Active"/>
  </r>
  <r>
    <x v="250"/>
    <n v="37"/>
    <x v="1"/>
    <s v="Manufacturing Director"/>
    <n v="3"/>
    <n v="10048"/>
    <n v="1"/>
    <n v="3"/>
    <x v="0"/>
    <s v="Resigned"/>
  </r>
  <r>
    <x v="251"/>
    <n v="39"/>
    <x v="1"/>
    <s v="Healthcare Representative"/>
    <n v="3"/>
    <n v="10938"/>
    <n v="19"/>
    <n v="3"/>
    <x v="1"/>
    <s v="Active"/>
  </r>
  <r>
    <x v="252"/>
    <n v="29"/>
    <x v="1"/>
    <s v="Research Scientist"/>
    <n v="1"/>
    <n v="2340"/>
    <n v="6"/>
    <n v="3"/>
    <x v="1"/>
    <s v="Active"/>
  </r>
  <r>
    <x v="253"/>
    <n v="42"/>
    <x v="1"/>
    <s v="Research Scientist"/>
    <n v="2"/>
    <n v="6545"/>
    <n v="3"/>
    <n v="3"/>
    <x v="1"/>
    <s v="Active"/>
  </r>
  <r>
    <x v="254"/>
    <n v="29"/>
    <x v="0"/>
    <s v="Sales Executive"/>
    <n v="2"/>
    <n v="6931"/>
    <n v="3"/>
    <n v="3"/>
    <x v="1"/>
    <s v="Active"/>
  </r>
  <r>
    <x v="255"/>
    <n v="25"/>
    <x v="1"/>
    <s v="Manufacturing Director"/>
    <n v="2"/>
    <n v="4898"/>
    <n v="4"/>
    <n v="3"/>
    <x v="1"/>
    <s v="Active"/>
  </r>
  <r>
    <x v="256"/>
    <n v="42"/>
    <x v="1"/>
    <s v="Laboratory Technician"/>
    <n v="1"/>
    <n v="2593"/>
    <n v="9"/>
    <n v="3"/>
    <x v="1"/>
    <s v="Active"/>
  </r>
  <r>
    <x v="257"/>
    <n v="40"/>
    <x v="1"/>
    <s v="Research Director"/>
    <n v="5"/>
    <n v="19436"/>
    <n v="21"/>
    <n v="3"/>
    <x v="1"/>
    <s v="Active"/>
  </r>
  <r>
    <x v="258"/>
    <n v="51"/>
    <x v="1"/>
    <s v="Research Scientist"/>
    <n v="1"/>
    <n v="2723"/>
    <n v="1"/>
    <n v="2"/>
    <x v="1"/>
    <s v="Active"/>
  </r>
  <r>
    <x v="259"/>
    <n v="31"/>
    <x v="1"/>
    <s v="Laboratory Technician"/>
    <n v="1"/>
    <n v="3479"/>
    <n v="5"/>
    <n v="4"/>
    <x v="0"/>
    <s v="Resigned"/>
  </r>
  <r>
    <x v="260"/>
    <n v="32"/>
    <x v="1"/>
    <s v="Laboratory Technician"/>
    <n v="1"/>
    <n v="2794"/>
    <n v="5"/>
    <n v="1"/>
    <x v="1"/>
    <s v="Active"/>
  </r>
  <r>
    <x v="261"/>
    <n v="38"/>
    <x v="0"/>
    <s v="Sales Executive"/>
    <n v="2"/>
    <n v="5249"/>
    <n v="8"/>
    <n v="3"/>
    <x v="1"/>
    <s v="Active"/>
  </r>
  <r>
    <x v="262"/>
    <n v="32"/>
    <x v="1"/>
    <s v="Laboratory Technician"/>
    <n v="2"/>
    <n v="2176"/>
    <n v="6"/>
    <n v="3"/>
    <x v="1"/>
    <s v="Active"/>
  </r>
  <r>
    <x v="263"/>
    <n v="46"/>
    <x v="0"/>
    <s v="Manager"/>
    <n v="4"/>
    <n v="16872"/>
    <n v="7"/>
    <n v="2"/>
    <x v="1"/>
    <s v="Active"/>
  </r>
  <r>
    <x v="264"/>
    <n v="28"/>
    <x v="1"/>
    <s v="Laboratory Technician"/>
    <n v="1"/>
    <n v="3485"/>
    <n v="0"/>
    <n v="1"/>
    <x v="0"/>
    <s v="Resigned"/>
  </r>
  <r>
    <x v="265"/>
    <n v="29"/>
    <x v="0"/>
    <s v="Sales Executive"/>
    <n v="2"/>
    <n v="6644"/>
    <n v="0"/>
    <n v="3"/>
    <x v="1"/>
    <s v="Active"/>
  </r>
  <r>
    <x v="266"/>
    <n v="31"/>
    <x v="1"/>
    <s v="Healthcare Representative"/>
    <n v="2"/>
    <n v="5582"/>
    <n v="9"/>
    <n v="3"/>
    <x v="1"/>
    <s v="Active"/>
  </r>
  <r>
    <x v="267"/>
    <n v="25"/>
    <x v="1"/>
    <s v="Healthcare Representative"/>
    <n v="2"/>
    <n v="4000"/>
    <n v="6"/>
    <n v="3"/>
    <x v="1"/>
    <s v="Active"/>
  </r>
  <r>
    <x v="268"/>
    <n v="45"/>
    <x v="1"/>
    <s v="Healthcare Representative"/>
    <n v="4"/>
    <n v="13496"/>
    <n v="20"/>
    <n v="3"/>
    <x v="1"/>
    <s v="Active"/>
  </r>
  <r>
    <x v="269"/>
    <n v="36"/>
    <x v="1"/>
    <s v="Laboratory Technician"/>
    <n v="1"/>
    <n v="3210"/>
    <n v="15"/>
    <n v="3"/>
    <x v="1"/>
    <s v="Active"/>
  </r>
  <r>
    <x v="270"/>
    <n v="55"/>
    <x v="1"/>
    <s v="Manager"/>
    <n v="5"/>
    <n v="19045"/>
    <n v="36"/>
    <n v="3"/>
    <x v="1"/>
    <s v="Active"/>
  </r>
  <r>
    <x v="271"/>
    <n v="47"/>
    <x v="1"/>
    <s v="Manager"/>
    <n v="3"/>
    <n v="11849"/>
    <n v="10"/>
    <n v="2"/>
    <x v="0"/>
    <s v="Resigned"/>
  </r>
  <r>
    <x v="272"/>
    <n v="28"/>
    <x v="1"/>
    <s v="Research Scientist"/>
    <n v="1"/>
    <n v="2070"/>
    <n v="5"/>
    <n v="2"/>
    <x v="1"/>
    <s v="Active"/>
  </r>
  <r>
    <x v="273"/>
    <n v="37"/>
    <x v="0"/>
    <s v="Sales Executive"/>
    <n v="2"/>
    <n v="6502"/>
    <n v="5"/>
    <n v="4"/>
    <x v="1"/>
    <s v="Active"/>
  </r>
  <r>
    <x v="274"/>
    <n v="21"/>
    <x v="1"/>
    <s v="Research Scientist"/>
    <n v="1"/>
    <n v="3230"/>
    <n v="3"/>
    <n v="4"/>
    <x v="1"/>
    <s v="Active"/>
  </r>
  <r>
    <x v="275"/>
    <n v="37"/>
    <x v="1"/>
    <s v="Research Director"/>
    <n v="3"/>
    <n v="13603"/>
    <n v="5"/>
    <n v="3"/>
    <x v="1"/>
    <s v="Active"/>
  </r>
  <r>
    <x v="276"/>
    <n v="35"/>
    <x v="1"/>
    <s v="Manager"/>
    <n v="3"/>
    <n v="11996"/>
    <n v="7"/>
    <n v="2"/>
    <x v="1"/>
    <s v="Active"/>
  </r>
  <r>
    <x v="277"/>
    <n v="38"/>
    <x v="0"/>
    <s v="Sales Executive"/>
    <n v="2"/>
    <n v="5605"/>
    <n v="8"/>
    <n v="3"/>
    <x v="1"/>
    <s v="Active"/>
  </r>
  <r>
    <x v="278"/>
    <n v="26"/>
    <x v="1"/>
    <s v="Manufacturing Director"/>
    <n v="2"/>
    <n v="6397"/>
    <n v="6"/>
    <n v="1"/>
    <x v="1"/>
    <s v="Active"/>
  </r>
  <r>
    <x v="279"/>
    <n v="50"/>
    <x v="1"/>
    <s v="Research Director"/>
    <n v="5"/>
    <n v="19144"/>
    <n v="10"/>
    <n v="2"/>
    <x v="1"/>
    <s v="Active"/>
  </r>
  <r>
    <x v="280"/>
    <n v="53"/>
    <x v="1"/>
    <s v="Research Director"/>
    <n v="4"/>
    <n v="17584"/>
    <n v="5"/>
    <n v="2"/>
    <x v="1"/>
    <s v="Active"/>
  </r>
  <r>
    <x v="281"/>
    <n v="42"/>
    <x v="0"/>
    <s v="Sales Executive"/>
    <n v="2"/>
    <n v="4907"/>
    <n v="20"/>
    <n v="3"/>
    <x v="1"/>
    <s v="Active"/>
  </r>
  <r>
    <x v="282"/>
    <n v="29"/>
    <x v="0"/>
    <s v="Sales Executive"/>
    <n v="2"/>
    <n v="4554"/>
    <n v="10"/>
    <n v="2"/>
    <x v="1"/>
    <s v="Active"/>
  </r>
  <r>
    <x v="283"/>
    <n v="55"/>
    <x v="1"/>
    <s v="Laboratory Technician"/>
    <n v="2"/>
    <n v="5415"/>
    <n v="10"/>
    <n v="3"/>
    <x v="1"/>
    <s v="Active"/>
  </r>
  <r>
    <x v="284"/>
    <n v="26"/>
    <x v="1"/>
    <s v="Healthcare Representative"/>
    <n v="2"/>
    <n v="4741"/>
    <n v="5"/>
    <n v="3"/>
    <x v="1"/>
    <s v="Active"/>
  </r>
  <r>
    <x v="285"/>
    <n v="37"/>
    <x v="1"/>
    <s v="Research Scientist"/>
    <n v="1"/>
    <n v="2115"/>
    <n v="17"/>
    <n v="3"/>
    <x v="1"/>
    <s v="Active"/>
  </r>
  <r>
    <x v="286"/>
    <n v="44"/>
    <x v="1"/>
    <s v="Laboratory Technician"/>
    <n v="1"/>
    <n v="3161"/>
    <n v="1"/>
    <n v="1"/>
    <x v="0"/>
    <s v="Resigned"/>
  </r>
  <r>
    <x v="287"/>
    <n v="38"/>
    <x v="1"/>
    <s v="Healthcare Representative"/>
    <n v="2"/>
    <n v="5745"/>
    <n v="2"/>
    <n v="3"/>
    <x v="1"/>
    <s v="Active"/>
  </r>
  <r>
    <x v="288"/>
    <n v="26"/>
    <x v="1"/>
    <s v="Laboratory Technician"/>
    <n v="1"/>
    <n v="2373"/>
    <n v="3"/>
    <n v="3"/>
    <x v="0"/>
    <s v="Resigned"/>
  </r>
  <r>
    <x v="289"/>
    <n v="28"/>
    <x v="1"/>
    <s v="Research Scientist"/>
    <n v="1"/>
    <n v="3310"/>
    <n v="5"/>
    <n v="3"/>
    <x v="1"/>
    <s v="Active"/>
  </r>
  <r>
    <x v="290"/>
    <n v="49"/>
    <x v="1"/>
    <s v="Research Director"/>
    <n v="5"/>
    <n v="18665"/>
    <n v="3"/>
    <n v="3"/>
    <x v="1"/>
    <s v="Active"/>
  </r>
  <r>
    <x v="291"/>
    <n v="36"/>
    <x v="1"/>
    <s v="Research Scientist"/>
    <n v="2"/>
    <n v="4485"/>
    <n v="8"/>
    <n v="3"/>
    <x v="1"/>
    <s v="Active"/>
  </r>
  <r>
    <x v="292"/>
    <n v="31"/>
    <x v="0"/>
    <s v="Sales Representative"/>
    <n v="1"/>
    <n v="2789"/>
    <n v="2"/>
    <n v="2"/>
    <x v="1"/>
    <s v="Active"/>
  </r>
  <r>
    <x v="293"/>
    <n v="26"/>
    <x v="0"/>
    <s v="Sales Executive"/>
    <n v="2"/>
    <n v="5828"/>
    <n v="8"/>
    <n v="3"/>
    <x v="0"/>
    <s v="Resigned"/>
  </r>
  <r>
    <x v="294"/>
    <n v="37"/>
    <x v="1"/>
    <s v="Research Scientist"/>
    <n v="1"/>
    <n v="2326"/>
    <n v="4"/>
    <n v="2"/>
    <x v="1"/>
    <s v="Active"/>
  </r>
  <r>
    <x v="295"/>
    <n v="42"/>
    <x v="0"/>
    <s v="Sales Executive"/>
    <n v="4"/>
    <n v="13525"/>
    <n v="20"/>
    <n v="4"/>
    <x v="1"/>
    <s v="Active"/>
  </r>
  <r>
    <x v="296"/>
    <n v="18"/>
    <x v="1"/>
    <s v="Laboratory Technician"/>
    <n v="1"/>
    <n v="1420"/>
    <n v="0"/>
    <n v="3"/>
    <x v="0"/>
    <s v="Resigned"/>
  </r>
  <r>
    <x v="297"/>
    <n v="35"/>
    <x v="0"/>
    <s v="Sales Executive"/>
    <n v="3"/>
    <n v="8020"/>
    <n v="11"/>
    <n v="2"/>
    <x v="1"/>
    <s v="Active"/>
  </r>
  <r>
    <x v="298"/>
    <n v="36"/>
    <x v="1"/>
    <s v="Laboratory Technician"/>
    <n v="1"/>
    <n v="3688"/>
    <n v="1"/>
    <n v="3"/>
    <x v="1"/>
    <s v="Active"/>
  </r>
  <r>
    <x v="299"/>
    <n v="51"/>
    <x v="1"/>
    <s v="Manufacturing Director"/>
    <n v="2"/>
    <n v="5482"/>
    <n v="4"/>
    <n v="3"/>
    <x v="1"/>
    <s v="Active"/>
  </r>
  <r>
    <x v="300"/>
    <n v="41"/>
    <x v="0"/>
    <s v="Manager"/>
    <n v="4"/>
    <n v="16015"/>
    <n v="22"/>
    <n v="3"/>
    <x v="1"/>
    <s v="Active"/>
  </r>
  <r>
    <x v="301"/>
    <n v="18"/>
    <x v="0"/>
    <s v="Sales Representative"/>
    <n v="1"/>
    <n v="1200"/>
    <n v="0"/>
    <n v="3"/>
    <x v="1"/>
    <s v="Active"/>
  </r>
  <r>
    <x v="302"/>
    <n v="28"/>
    <x v="1"/>
    <s v="Healthcare Representative"/>
    <n v="2"/>
    <n v="5661"/>
    <n v="8"/>
    <n v="3"/>
    <x v="1"/>
    <s v="Active"/>
  </r>
  <r>
    <x v="303"/>
    <n v="31"/>
    <x v="0"/>
    <s v="Sales Executive"/>
    <n v="2"/>
    <n v="6929"/>
    <n v="8"/>
    <n v="2"/>
    <x v="1"/>
    <s v="Active"/>
  </r>
  <r>
    <x v="304"/>
    <n v="39"/>
    <x v="1"/>
    <s v="Healthcare Representative"/>
    <n v="3"/>
    <n v="9613"/>
    <n v="18"/>
    <n v="2"/>
    <x v="1"/>
    <s v="Active"/>
  </r>
  <r>
    <x v="305"/>
    <n v="36"/>
    <x v="1"/>
    <s v="Laboratory Technician"/>
    <n v="2"/>
    <n v="5674"/>
    <n v="9"/>
    <n v="3"/>
    <x v="1"/>
    <s v="Active"/>
  </r>
  <r>
    <x v="306"/>
    <n v="32"/>
    <x v="0"/>
    <s v="Sales Executive"/>
    <n v="2"/>
    <n v="5484"/>
    <n v="13"/>
    <n v="2"/>
    <x v="1"/>
    <s v="Active"/>
  </r>
  <r>
    <x v="307"/>
    <n v="38"/>
    <x v="1"/>
    <s v="Research Director"/>
    <n v="3"/>
    <n v="12061"/>
    <n v="10"/>
    <n v="3"/>
    <x v="1"/>
    <s v="Active"/>
  </r>
  <r>
    <x v="308"/>
    <n v="58"/>
    <x v="1"/>
    <s v="Healthcare Representative"/>
    <n v="2"/>
    <n v="5660"/>
    <n v="5"/>
    <n v="3"/>
    <x v="1"/>
    <s v="Active"/>
  </r>
  <r>
    <x v="309"/>
    <n v="31"/>
    <x v="1"/>
    <s v="Research Scientist"/>
    <n v="1"/>
    <n v="4821"/>
    <n v="5"/>
    <n v="3"/>
    <x v="1"/>
    <s v="Active"/>
  </r>
  <r>
    <x v="310"/>
    <n v="31"/>
    <x v="2"/>
    <s v="Human Resources"/>
    <n v="2"/>
    <n v="6410"/>
    <n v="2"/>
    <n v="3"/>
    <x v="1"/>
    <s v="Active"/>
  </r>
  <r>
    <x v="311"/>
    <n v="45"/>
    <x v="1"/>
    <s v="Laboratory Technician"/>
    <n v="3"/>
    <n v="5210"/>
    <n v="24"/>
    <n v="3"/>
    <x v="1"/>
    <s v="Active"/>
  </r>
  <r>
    <x v="312"/>
    <n v="31"/>
    <x v="1"/>
    <s v="Research Scientist"/>
    <n v="1"/>
    <n v="2695"/>
    <n v="2"/>
    <n v="1"/>
    <x v="1"/>
    <s v="Active"/>
  </r>
  <r>
    <x v="313"/>
    <n v="33"/>
    <x v="1"/>
    <s v="Manager"/>
    <n v="3"/>
    <n v="11878"/>
    <n v="10"/>
    <n v="3"/>
    <x v="1"/>
    <s v="Active"/>
  </r>
  <r>
    <x v="314"/>
    <n v="39"/>
    <x v="1"/>
    <s v="Manager"/>
    <n v="4"/>
    <n v="17068"/>
    <n v="21"/>
    <n v="3"/>
    <x v="1"/>
    <s v="Active"/>
  </r>
  <r>
    <x v="315"/>
    <n v="43"/>
    <x v="1"/>
    <s v="Laboratory Technician"/>
    <n v="1"/>
    <n v="2455"/>
    <n v="8"/>
    <n v="3"/>
    <x v="1"/>
    <s v="Active"/>
  </r>
  <r>
    <x v="316"/>
    <n v="49"/>
    <x v="1"/>
    <s v="Healthcare Representative"/>
    <n v="4"/>
    <n v="13964"/>
    <n v="7"/>
    <n v="3"/>
    <x v="1"/>
    <s v="Active"/>
  </r>
  <r>
    <x v="317"/>
    <n v="52"/>
    <x v="1"/>
    <s v="Research Scientist"/>
    <n v="2"/>
    <n v="4941"/>
    <n v="8"/>
    <n v="2"/>
    <x v="0"/>
    <s v="Resigned"/>
  </r>
  <r>
    <x v="318"/>
    <n v="27"/>
    <x v="1"/>
    <s v="Research Scientist"/>
    <n v="1"/>
    <n v="2478"/>
    <n v="4"/>
    <n v="2"/>
    <x v="1"/>
    <s v="Active"/>
  </r>
  <r>
    <x v="319"/>
    <n v="32"/>
    <x v="0"/>
    <s v="Sales Executive"/>
    <n v="2"/>
    <n v="5228"/>
    <n v="13"/>
    <n v="3"/>
    <x v="1"/>
    <s v="Active"/>
  </r>
  <r>
    <x v="320"/>
    <n v="27"/>
    <x v="0"/>
    <s v="Sales Executive"/>
    <n v="2"/>
    <n v="4478"/>
    <n v="5"/>
    <n v="3"/>
    <x v="1"/>
    <s v="Active"/>
  </r>
  <r>
    <x v="321"/>
    <n v="31"/>
    <x v="0"/>
    <s v="Sales Executive"/>
    <n v="2"/>
    <n v="7547"/>
    <n v="7"/>
    <n v="3"/>
    <x v="1"/>
    <s v="Active"/>
  </r>
  <r>
    <x v="322"/>
    <n v="32"/>
    <x v="1"/>
    <s v="Research Scientist"/>
    <n v="2"/>
    <n v="5055"/>
    <n v="7"/>
    <n v="2"/>
    <x v="1"/>
    <s v="Active"/>
  </r>
  <r>
    <x v="323"/>
    <n v="28"/>
    <x v="1"/>
    <s v="Research Scientist"/>
    <n v="1"/>
    <n v="3464"/>
    <n v="3"/>
    <n v="2"/>
    <x v="0"/>
    <s v="Resigned"/>
  </r>
  <r>
    <x v="324"/>
    <n v="30"/>
    <x v="1"/>
    <s v="Research Scientist"/>
    <n v="2"/>
    <n v="5775"/>
    <n v="10"/>
    <n v="3"/>
    <x v="1"/>
    <s v="Active"/>
  </r>
  <r>
    <x v="325"/>
    <n v="31"/>
    <x v="1"/>
    <s v="Manufacturing Director"/>
    <n v="3"/>
    <n v="8943"/>
    <n v="10"/>
    <n v="3"/>
    <x v="1"/>
    <s v="Active"/>
  </r>
  <r>
    <x v="326"/>
    <n v="39"/>
    <x v="1"/>
    <s v="Manager"/>
    <n v="5"/>
    <n v="19272"/>
    <n v="21"/>
    <n v="3"/>
    <x v="1"/>
    <s v="Active"/>
  </r>
  <r>
    <x v="327"/>
    <n v="39"/>
    <x v="0"/>
    <s v="Sales Executive"/>
    <n v="2"/>
    <n v="5238"/>
    <n v="1"/>
    <n v="2"/>
    <x v="0"/>
    <s v="Resigned"/>
  </r>
  <r>
    <x v="328"/>
    <n v="33"/>
    <x v="0"/>
    <s v="Sales Executive"/>
    <n v="2"/>
    <n v="4682"/>
    <n v="7"/>
    <n v="2"/>
    <x v="1"/>
    <s v="Active"/>
  </r>
  <r>
    <x v="329"/>
    <n v="47"/>
    <x v="1"/>
    <s v="Research Director"/>
    <n v="5"/>
    <n v="18300"/>
    <n v="3"/>
    <n v="3"/>
    <x v="1"/>
    <s v="Active"/>
  </r>
  <r>
    <x v="330"/>
    <n v="43"/>
    <x v="1"/>
    <s v="Laboratory Technician"/>
    <n v="2"/>
    <n v="5257"/>
    <n v="9"/>
    <n v="4"/>
    <x v="1"/>
    <s v="Active"/>
  </r>
  <r>
    <x v="331"/>
    <n v="27"/>
    <x v="0"/>
    <s v="Sales Executive"/>
    <n v="2"/>
    <n v="6349"/>
    <n v="5"/>
    <n v="3"/>
    <x v="1"/>
    <s v="Active"/>
  </r>
  <r>
    <x v="332"/>
    <n v="54"/>
    <x v="1"/>
    <s v="Research Scientist"/>
    <n v="2"/>
    <n v="4869"/>
    <n v="4"/>
    <n v="2"/>
    <x v="1"/>
    <s v="Active"/>
  </r>
  <r>
    <x v="333"/>
    <n v="43"/>
    <x v="1"/>
    <s v="Healthcare Representative"/>
    <n v="3"/>
    <n v="9985"/>
    <n v="1"/>
    <n v="2"/>
    <x v="1"/>
    <s v="Active"/>
  </r>
  <r>
    <x v="334"/>
    <n v="45"/>
    <x v="1"/>
    <s v="Research Scientist"/>
    <n v="2"/>
    <n v="3697"/>
    <n v="10"/>
    <n v="3"/>
    <x v="1"/>
    <s v="Active"/>
  </r>
  <r>
    <x v="335"/>
    <n v="40"/>
    <x v="0"/>
    <s v="Sales Executive"/>
    <n v="2"/>
    <n v="7457"/>
    <n v="4"/>
    <n v="2"/>
    <x v="1"/>
    <s v="Active"/>
  </r>
  <r>
    <x v="336"/>
    <n v="29"/>
    <x v="1"/>
    <s v="Laboratory Technician"/>
    <n v="1"/>
    <n v="2119"/>
    <n v="7"/>
    <n v="2"/>
    <x v="0"/>
    <s v="Resigned"/>
  </r>
  <r>
    <x v="337"/>
    <n v="29"/>
    <x v="1"/>
    <s v="Laboratory Technician"/>
    <n v="1"/>
    <n v="3983"/>
    <n v="3"/>
    <n v="3"/>
    <x v="1"/>
    <s v="Active"/>
  </r>
  <r>
    <x v="338"/>
    <n v="30"/>
    <x v="0"/>
    <s v="Sales Executive"/>
    <n v="2"/>
    <n v="6118"/>
    <n v="10"/>
    <n v="3"/>
    <x v="1"/>
    <s v="Active"/>
  </r>
  <r>
    <x v="339"/>
    <n v="27"/>
    <x v="0"/>
    <s v="Sales Executive"/>
    <n v="2"/>
    <n v="6214"/>
    <n v="8"/>
    <n v="3"/>
    <x v="1"/>
    <s v="Active"/>
  </r>
  <r>
    <x v="340"/>
    <n v="37"/>
    <x v="1"/>
    <s v="Manufacturing Director"/>
    <n v="2"/>
    <n v="6347"/>
    <n v="6"/>
    <n v="2"/>
    <x v="1"/>
    <s v="Active"/>
  </r>
  <r>
    <x v="341"/>
    <n v="38"/>
    <x v="1"/>
    <s v="Research Director"/>
    <n v="3"/>
    <n v="11510"/>
    <n v="11"/>
    <n v="3"/>
    <x v="1"/>
    <s v="Active"/>
  </r>
  <r>
    <x v="342"/>
    <n v="31"/>
    <x v="1"/>
    <s v="Manufacturing Director"/>
    <n v="3"/>
    <n v="7143"/>
    <n v="11"/>
    <n v="2"/>
    <x v="1"/>
    <s v="Active"/>
  </r>
  <r>
    <x v="343"/>
    <n v="29"/>
    <x v="0"/>
    <s v="Sales Executive"/>
    <n v="2"/>
    <n v="8268"/>
    <n v="7"/>
    <n v="3"/>
    <x v="1"/>
    <s v="Active"/>
  </r>
  <r>
    <x v="344"/>
    <n v="35"/>
    <x v="1"/>
    <s v="Manufacturing Director"/>
    <n v="3"/>
    <n v="8095"/>
    <n v="16"/>
    <n v="3"/>
    <x v="1"/>
    <s v="Active"/>
  </r>
  <r>
    <x v="345"/>
    <n v="23"/>
    <x v="1"/>
    <s v="Research Scientist"/>
    <n v="1"/>
    <n v="2904"/>
    <n v="4"/>
    <n v="2"/>
    <x v="1"/>
    <s v="Active"/>
  </r>
  <r>
    <x v="346"/>
    <n v="41"/>
    <x v="1"/>
    <s v="Manufacturing Director"/>
    <n v="2"/>
    <n v="6032"/>
    <n v="5"/>
    <n v="3"/>
    <x v="1"/>
    <s v="Active"/>
  </r>
  <r>
    <x v="347"/>
    <n v="47"/>
    <x v="0"/>
    <s v="Sales Representative"/>
    <n v="2"/>
    <n v="2976"/>
    <n v="0"/>
    <n v="3"/>
    <x v="1"/>
    <s v="Active"/>
  </r>
  <r>
    <x v="348"/>
    <n v="42"/>
    <x v="1"/>
    <s v="Research Director"/>
    <n v="4"/>
    <n v="15992"/>
    <n v="1"/>
    <n v="3"/>
    <x v="1"/>
    <s v="Active"/>
  </r>
  <r>
    <x v="349"/>
    <n v="29"/>
    <x v="0"/>
    <s v="Sales Executive"/>
    <n v="2"/>
    <n v="4649"/>
    <n v="4"/>
    <n v="2"/>
    <x v="1"/>
    <s v="Active"/>
  </r>
  <r>
    <x v="350"/>
    <n v="42"/>
    <x v="2"/>
    <s v="Human Resources"/>
    <n v="1"/>
    <n v="2696"/>
    <n v="3"/>
    <n v="3"/>
    <x v="1"/>
    <s v="Active"/>
  </r>
  <r>
    <x v="351"/>
    <n v="32"/>
    <x v="1"/>
    <s v="Laboratory Technician"/>
    <n v="1"/>
    <n v="2370"/>
    <n v="8"/>
    <n v="3"/>
    <x v="1"/>
    <s v="Active"/>
  </r>
  <r>
    <x v="352"/>
    <n v="48"/>
    <x v="0"/>
    <s v="Manager"/>
    <n v="3"/>
    <n v="12504"/>
    <n v="0"/>
    <n v="1"/>
    <x v="1"/>
    <s v="Active"/>
  </r>
  <r>
    <x v="353"/>
    <n v="37"/>
    <x v="1"/>
    <s v="Research Scientist"/>
    <n v="2"/>
    <n v="5974"/>
    <n v="7"/>
    <n v="3"/>
    <x v="1"/>
    <s v="Active"/>
  </r>
  <r>
    <x v="354"/>
    <n v="30"/>
    <x v="0"/>
    <s v="Sales Executive"/>
    <n v="2"/>
    <n v="4736"/>
    <n v="2"/>
    <n v="4"/>
    <x v="1"/>
    <s v="Active"/>
  </r>
  <r>
    <x v="355"/>
    <n v="26"/>
    <x v="0"/>
    <s v="Sales Executive"/>
    <n v="2"/>
    <n v="5296"/>
    <n v="8"/>
    <n v="3"/>
    <x v="1"/>
    <s v="Active"/>
  </r>
  <r>
    <x v="356"/>
    <n v="42"/>
    <x v="1"/>
    <s v="Healthcare Representative"/>
    <n v="2"/>
    <n v="6781"/>
    <n v="1"/>
    <n v="3"/>
    <x v="1"/>
    <s v="Active"/>
  </r>
  <r>
    <x v="357"/>
    <n v="21"/>
    <x v="0"/>
    <s v="Sales Representative"/>
    <n v="1"/>
    <n v="2174"/>
    <n v="3"/>
    <n v="3"/>
    <x v="0"/>
    <s v="Resigned"/>
  </r>
  <r>
    <x v="358"/>
    <n v="36"/>
    <x v="0"/>
    <s v="Sales Executive"/>
    <n v="2"/>
    <n v="6653"/>
    <n v="1"/>
    <n v="3"/>
    <x v="1"/>
    <s v="Active"/>
  </r>
  <r>
    <x v="359"/>
    <n v="36"/>
    <x v="0"/>
    <s v="Sales Executive"/>
    <n v="3"/>
    <n v="9699"/>
    <n v="13"/>
    <n v="3"/>
    <x v="1"/>
    <s v="Active"/>
  </r>
  <r>
    <x v="360"/>
    <n v="57"/>
    <x v="1"/>
    <s v="Healthcare Representative"/>
    <n v="2"/>
    <n v="6755"/>
    <n v="3"/>
    <n v="3"/>
    <x v="1"/>
    <s v="Active"/>
  </r>
  <r>
    <x v="361"/>
    <n v="40"/>
    <x v="1"/>
    <s v="Laboratory Technician"/>
    <n v="1"/>
    <n v="2213"/>
    <n v="7"/>
    <n v="3"/>
    <x v="1"/>
    <s v="Active"/>
  </r>
  <r>
    <x v="362"/>
    <n v="21"/>
    <x v="0"/>
    <s v="Sales Representative"/>
    <n v="1"/>
    <n v="2610"/>
    <n v="3"/>
    <n v="2"/>
    <x v="1"/>
    <s v="Active"/>
  </r>
  <r>
    <x v="363"/>
    <n v="33"/>
    <x v="0"/>
    <s v="Sales Representative"/>
    <n v="1"/>
    <n v="2851"/>
    <n v="1"/>
    <n v="3"/>
    <x v="0"/>
    <s v="Resigned"/>
  </r>
  <r>
    <x v="364"/>
    <n v="37"/>
    <x v="1"/>
    <s v="Laboratory Technician"/>
    <n v="1"/>
    <n v="3452"/>
    <n v="5"/>
    <n v="3"/>
    <x v="1"/>
    <s v="Active"/>
  </r>
  <r>
    <x v="365"/>
    <n v="46"/>
    <x v="1"/>
    <s v="Manufacturing Director"/>
    <n v="2"/>
    <n v="5258"/>
    <n v="1"/>
    <n v="4"/>
    <x v="1"/>
    <s v="Active"/>
  </r>
  <r>
    <x v="366"/>
    <n v="41"/>
    <x v="0"/>
    <s v="Sales Executive"/>
    <n v="2"/>
    <n v="9355"/>
    <n v="8"/>
    <n v="3"/>
    <x v="0"/>
    <s v="Resigned"/>
  </r>
  <r>
    <x v="367"/>
    <n v="50"/>
    <x v="1"/>
    <s v="Healthcare Representative"/>
    <n v="3"/>
    <n v="10496"/>
    <n v="4"/>
    <n v="3"/>
    <x v="1"/>
    <s v="Active"/>
  </r>
  <r>
    <x v="368"/>
    <n v="40"/>
    <x v="0"/>
    <s v="Sales Executive"/>
    <n v="2"/>
    <n v="6380"/>
    <n v="6"/>
    <n v="3"/>
    <x v="0"/>
    <s v="Resigned"/>
  </r>
  <r>
    <x v="369"/>
    <n v="31"/>
    <x v="1"/>
    <s v="Research Scientist"/>
    <n v="1"/>
    <n v="2657"/>
    <n v="2"/>
    <n v="3"/>
    <x v="1"/>
    <s v="Active"/>
  </r>
  <r>
    <x v="370"/>
    <n v="21"/>
    <x v="0"/>
    <s v="Sales Representative"/>
    <n v="1"/>
    <n v="2716"/>
    <n v="1"/>
    <n v="3"/>
    <x v="0"/>
    <s v="Resigned"/>
  </r>
  <r>
    <x v="371"/>
    <n v="29"/>
    <x v="1"/>
    <s v="Research Scientist"/>
    <n v="1"/>
    <n v="2201"/>
    <n v="3"/>
    <n v="3"/>
    <x v="1"/>
    <s v="Active"/>
  </r>
  <r>
    <x v="372"/>
    <n v="35"/>
    <x v="1"/>
    <s v="Healthcare Representative"/>
    <n v="2"/>
    <n v="6540"/>
    <n v="1"/>
    <n v="3"/>
    <x v="1"/>
    <s v="Active"/>
  </r>
  <r>
    <x v="373"/>
    <n v="27"/>
    <x v="1"/>
    <s v="Laboratory Technician"/>
    <n v="1"/>
    <n v="3816"/>
    <n v="5"/>
    <n v="3"/>
    <x v="1"/>
    <s v="Active"/>
  </r>
  <r>
    <x v="374"/>
    <n v="28"/>
    <x v="0"/>
    <s v="Sales Executive"/>
    <n v="2"/>
    <n v="5253"/>
    <n v="7"/>
    <n v="3"/>
    <x v="1"/>
    <s v="Active"/>
  </r>
  <r>
    <x v="375"/>
    <n v="49"/>
    <x v="1"/>
    <s v="Healthcare Representative"/>
    <n v="3"/>
    <n v="10965"/>
    <n v="5"/>
    <n v="3"/>
    <x v="1"/>
    <s v="Active"/>
  </r>
  <r>
    <x v="376"/>
    <n v="51"/>
    <x v="0"/>
    <s v="Sales Executive"/>
    <n v="2"/>
    <n v="4936"/>
    <n v="7"/>
    <n v="2"/>
    <x v="1"/>
    <s v="Active"/>
  </r>
  <r>
    <x v="377"/>
    <n v="36"/>
    <x v="1"/>
    <s v="Research Scientist"/>
    <n v="1"/>
    <n v="2543"/>
    <n v="2"/>
    <n v="3"/>
    <x v="1"/>
    <s v="Active"/>
  </r>
  <r>
    <x v="378"/>
    <n v="34"/>
    <x v="0"/>
    <s v="Sales Executive"/>
    <n v="2"/>
    <n v="5304"/>
    <n v="5"/>
    <n v="2"/>
    <x v="0"/>
    <s v="Resigned"/>
  </r>
  <r>
    <x v="379"/>
    <n v="55"/>
    <x v="1"/>
    <s v="Manager"/>
    <n v="4"/>
    <n v="16659"/>
    <n v="5"/>
    <n v="3"/>
    <x v="1"/>
    <s v="Active"/>
  </r>
  <r>
    <x v="380"/>
    <n v="24"/>
    <x v="0"/>
    <s v="Sales Executive"/>
    <n v="2"/>
    <n v="4260"/>
    <n v="5"/>
    <n v="4"/>
    <x v="1"/>
    <s v="Active"/>
  </r>
  <r>
    <x v="381"/>
    <n v="30"/>
    <x v="0"/>
    <s v="Sales Representative"/>
    <n v="1"/>
    <n v="2476"/>
    <n v="1"/>
    <n v="3"/>
    <x v="1"/>
    <s v="Active"/>
  </r>
  <r>
    <x v="382"/>
    <n v="26"/>
    <x v="1"/>
    <s v="Research Scientist"/>
    <n v="1"/>
    <n v="3102"/>
    <n v="6"/>
    <n v="3"/>
    <x v="0"/>
    <s v="Resigned"/>
  </r>
  <r>
    <x v="383"/>
    <n v="22"/>
    <x v="1"/>
    <s v="Research Scientist"/>
    <n v="1"/>
    <n v="2244"/>
    <n v="2"/>
    <n v="3"/>
    <x v="1"/>
    <s v="Active"/>
  </r>
  <r>
    <x v="384"/>
    <n v="36"/>
    <x v="0"/>
    <s v="Sales Executive"/>
    <n v="3"/>
    <n v="7596"/>
    <n v="10"/>
    <n v="3"/>
    <x v="1"/>
    <s v="Active"/>
  </r>
  <r>
    <x v="385"/>
    <n v="30"/>
    <x v="1"/>
    <s v="Research Scientist"/>
    <n v="1"/>
    <n v="2285"/>
    <n v="1"/>
    <n v="3"/>
    <x v="0"/>
    <s v="Resigned"/>
  </r>
  <r>
    <x v="386"/>
    <n v="37"/>
    <x v="1"/>
    <s v="Laboratory Technician"/>
    <n v="1"/>
    <n v="3034"/>
    <n v="18"/>
    <n v="2"/>
    <x v="1"/>
    <s v="Active"/>
  </r>
  <r>
    <x v="387"/>
    <n v="40"/>
    <x v="0"/>
    <s v="Sales Executive"/>
    <n v="2"/>
    <n v="5715"/>
    <n v="5"/>
    <n v="3"/>
    <x v="1"/>
    <s v="Active"/>
  </r>
  <r>
    <x v="388"/>
    <n v="42"/>
    <x v="1"/>
    <s v="Laboratory Technician"/>
    <n v="1"/>
    <n v="2576"/>
    <n v="5"/>
    <n v="3"/>
    <x v="1"/>
    <s v="Active"/>
  </r>
  <r>
    <x v="389"/>
    <n v="37"/>
    <x v="1"/>
    <s v="Manufacturing Director"/>
    <n v="2"/>
    <n v="4197"/>
    <n v="1"/>
    <n v="2"/>
    <x v="1"/>
    <s v="Active"/>
  </r>
  <r>
    <x v="390"/>
    <n v="43"/>
    <x v="1"/>
    <s v="Research Director"/>
    <n v="4"/>
    <n v="14336"/>
    <n v="25"/>
    <n v="3"/>
    <x v="1"/>
    <s v="Active"/>
  </r>
  <r>
    <x v="391"/>
    <n v="40"/>
    <x v="1"/>
    <s v="Laboratory Technician"/>
    <n v="2"/>
    <n v="3448"/>
    <n v="1"/>
    <n v="3"/>
    <x v="1"/>
    <s v="Active"/>
  </r>
  <r>
    <x v="392"/>
    <n v="54"/>
    <x v="1"/>
    <s v="Research Director"/>
    <n v="5"/>
    <n v="19406"/>
    <n v="4"/>
    <n v="2"/>
    <x v="1"/>
    <s v="Active"/>
  </r>
  <r>
    <x v="393"/>
    <n v="34"/>
    <x v="0"/>
    <s v="Sales Executive"/>
    <n v="2"/>
    <n v="6538"/>
    <n v="3"/>
    <n v="3"/>
    <x v="1"/>
    <s v="Active"/>
  </r>
  <r>
    <x v="394"/>
    <n v="31"/>
    <x v="1"/>
    <s v="Manufacturing Director"/>
    <n v="2"/>
    <n v="4306"/>
    <n v="13"/>
    <n v="1"/>
    <x v="1"/>
    <s v="Active"/>
  </r>
  <r>
    <x v="395"/>
    <n v="43"/>
    <x v="1"/>
    <s v="Laboratory Technician"/>
    <n v="1"/>
    <n v="2258"/>
    <n v="3"/>
    <n v="3"/>
    <x v="1"/>
    <s v="Active"/>
  </r>
  <r>
    <x v="396"/>
    <n v="43"/>
    <x v="1"/>
    <s v="Healthcare Representative"/>
    <n v="2"/>
    <n v="4522"/>
    <n v="5"/>
    <n v="3"/>
    <x v="1"/>
    <s v="Active"/>
  </r>
  <r>
    <x v="397"/>
    <n v="25"/>
    <x v="0"/>
    <s v="Sales Executive"/>
    <n v="2"/>
    <n v="4487"/>
    <n v="5"/>
    <n v="3"/>
    <x v="1"/>
    <s v="Active"/>
  </r>
  <r>
    <x v="398"/>
    <n v="37"/>
    <x v="1"/>
    <s v="Research Scientist"/>
    <n v="2"/>
    <n v="4449"/>
    <n v="13"/>
    <n v="3"/>
    <x v="1"/>
    <s v="Active"/>
  </r>
  <r>
    <x v="399"/>
    <n v="31"/>
    <x v="1"/>
    <s v="Laboratory Technician"/>
    <n v="1"/>
    <n v="2218"/>
    <n v="4"/>
    <n v="3"/>
    <x v="1"/>
    <s v="Active"/>
  </r>
  <r>
    <x v="400"/>
    <n v="39"/>
    <x v="1"/>
    <s v="Manager"/>
    <n v="5"/>
    <n v="19197"/>
    <n v="21"/>
    <n v="3"/>
    <x v="1"/>
    <s v="Active"/>
  </r>
  <r>
    <x v="401"/>
    <n v="56"/>
    <x v="0"/>
    <s v="Sales Executive"/>
    <n v="4"/>
    <n v="13212"/>
    <n v="7"/>
    <n v="2"/>
    <x v="1"/>
    <s v="Active"/>
  </r>
  <r>
    <x v="402"/>
    <n v="30"/>
    <x v="0"/>
    <s v="Sales Executive"/>
    <n v="2"/>
    <n v="6577"/>
    <n v="5"/>
    <n v="3"/>
    <x v="1"/>
    <s v="Active"/>
  </r>
  <r>
    <x v="403"/>
    <n v="41"/>
    <x v="0"/>
    <s v="Sales Executive"/>
    <n v="3"/>
    <n v="8392"/>
    <n v="10"/>
    <n v="3"/>
    <x v="1"/>
    <s v="Active"/>
  </r>
  <r>
    <x v="404"/>
    <n v="28"/>
    <x v="1"/>
    <s v="Laboratory Technician"/>
    <n v="2"/>
    <n v="4558"/>
    <n v="10"/>
    <n v="3"/>
    <x v="1"/>
    <s v="Active"/>
  </r>
  <r>
    <x v="405"/>
    <n v="25"/>
    <x v="1"/>
    <s v="Laboratory Technician"/>
    <n v="1"/>
    <n v="4031"/>
    <n v="2"/>
    <n v="3"/>
    <x v="0"/>
    <s v="Resigned"/>
  </r>
  <r>
    <x v="406"/>
    <n v="52"/>
    <x v="1"/>
    <s v="Manufacturing Director"/>
    <n v="3"/>
    <n v="7969"/>
    <n v="5"/>
    <n v="3"/>
    <x v="1"/>
    <s v="Active"/>
  </r>
  <r>
    <x v="407"/>
    <n v="45"/>
    <x v="1"/>
    <s v="Research Scientist"/>
    <n v="1"/>
    <n v="2654"/>
    <n v="2"/>
    <n v="2"/>
    <x v="1"/>
    <s v="Active"/>
  </r>
  <r>
    <x v="408"/>
    <n v="52"/>
    <x v="1"/>
    <s v="Manager"/>
    <n v="4"/>
    <n v="16555"/>
    <n v="5"/>
    <n v="1"/>
    <x v="1"/>
    <s v="Active"/>
  </r>
  <r>
    <x v="409"/>
    <n v="42"/>
    <x v="1"/>
    <s v="Research Scientist"/>
    <n v="2"/>
    <n v="4556"/>
    <n v="5"/>
    <n v="3"/>
    <x v="1"/>
    <s v="Active"/>
  </r>
  <r>
    <x v="410"/>
    <n v="30"/>
    <x v="1"/>
    <s v="Manufacturing Director"/>
    <n v="2"/>
    <n v="6091"/>
    <n v="5"/>
    <n v="3"/>
    <x v="1"/>
    <s v="Active"/>
  </r>
  <r>
    <x v="411"/>
    <n v="60"/>
    <x v="1"/>
    <s v="Manager"/>
    <n v="5"/>
    <n v="19566"/>
    <n v="29"/>
    <n v="1"/>
    <x v="1"/>
    <s v="Active"/>
  </r>
  <r>
    <x v="412"/>
    <n v="46"/>
    <x v="1"/>
    <s v="Manufacturing Director"/>
    <n v="2"/>
    <n v="4810"/>
    <n v="10"/>
    <n v="2"/>
    <x v="1"/>
    <s v="Active"/>
  </r>
  <r>
    <x v="413"/>
    <n v="42"/>
    <x v="1"/>
    <s v="Healthcare Representative"/>
    <n v="2"/>
    <n v="4523"/>
    <n v="6"/>
    <n v="4"/>
    <x v="1"/>
    <s v="Active"/>
  </r>
  <r>
    <x v="414"/>
    <n v="24"/>
    <x v="0"/>
    <s v="Sales Representative"/>
    <n v="1"/>
    <n v="3202"/>
    <n v="5"/>
    <n v="3"/>
    <x v="0"/>
    <s v="Resigned"/>
  </r>
  <r>
    <x v="415"/>
    <n v="34"/>
    <x v="0"/>
    <s v="Sales Representative"/>
    <n v="1"/>
    <n v="2351"/>
    <n v="2"/>
    <n v="2"/>
    <x v="0"/>
    <s v="Resigned"/>
  </r>
  <r>
    <x v="416"/>
    <n v="38"/>
    <x v="1"/>
    <s v="Laboratory Technician"/>
    <n v="1"/>
    <n v="1702"/>
    <n v="1"/>
    <n v="3"/>
    <x v="1"/>
    <s v="Active"/>
  </r>
  <r>
    <x v="417"/>
    <n v="40"/>
    <x v="0"/>
    <s v="Manager"/>
    <n v="5"/>
    <n v="18041"/>
    <n v="20"/>
    <n v="3"/>
    <x v="1"/>
    <s v="Active"/>
  </r>
  <r>
    <x v="418"/>
    <n v="26"/>
    <x v="1"/>
    <s v="Research Scientist"/>
    <n v="1"/>
    <n v="2886"/>
    <n v="3"/>
    <n v="1"/>
    <x v="1"/>
    <s v="Active"/>
  </r>
  <r>
    <x v="419"/>
    <n v="30"/>
    <x v="1"/>
    <s v="Laboratory Technician"/>
    <n v="1"/>
    <n v="2097"/>
    <n v="5"/>
    <n v="1"/>
    <x v="1"/>
    <s v="Active"/>
  </r>
  <r>
    <x v="420"/>
    <n v="29"/>
    <x v="1"/>
    <s v="Research Director"/>
    <n v="3"/>
    <n v="11935"/>
    <n v="10"/>
    <n v="3"/>
    <x v="1"/>
    <s v="Active"/>
  </r>
  <r>
    <x v="421"/>
    <n v="29"/>
    <x v="1"/>
    <s v="Research Scientist"/>
    <n v="1"/>
    <n v="2546"/>
    <n v="2"/>
    <n v="4"/>
    <x v="0"/>
    <s v="Resigned"/>
  </r>
  <r>
    <x v="422"/>
    <n v="19"/>
    <x v="2"/>
    <s v="Human Resources"/>
    <n v="1"/>
    <n v="2564"/>
    <n v="1"/>
    <n v="4"/>
    <x v="0"/>
    <s v="Resigned"/>
  </r>
  <r>
    <x v="423"/>
    <n v="30"/>
    <x v="0"/>
    <s v="Sales Executive"/>
    <n v="3"/>
    <n v="8412"/>
    <n v="9"/>
    <n v="3"/>
    <x v="1"/>
    <s v="Active"/>
  </r>
  <r>
    <x v="424"/>
    <n v="57"/>
    <x v="0"/>
    <s v="Manager"/>
    <n v="4"/>
    <n v="14118"/>
    <n v="1"/>
    <n v="2"/>
    <x v="1"/>
    <s v="Active"/>
  </r>
  <r>
    <x v="425"/>
    <n v="50"/>
    <x v="1"/>
    <s v="Manager"/>
    <n v="4"/>
    <n v="17046"/>
    <n v="27"/>
    <n v="3"/>
    <x v="1"/>
    <s v="Active"/>
  </r>
  <r>
    <x v="426"/>
    <n v="30"/>
    <x v="1"/>
    <s v="Laboratory Technician"/>
    <n v="1"/>
    <n v="2564"/>
    <n v="11"/>
    <n v="2"/>
    <x v="1"/>
    <s v="Active"/>
  </r>
  <r>
    <x v="427"/>
    <n v="60"/>
    <x v="0"/>
    <s v="Sales Executive"/>
    <n v="3"/>
    <n v="10266"/>
    <n v="18"/>
    <n v="4"/>
    <x v="1"/>
    <s v="Active"/>
  </r>
  <r>
    <x v="428"/>
    <n v="47"/>
    <x v="1"/>
    <s v="Manufacturing Director"/>
    <n v="2"/>
    <n v="5070"/>
    <n v="5"/>
    <n v="3"/>
    <x v="1"/>
    <s v="Active"/>
  </r>
  <r>
    <x v="429"/>
    <n v="46"/>
    <x v="1"/>
    <s v="Research Director"/>
    <n v="4"/>
    <n v="17861"/>
    <n v="3"/>
    <n v="1"/>
    <x v="1"/>
    <s v="Active"/>
  </r>
  <r>
    <x v="430"/>
    <n v="35"/>
    <x v="1"/>
    <s v="Laboratory Technician"/>
    <n v="1"/>
    <n v="4230"/>
    <n v="5"/>
    <n v="3"/>
    <x v="1"/>
    <s v="Active"/>
  </r>
  <r>
    <x v="431"/>
    <n v="54"/>
    <x v="1"/>
    <s v="Laboratory Technician"/>
    <n v="2"/>
    <n v="3780"/>
    <n v="1"/>
    <n v="3"/>
    <x v="1"/>
    <s v="Active"/>
  </r>
  <r>
    <x v="432"/>
    <n v="34"/>
    <x v="1"/>
    <s v="Research Scientist"/>
    <n v="1"/>
    <n v="2768"/>
    <n v="7"/>
    <n v="3"/>
    <x v="1"/>
    <s v="Active"/>
  </r>
  <r>
    <x v="433"/>
    <n v="46"/>
    <x v="0"/>
    <s v="Sales Executive"/>
    <n v="3"/>
    <n v="9071"/>
    <n v="3"/>
    <n v="3"/>
    <x v="1"/>
    <s v="Active"/>
  </r>
  <r>
    <x v="434"/>
    <n v="31"/>
    <x v="1"/>
    <s v="Manufacturing Director"/>
    <n v="3"/>
    <n v="10648"/>
    <n v="13"/>
    <n v="4"/>
    <x v="1"/>
    <s v="Active"/>
  </r>
  <r>
    <x v="435"/>
    <n v="33"/>
    <x v="1"/>
    <s v="Manager"/>
    <n v="3"/>
    <n v="13610"/>
    <n v="7"/>
    <n v="4"/>
    <x v="0"/>
    <s v="Resigned"/>
  </r>
  <r>
    <x v="436"/>
    <n v="33"/>
    <x v="1"/>
    <s v="Laboratory Technician"/>
    <n v="1"/>
    <n v="3408"/>
    <n v="4"/>
    <n v="3"/>
    <x v="0"/>
    <s v="Resigned"/>
  </r>
  <r>
    <x v="437"/>
    <n v="30"/>
    <x v="0"/>
    <s v="Sales Representative"/>
    <n v="1"/>
    <n v="2983"/>
    <n v="3"/>
    <n v="3"/>
    <x v="1"/>
    <s v="Active"/>
  </r>
  <r>
    <x v="438"/>
    <n v="35"/>
    <x v="1"/>
    <s v="Healthcare Representative"/>
    <n v="3"/>
    <n v="7632"/>
    <n v="8"/>
    <n v="3"/>
    <x v="1"/>
    <s v="Active"/>
  </r>
  <r>
    <x v="439"/>
    <n v="31"/>
    <x v="1"/>
    <s v="Healthcare Representative"/>
    <n v="3"/>
    <n v="9824"/>
    <n v="1"/>
    <n v="3"/>
    <x v="0"/>
    <s v="Resigned"/>
  </r>
  <r>
    <x v="440"/>
    <n v="34"/>
    <x v="2"/>
    <s v="Human Resources"/>
    <n v="3"/>
    <n v="9950"/>
    <n v="3"/>
    <n v="3"/>
    <x v="0"/>
    <s v="Resigned"/>
  </r>
  <r>
    <x v="441"/>
    <n v="42"/>
    <x v="1"/>
    <s v="Laboratory Technician"/>
    <n v="1"/>
    <n v="2093"/>
    <n v="2"/>
    <n v="3"/>
    <x v="1"/>
    <s v="Active"/>
  </r>
  <r>
    <x v="442"/>
    <n v="36"/>
    <x v="0"/>
    <s v="Sales Executive"/>
    <n v="3"/>
    <n v="9980"/>
    <n v="10"/>
    <n v="2"/>
    <x v="1"/>
    <s v="Active"/>
  </r>
  <r>
    <x v="443"/>
    <n v="22"/>
    <x v="1"/>
    <s v="Laboratory Technician"/>
    <n v="1"/>
    <n v="3894"/>
    <n v="2"/>
    <n v="3"/>
    <x v="0"/>
    <s v="Resigned"/>
  </r>
  <r>
    <x v="444"/>
    <n v="48"/>
    <x v="0"/>
    <s v="Sales Executive"/>
    <n v="2"/>
    <n v="4051"/>
    <n v="9"/>
    <n v="3"/>
    <x v="1"/>
    <s v="Active"/>
  </r>
  <r>
    <x v="445"/>
    <n v="55"/>
    <x v="0"/>
    <s v="Manager"/>
    <n v="4"/>
    <n v="16835"/>
    <n v="10"/>
    <n v="3"/>
    <x v="1"/>
    <s v="Active"/>
  </r>
  <r>
    <x v="446"/>
    <n v="41"/>
    <x v="0"/>
    <s v="Sales Executive"/>
    <n v="2"/>
    <n v="6230"/>
    <n v="14"/>
    <n v="3"/>
    <x v="1"/>
    <s v="Active"/>
  </r>
  <r>
    <x v="447"/>
    <n v="35"/>
    <x v="0"/>
    <s v="Sales Executive"/>
    <n v="2"/>
    <n v="4717"/>
    <n v="11"/>
    <n v="3"/>
    <x v="1"/>
    <s v="Active"/>
  </r>
  <r>
    <x v="448"/>
    <n v="40"/>
    <x v="1"/>
    <s v="Manufacturing Director"/>
    <n v="4"/>
    <n v="13237"/>
    <n v="20"/>
    <n v="3"/>
    <x v="1"/>
    <s v="Active"/>
  </r>
  <r>
    <x v="449"/>
    <n v="39"/>
    <x v="1"/>
    <s v="Laboratory Technician"/>
    <n v="1"/>
    <n v="3755"/>
    <n v="8"/>
    <n v="3"/>
    <x v="1"/>
    <s v="Active"/>
  </r>
  <r>
    <x v="450"/>
    <n v="31"/>
    <x v="0"/>
    <s v="Sales Executive"/>
    <n v="2"/>
    <n v="6582"/>
    <n v="6"/>
    <n v="4"/>
    <x v="1"/>
    <s v="Active"/>
  </r>
  <r>
    <x v="451"/>
    <n v="42"/>
    <x v="1"/>
    <s v="Manufacturing Director"/>
    <n v="3"/>
    <n v="7406"/>
    <n v="10"/>
    <n v="2"/>
    <x v="1"/>
    <s v="Active"/>
  </r>
  <r>
    <x v="452"/>
    <n v="45"/>
    <x v="0"/>
    <s v="Sales Executive"/>
    <n v="2"/>
    <n v="4805"/>
    <n v="8"/>
    <n v="4"/>
    <x v="1"/>
    <s v="Active"/>
  </r>
  <r>
    <x v="453"/>
    <n v="26"/>
    <x v="2"/>
    <s v="Human Resources"/>
    <n v="1"/>
    <n v="2741"/>
    <n v="7"/>
    <n v="2"/>
    <x v="0"/>
    <s v="Resigned"/>
  </r>
  <r>
    <x v="454"/>
    <n v="29"/>
    <x v="1"/>
    <s v="Manufacturing Director"/>
    <n v="2"/>
    <n v="4262"/>
    <n v="3"/>
    <n v="4"/>
    <x v="1"/>
    <s v="Active"/>
  </r>
  <r>
    <x v="455"/>
    <n v="33"/>
    <x v="1"/>
    <s v="Research Director"/>
    <n v="4"/>
    <n v="16184"/>
    <n v="6"/>
    <n v="3"/>
    <x v="1"/>
    <s v="Active"/>
  </r>
  <r>
    <x v="456"/>
    <n v="31"/>
    <x v="0"/>
    <s v="Manager"/>
    <n v="3"/>
    <n v="11557"/>
    <n v="5"/>
    <n v="2"/>
    <x v="1"/>
    <s v="Active"/>
  </r>
  <r>
    <x v="457"/>
    <n v="18"/>
    <x v="0"/>
    <s v="Sales Representative"/>
    <n v="1"/>
    <n v="1878"/>
    <n v="0"/>
    <n v="3"/>
    <x v="0"/>
    <s v="Resigned"/>
  </r>
  <r>
    <x v="458"/>
    <n v="40"/>
    <x v="0"/>
    <s v="Sales Executive"/>
    <n v="3"/>
    <n v="10932"/>
    <n v="1"/>
    <n v="3"/>
    <x v="1"/>
    <s v="Active"/>
  </r>
  <r>
    <x v="459"/>
    <n v="41"/>
    <x v="1"/>
    <s v="Healthcare Representative"/>
    <n v="2"/>
    <n v="6811"/>
    <n v="8"/>
    <n v="3"/>
    <x v="1"/>
    <s v="Active"/>
  </r>
  <r>
    <x v="460"/>
    <n v="26"/>
    <x v="0"/>
    <s v="Sales Executive"/>
    <n v="2"/>
    <n v="4306"/>
    <n v="0"/>
    <n v="3"/>
    <x v="1"/>
    <s v="Active"/>
  </r>
  <r>
    <x v="461"/>
    <n v="35"/>
    <x v="0"/>
    <s v="Sales Executive"/>
    <n v="2"/>
    <n v="4859"/>
    <n v="5"/>
    <n v="3"/>
    <x v="1"/>
    <s v="Active"/>
  </r>
  <r>
    <x v="462"/>
    <n v="34"/>
    <x v="0"/>
    <s v="Sales Executive"/>
    <n v="2"/>
    <n v="5337"/>
    <n v="10"/>
    <n v="3"/>
    <x v="1"/>
    <s v="Active"/>
  </r>
  <r>
    <x v="463"/>
    <n v="26"/>
    <x v="1"/>
    <s v="Laboratory Technician"/>
    <n v="1"/>
    <n v="2340"/>
    <n v="1"/>
    <n v="1"/>
    <x v="0"/>
    <s v="Resigned"/>
  </r>
  <r>
    <x v="464"/>
    <n v="37"/>
    <x v="1"/>
    <s v="Manufacturing Director"/>
    <n v="3"/>
    <n v="7491"/>
    <n v="6"/>
    <n v="4"/>
    <x v="1"/>
    <s v="Active"/>
  </r>
  <r>
    <x v="465"/>
    <n v="46"/>
    <x v="1"/>
    <s v="Healthcare Representative"/>
    <n v="3"/>
    <n v="10527"/>
    <n v="2"/>
    <n v="2"/>
    <x v="1"/>
    <s v="Active"/>
  </r>
  <r>
    <x v="466"/>
    <n v="41"/>
    <x v="0"/>
    <s v="Manager"/>
    <n v="4"/>
    <n v="16595"/>
    <n v="18"/>
    <n v="3"/>
    <x v="1"/>
    <s v="Active"/>
  </r>
  <r>
    <x v="467"/>
    <n v="37"/>
    <x v="0"/>
    <s v="Sales Executive"/>
    <n v="3"/>
    <n v="8834"/>
    <n v="9"/>
    <n v="3"/>
    <x v="1"/>
    <s v="Active"/>
  </r>
  <r>
    <x v="468"/>
    <n v="52"/>
    <x v="1"/>
    <s v="Research Scientist"/>
    <n v="2"/>
    <n v="5577"/>
    <n v="10"/>
    <n v="3"/>
    <x v="1"/>
    <s v="Active"/>
  </r>
  <r>
    <x v="469"/>
    <n v="32"/>
    <x v="0"/>
    <s v="Sales Executive"/>
    <n v="2"/>
    <n v="4707"/>
    <n v="4"/>
    <n v="3"/>
    <x v="0"/>
    <s v="Resigned"/>
  </r>
  <r>
    <x v="470"/>
    <n v="24"/>
    <x v="0"/>
    <s v="Sales Representative"/>
    <n v="1"/>
    <n v="2400"/>
    <n v="2"/>
    <n v="3"/>
    <x v="1"/>
    <s v="Active"/>
  </r>
  <r>
    <x v="471"/>
    <n v="38"/>
    <x v="1"/>
    <s v="Healthcare Representative"/>
    <n v="2"/>
    <n v="9824"/>
    <n v="1"/>
    <n v="3"/>
    <x v="1"/>
    <s v="Active"/>
  </r>
  <r>
    <x v="472"/>
    <n v="37"/>
    <x v="1"/>
    <s v="Manufacturing Director"/>
    <n v="2"/>
    <n v="6447"/>
    <n v="6"/>
    <n v="2"/>
    <x v="1"/>
    <s v="Active"/>
  </r>
  <r>
    <x v="473"/>
    <n v="49"/>
    <x v="1"/>
    <s v="Research Director"/>
    <n v="5"/>
    <n v="19502"/>
    <n v="31"/>
    <n v="3"/>
    <x v="1"/>
    <s v="Active"/>
  </r>
  <r>
    <x v="474"/>
    <n v="24"/>
    <x v="1"/>
    <s v="Research Scientist"/>
    <n v="1"/>
    <n v="2725"/>
    <n v="6"/>
    <n v="3"/>
    <x v="1"/>
    <s v="Active"/>
  </r>
  <r>
    <x v="475"/>
    <n v="26"/>
    <x v="0"/>
    <s v="Sales Executive"/>
    <n v="2"/>
    <n v="6272"/>
    <n v="5"/>
    <n v="4"/>
    <x v="1"/>
    <s v="Active"/>
  </r>
  <r>
    <x v="476"/>
    <n v="24"/>
    <x v="1"/>
    <s v="Laboratory Technician"/>
    <n v="1"/>
    <n v="2127"/>
    <n v="1"/>
    <n v="3"/>
    <x v="1"/>
    <s v="Active"/>
  </r>
  <r>
    <x v="477"/>
    <n v="50"/>
    <x v="2"/>
    <s v="Manager"/>
    <n v="5"/>
    <n v="18200"/>
    <n v="32"/>
    <n v="3"/>
    <x v="1"/>
    <s v="Active"/>
  </r>
  <r>
    <x v="478"/>
    <n v="25"/>
    <x v="0"/>
    <s v="Sales Representative"/>
    <n v="1"/>
    <n v="2096"/>
    <n v="7"/>
    <n v="3"/>
    <x v="1"/>
    <s v="Active"/>
  </r>
  <r>
    <x v="479"/>
    <n v="24"/>
    <x v="1"/>
    <s v="Laboratory Technician"/>
    <n v="1"/>
    <n v="2886"/>
    <n v="6"/>
    <n v="3"/>
    <x v="0"/>
    <s v="Resigned"/>
  </r>
  <r>
    <x v="480"/>
    <n v="30"/>
    <x v="0"/>
    <s v="Sales Representative"/>
    <n v="1"/>
    <n v="2033"/>
    <n v="1"/>
    <n v="4"/>
    <x v="0"/>
    <s v="Resigned"/>
  </r>
  <r>
    <x v="481"/>
    <n v="34"/>
    <x v="1"/>
    <s v="Research Scientist"/>
    <n v="1"/>
    <n v="3622"/>
    <n v="6"/>
    <n v="3"/>
    <x v="1"/>
    <s v="Active"/>
  </r>
  <r>
    <x v="482"/>
    <n v="31"/>
    <x v="0"/>
    <s v="Sales Executive"/>
    <n v="2"/>
    <n v="4233"/>
    <n v="3"/>
    <n v="1"/>
    <x v="0"/>
    <s v="Resigned"/>
  </r>
  <r>
    <x v="483"/>
    <n v="35"/>
    <x v="1"/>
    <s v="Laboratory Technician"/>
    <n v="2"/>
    <n v="3681"/>
    <n v="3"/>
    <n v="3"/>
    <x v="1"/>
    <s v="Active"/>
  </r>
  <r>
    <x v="484"/>
    <n v="31"/>
    <x v="0"/>
    <s v="Sales Executive"/>
    <n v="2"/>
    <n v="5460"/>
    <n v="7"/>
    <n v="4"/>
    <x v="1"/>
    <s v="Active"/>
  </r>
  <r>
    <x v="485"/>
    <n v="27"/>
    <x v="1"/>
    <s v="Research Scientist"/>
    <n v="1"/>
    <n v="2187"/>
    <n v="5"/>
    <n v="2"/>
    <x v="1"/>
    <s v="Active"/>
  </r>
  <r>
    <x v="486"/>
    <n v="37"/>
    <x v="0"/>
    <s v="Sales Executive"/>
    <n v="2"/>
    <n v="9602"/>
    <n v="3"/>
    <n v="2"/>
    <x v="1"/>
    <s v="Active"/>
  </r>
  <r>
    <x v="487"/>
    <n v="20"/>
    <x v="1"/>
    <s v="Research Scientist"/>
    <n v="1"/>
    <n v="2836"/>
    <n v="1"/>
    <n v="4"/>
    <x v="1"/>
    <s v="Active"/>
  </r>
  <r>
    <x v="488"/>
    <n v="42"/>
    <x v="1"/>
    <s v="Healthcare Representative"/>
    <n v="2"/>
    <n v="4089"/>
    <n v="10"/>
    <n v="3"/>
    <x v="1"/>
    <s v="Active"/>
  </r>
  <r>
    <x v="489"/>
    <n v="43"/>
    <x v="1"/>
    <s v="Research Director"/>
    <n v="4"/>
    <n v="16627"/>
    <n v="1"/>
    <n v="2"/>
    <x v="1"/>
    <s v="Active"/>
  </r>
  <r>
    <x v="490"/>
    <n v="38"/>
    <x v="1"/>
    <s v="Research Scientist"/>
    <n v="1"/>
    <n v="2619"/>
    <n v="0"/>
    <n v="2"/>
    <x v="1"/>
    <s v="Active"/>
  </r>
  <r>
    <x v="491"/>
    <n v="43"/>
    <x v="1"/>
    <s v="Laboratory Technician"/>
    <n v="2"/>
    <n v="5679"/>
    <n v="8"/>
    <n v="3"/>
    <x v="1"/>
    <s v="Active"/>
  </r>
  <r>
    <x v="492"/>
    <n v="48"/>
    <x v="1"/>
    <s v="Manager"/>
    <n v="4"/>
    <n v="15402"/>
    <n v="3"/>
    <n v="1"/>
    <x v="1"/>
    <s v="Active"/>
  </r>
  <r>
    <x v="493"/>
    <n v="44"/>
    <x v="2"/>
    <s v="Human Resources"/>
    <n v="2"/>
    <n v="5985"/>
    <n v="2"/>
    <n v="4"/>
    <x v="1"/>
    <s v="Active"/>
  </r>
  <r>
    <x v="494"/>
    <n v="34"/>
    <x v="0"/>
    <s v="Sales Representative"/>
    <n v="1"/>
    <n v="2579"/>
    <n v="8"/>
    <n v="3"/>
    <x v="1"/>
    <s v="Active"/>
  </r>
  <r>
    <x v="495"/>
    <n v="27"/>
    <x v="0"/>
    <s v="Sales Representative"/>
    <n v="1"/>
    <n v="3041"/>
    <n v="4"/>
    <n v="3"/>
    <x v="0"/>
    <s v="Resigned"/>
  </r>
  <r>
    <x v="496"/>
    <n v="21"/>
    <x v="0"/>
    <s v="Sales Representative"/>
    <n v="1"/>
    <n v="3447"/>
    <n v="3"/>
    <n v="3"/>
    <x v="1"/>
    <s v="Active"/>
  </r>
  <r>
    <x v="497"/>
    <n v="44"/>
    <x v="1"/>
    <s v="Manager"/>
    <n v="5"/>
    <n v="19513"/>
    <n v="2"/>
    <n v="4"/>
    <x v="1"/>
    <s v="Active"/>
  </r>
  <r>
    <x v="498"/>
    <n v="22"/>
    <x v="1"/>
    <s v="Research Scientist"/>
    <n v="1"/>
    <n v="2773"/>
    <n v="2"/>
    <n v="3"/>
    <x v="1"/>
    <s v="Active"/>
  </r>
  <r>
    <x v="499"/>
    <n v="33"/>
    <x v="0"/>
    <s v="Sales Executive"/>
    <n v="2"/>
    <n v="7104"/>
    <n v="5"/>
    <n v="3"/>
    <x v="1"/>
    <s v="Active"/>
  </r>
  <r>
    <x v="500"/>
    <n v="32"/>
    <x v="1"/>
    <s v="Research Scientist"/>
    <n v="2"/>
    <n v="6322"/>
    <n v="6"/>
    <n v="2"/>
    <x v="1"/>
    <s v="Active"/>
  </r>
  <r>
    <x v="501"/>
    <n v="30"/>
    <x v="1"/>
    <s v="Research Scientist"/>
    <n v="1"/>
    <n v="2083"/>
    <n v="1"/>
    <n v="3"/>
    <x v="1"/>
    <s v="Active"/>
  </r>
  <r>
    <x v="502"/>
    <n v="53"/>
    <x v="0"/>
    <s v="Sales Executive"/>
    <n v="2"/>
    <n v="8381"/>
    <n v="14"/>
    <n v="4"/>
    <x v="1"/>
    <s v="Active"/>
  </r>
  <r>
    <x v="503"/>
    <n v="34"/>
    <x v="1"/>
    <s v="Research Scientist"/>
    <n v="1"/>
    <n v="2691"/>
    <n v="10"/>
    <n v="2"/>
    <x v="1"/>
    <s v="Active"/>
  </r>
  <r>
    <x v="504"/>
    <n v="45"/>
    <x v="0"/>
    <s v="Sales Executive"/>
    <n v="2"/>
    <n v="4286"/>
    <n v="1"/>
    <n v="3"/>
    <x v="0"/>
    <s v="Resigned"/>
  </r>
  <r>
    <x v="505"/>
    <n v="26"/>
    <x v="1"/>
    <s v="Laboratory Technician"/>
    <n v="1"/>
    <n v="2659"/>
    <n v="3"/>
    <n v="3"/>
    <x v="1"/>
    <s v="Active"/>
  </r>
  <r>
    <x v="506"/>
    <n v="37"/>
    <x v="1"/>
    <s v="Manufacturing Director"/>
    <n v="3"/>
    <n v="9434"/>
    <n v="10"/>
    <n v="3"/>
    <x v="1"/>
    <s v="Active"/>
  </r>
  <r>
    <x v="507"/>
    <n v="29"/>
    <x v="0"/>
    <s v="Sales Executive"/>
    <n v="2"/>
    <n v="5561"/>
    <n v="6"/>
    <n v="2"/>
    <x v="1"/>
    <s v="Active"/>
  </r>
  <r>
    <x v="508"/>
    <n v="35"/>
    <x v="1"/>
    <s v="Research Scientist"/>
    <n v="2"/>
    <n v="6646"/>
    <n v="17"/>
    <n v="3"/>
    <x v="1"/>
    <s v="Active"/>
  </r>
  <r>
    <x v="509"/>
    <n v="33"/>
    <x v="1"/>
    <s v="Healthcare Representative"/>
    <n v="2"/>
    <n v="7725"/>
    <n v="13"/>
    <n v="1"/>
    <x v="1"/>
    <s v="Active"/>
  </r>
  <r>
    <x v="510"/>
    <n v="54"/>
    <x v="2"/>
    <s v="Human Resources"/>
    <n v="3"/>
    <n v="10725"/>
    <n v="9"/>
    <n v="4"/>
    <x v="1"/>
    <s v="Active"/>
  </r>
  <r>
    <x v="511"/>
    <n v="36"/>
    <x v="1"/>
    <s v="Manufacturing Director"/>
    <n v="2"/>
    <n v="8847"/>
    <n v="3"/>
    <n v="3"/>
    <x v="1"/>
    <s v="Active"/>
  </r>
  <r>
    <x v="512"/>
    <n v="27"/>
    <x v="1"/>
    <s v="Research Scientist"/>
    <n v="1"/>
    <n v="2045"/>
    <n v="4"/>
    <n v="3"/>
    <x v="1"/>
    <s v="Active"/>
  </r>
  <r>
    <x v="513"/>
    <n v="20"/>
    <x v="1"/>
    <s v="Research Scientist"/>
    <n v="1"/>
    <n v="1009"/>
    <n v="1"/>
    <n v="3"/>
    <x v="0"/>
    <s v="Resigned"/>
  </r>
  <r>
    <x v="514"/>
    <n v="33"/>
    <x v="1"/>
    <s v="Research Scientist"/>
    <n v="1"/>
    <n v="3348"/>
    <n v="10"/>
    <n v="3"/>
    <x v="0"/>
    <s v="Resigned"/>
  </r>
  <r>
    <x v="515"/>
    <n v="35"/>
    <x v="1"/>
    <s v="Laboratory Technician"/>
    <n v="1"/>
    <n v="1281"/>
    <n v="1"/>
    <n v="3"/>
    <x v="1"/>
    <s v="Active"/>
  </r>
  <r>
    <x v="516"/>
    <n v="23"/>
    <x v="1"/>
    <s v="Research Scientist"/>
    <n v="1"/>
    <n v="2819"/>
    <n v="3"/>
    <n v="4"/>
    <x v="1"/>
    <s v="Active"/>
  </r>
  <r>
    <x v="517"/>
    <n v="25"/>
    <x v="0"/>
    <s v="Sales Executive"/>
    <n v="2"/>
    <n v="4851"/>
    <n v="3"/>
    <n v="3"/>
    <x v="1"/>
    <s v="Active"/>
  </r>
  <r>
    <x v="518"/>
    <n v="38"/>
    <x v="0"/>
    <s v="Sales Executive"/>
    <n v="2"/>
    <n v="4028"/>
    <n v="7"/>
    <n v="3"/>
    <x v="1"/>
    <s v="Active"/>
  </r>
  <r>
    <x v="519"/>
    <n v="29"/>
    <x v="1"/>
    <s v="Research Scientist"/>
    <n v="1"/>
    <n v="2720"/>
    <n v="10"/>
    <n v="3"/>
    <x v="1"/>
    <s v="Active"/>
  </r>
  <r>
    <x v="520"/>
    <n v="48"/>
    <x v="0"/>
    <s v="Sales Executive"/>
    <n v="2"/>
    <n v="8120"/>
    <n v="2"/>
    <n v="3"/>
    <x v="1"/>
    <s v="Active"/>
  </r>
  <r>
    <x v="521"/>
    <n v="27"/>
    <x v="0"/>
    <s v="Sales Executive"/>
    <n v="2"/>
    <n v="4647"/>
    <n v="6"/>
    <n v="3"/>
    <x v="1"/>
    <s v="Active"/>
  </r>
  <r>
    <x v="522"/>
    <n v="37"/>
    <x v="1"/>
    <s v="Research Scientist"/>
    <n v="1"/>
    <n v="4680"/>
    <n v="1"/>
    <n v="3"/>
    <x v="1"/>
    <s v="Active"/>
  </r>
  <r>
    <x v="523"/>
    <n v="50"/>
    <x v="1"/>
    <s v="Laboratory Technician"/>
    <n v="1"/>
    <n v="3221"/>
    <n v="20"/>
    <n v="3"/>
    <x v="1"/>
    <s v="Active"/>
  </r>
  <r>
    <x v="524"/>
    <n v="34"/>
    <x v="1"/>
    <s v="Healthcare Representative"/>
    <n v="3"/>
    <n v="8621"/>
    <n v="8"/>
    <n v="4"/>
    <x v="1"/>
    <s v="Active"/>
  </r>
  <r>
    <x v="525"/>
    <n v="24"/>
    <x v="0"/>
    <s v="Sales Executive"/>
    <n v="2"/>
    <n v="4577"/>
    <n v="2"/>
    <n v="3"/>
    <x v="0"/>
    <s v="Resigned"/>
  </r>
  <r>
    <x v="526"/>
    <n v="39"/>
    <x v="1"/>
    <s v="Healthcare Representative"/>
    <n v="2"/>
    <n v="4553"/>
    <n v="20"/>
    <n v="3"/>
    <x v="1"/>
    <s v="Active"/>
  </r>
  <r>
    <x v="527"/>
    <n v="32"/>
    <x v="0"/>
    <s v="Sales Executive"/>
    <n v="2"/>
    <n v="5396"/>
    <n v="10"/>
    <n v="2"/>
    <x v="1"/>
    <s v="Active"/>
  </r>
  <r>
    <x v="528"/>
    <n v="50"/>
    <x v="0"/>
    <s v="Sales Executive"/>
    <n v="2"/>
    <n v="6796"/>
    <n v="4"/>
    <n v="3"/>
    <x v="0"/>
    <s v="Resigned"/>
  </r>
  <r>
    <x v="529"/>
    <n v="38"/>
    <x v="1"/>
    <s v="Healthcare Representative"/>
    <n v="2"/>
    <n v="7625"/>
    <n v="9"/>
    <n v="2"/>
    <x v="1"/>
    <s v="Active"/>
  </r>
  <r>
    <x v="530"/>
    <n v="27"/>
    <x v="1"/>
    <s v="Manufacturing Director"/>
    <n v="3"/>
    <n v="7412"/>
    <n v="9"/>
    <n v="3"/>
    <x v="1"/>
    <s v="Active"/>
  </r>
  <r>
    <x v="531"/>
    <n v="32"/>
    <x v="1"/>
    <s v="Research Director"/>
    <n v="3"/>
    <n v="11159"/>
    <n v="7"/>
    <n v="3"/>
    <x v="1"/>
    <s v="Active"/>
  </r>
  <r>
    <x v="532"/>
    <n v="47"/>
    <x v="0"/>
    <s v="Sales Executive"/>
    <n v="2"/>
    <n v="4960"/>
    <n v="7"/>
    <n v="3"/>
    <x v="1"/>
    <s v="Active"/>
  </r>
  <r>
    <x v="533"/>
    <n v="40"/>
    <x v="0"/>
    <s v="Sales Executive"/>
    <n v="3"/>
    <n v="10475"/>
    <n v="18"/>
    <n v="3"/>
    <x v="1"/>
    <s v="Active"/>
  </r>
  <r>
    <x v="534"/>
    <n v="53"/>
    <x v="1"/>
    <s v="Research Director"/>
    <n v="4"/>
    <n v="14814"/>
    <n v="5"/>
    <n v="3"/>
    <x v="1"/>
    <s v="Active"/>
  </r>
  <r>
    <x v="535"/>
    <n v="41"/>
    <x v="2"/>
    <s v="Manager"/>
    <n v="5"/>
    <n v="19141"/>
    <n v="21"/>
    <n v="2"/>
    <x v="1"/>
    <s v="Active"/>
  </r>
  <r>
    <x v="536"/>
    <n v="60"/>
    <x v="0"/>
    <s v="Sales Executive"/>
    <n v="2"/>
    <n v="5405"/>
    <n v="2"/>
    <n v="3"/>
    <x v="1"/>
    <s v="Active"/>
  </r>
  <r>
    <x v="537"/>
    <n v="27"/>
    <x v="1"/>
    <s v="Manufacturing Director"/>
    <n v="3"/>
    <n v="8793"/>
    <n v="9"/>
    <n v="2"/>
    <x v="1"/>
    <s v="Active"/>
  </r>
  <r>
    <x v="538"/>
    <n v="41"/>
    <x v="2"/>
    <s v="Manager"/>
    <n v="5"/>
    <n v="19189"/>
    <n v="22"/>
    <n v="3"/>
    <x v="1"/>
    <s v="Active"/>
  </r>
  <r>
    <x v="539"/>
    <n v="50"/>
    <x v="0"/>
    <s v="Sales Representative"/>
    <n v="1"/>
    <n v="3875"/>
    <n v="2"/>
    <n v="3"/>
    <x v="1"/>
    <s v="Active"/>
  </r>
  <r>
    <x v="540"/>
    <n v="28"/>
    <x v="1"/>
    <s v="Research Scientist"/>
    <n v="1"/>
    <n v="2216"/>
    <n v="7"/>
    <n v="3"/>
    <x v="0"/>
    <s v="Resigned"/>
  </r>
  <r>
    <x v="541"/>
    <n v="36"/>
    <x v="1"/>
    <s v="Research Director"/>
    <n v="3"/>
    <n v="11713"/>
    <n v="8"/>
    <n v="3"/>
    <x v="1"/>
    <s v="Active"/>
  </r>
  <r>
    <x v="542"/>
    <n v="38"/>
    <x v="1"/>
    <s v="Manufacturing Director"/>
    <n v="3"/>
    <n v="7861"/>
    <n v="1"/>
    <n v="4"/>
    <x v="1"/>
    <s v="Active"/>
  </r>
  <r>
    <x v="543"/>
    <n v="44"/>
    <x v="1"/>
    <s v="Laboratory Technician"/>
    <n v="1"/>
    <n v="3708"/>
    <n v="5"/>
    <n v="3"/>
    <x v="1"/>
    <s v="Active"/>
  </r>
  <r>
    <x v="544"/>
    <n v="47"/>
    <x v="0"/>
    <s v="Sales Executive"/>
    <n v="4"/>
    <n v="13770"/>
    <n v="22"/>
    <n v="2"/>
    <x v="1"/>
    <s v="Active"/>
  </r>
  <r>
    <x v="545"/>
    <n v="30"/>
    <x v="0"/>
    <s v="Sales Executive"/>
    <n v="2"/>
    <n v="5304"/>
    <n v="8"/>
    <n v="2"/>
    <x v="1"/>
    <s v="Active"/>
  </r>
  <r>
    <x v="546"/>
    <n v="29"/>
    <x v="0"/>
    <s v="Sales Representative"/>
    <n v="1"/>
    <n v="2642"/>
    <n v="1"/>
    <n v="3"/>
    <x v="1"/>
    <s v="Active"/>
  </r>
  <r>
    <x v="547"/>
    <n v="42"/>
    <x v="1"/>
    <s v="Research Scientist"/>
    <n v="1"/>
    <n v="2759"/>
    <n v="2"/>
    <n v="3"/>
    <x v="0"/>
    <s v="Resigned"/>
  </r>
  <r>
    <x v="548"/>
    <n v="43"/>
    <x v="0"/>
    <s v="Sales Executive"/>
    <n v="2"/>
    <n v="6804"/>
    <n v="2"/>
    <n v="3"/>
    <x v="1"/>
    <s v="Active"/>
  </r>
  <r>
    <x v="549"/>
    <n v="34"/>
    <x v="1"/>
    <s v="Healthcare Representative"/>
    <n v="2"/>
    <n v="6142"/>
    <n v="5"/>
    <n v="3"/>
    <x v="1"/>
    <s v="Active"/>
  </r>
  <r>
    <x v="550"/>
    <n v="23"/>
    <x v="1"/>
    <s v="Laboratory Technician"/>
    <n v="1"/>
    <n v="2500"/>
    <n v="4"/>
    <n v="4"/>
    <x v="1"/>
    <s v="Active"/>
  </r>
  <r>
    <x v="551"/>
    <n v="39"/>
    <x v="2"/>
    <s v="Human Resources"/>
    <n v="2"/>
    <n v="6389"/>
    <n v="8"/>
    <n v="1"/>
    <x v="1"/>
    <s v="Active"/>
  </r>
  <r>
    <x v="552"/>
    <n v="56"/>
    <x v="1"/>
    <s v="Healthcare Representative"/>
    <n v="4"/>
    <n v="11103"/>
    <n v="10"/>
    <n v="2"/>
    <x v="1"/>
    <s v="Active"/>
  </r>
  <r>
    <x v="553"/>
    <n v="40"/>
    <x v="1"/>
    <s v="Research Scientist"/>
    <n v="1"/>
    <n v="2342"/>
    <n v="4"/>
    <n v="2"/>
    <x v="1"/>
    <s v="Active"/>
  </r>
  <r>
    <x v="554"/>
    <n v="27"/>
    <x v="1"/>
    <s v="Healthcare Representative"/>
    <n v="2"/>
    <n v="6811"/>
    <n v="7"/>
    <n v="1"/>
    <x v="1"/>
    <s v="Active"/>
  </r>
  <r>
    <x v="555"/>
    <n v="29"/>
    <x v="0"/>
    <s v="Sales Representative"/>
    <n v="1"/>
    <n v="2297"/>
    <n v="2"/>
    <n v="3"/>
    <x v="1"/>
    <s v="Active"/>
  </r>
  <r>
    <x v="556"/>
    <n v="53"/>
    <x v="1"/>
    <s v="Laboratory Technician"/>
    <n v="2"/>
    <n v="2450"/>
    <n v="2"/>
    <n v="3"/>
    <x v="1"/>
    <s v="Active"/>
  </r>
  <r>
    <x v="557"/>
    <n v="35"/>
    <x v="1"/>
    <s v="Healthcare Representative"/>
    <n v="2"/>
    <n v="5093"/>
    <n v="1"/>
    <n v="4"/>
    <x v="1"/>
    <s v="Active"/>
  </r>
  <r>
    <x v="558"/>
    <n v="32"/>
    <x v="1"/>
    <s v="Laboratory Technician"/>
    <n v="2"/>
    <n v="5309"/>
    <n v="10"/>
    <n v="3"/>
    <x v="1"/>
    <s v="Active"/>
  </r>
  <r>
    <x v="559"/>
    <n v="38"/>
    <x v="1"/>
    <s v="Research Scientist"/>
    <n v="1"/>
    <n v="3057"/>
    <n v="1"/>
    <n v="1"/>
    <x v="1"/>
    <s v="Active"/>
  </r>
  <r>
    <x v="560"/>
    <n v="34"/>
    <x v="1"/>
    <s v="Manufacturing Director"/>
    <n v="2"/>
    <n v="5121"/>
    <n v="0"/>
    <n v="3"/>
    <x v="1"/>
    <s v="Active"/>
  </r>
  <r>
    <x v="561"/>
    <n v="52"/>
    <x v="0"/>
    <s v="Manager"/>
    <n v="4"/>
    <n v="16856"/>
    <n v="34"/>
    <n v="4"/>
    <x v="1"/>
    <s v="Active"/>
  </r>
  <r>
    <x v="562"/>
    <n v="33"/>
    <x v="1"/>
    <s v="Research Scientist"/>
    <n v="1"/>
    <n v="2686"/>
    <n v="10"/>
    <n v="2"/>
    <x v="0"/>
    <s v="Resigned"/>
  </r>
  <r>
    <x v="563"/>
    <n v="25"/>
    <x v="0"/>
    <s v="Sales Executive"/>
    <n v="2"/>
    <n v="6180"/>
    <n v="6"/>
    <n v="2"/>
    <x v="1"/>
    <s v="Active"/>
  </r>
  <r>
    <x v="564"/>
    <n v="45"/>
    <x v="0"/>
    <s v="Sales Representative"/>
    <n v="2"/>
    <n v="6632"/>
    <n v="8"/>
    <n v="3"/>
    <x v="1"/>
    <s v="Active"/>
  </r>
  <r>
    <x v="565"/>
    <n v="23"/>
    <x v="1"/>
    <s v="Research Scientist"/>
    <n v="1"/>
    <n v="3505"/>
    <n v="2"/>
    <n v="3"/>
    <x v="1"/>
    <s v="Active"/>
  </r>
  <r>
    <x v="566"/>
    <n v="47"/>
    <x v="0"/>
    <s v="Sales Executive"/>
    <n v="2"/>
    <n v="6397"/>
    <n v="5"/>
    <n v="3"/>
    <x v="0"/>
    <s v="Resigned"/>
  </r>
  <r>
    <x v="567"/>
    <n v="34"/>
    <x v="0"/>
    <s v="Sales Executive"/>
    <n v="2"/>
    <n v="6274"/>
    <n v="6"/>
    <n v="3"/>
    <x v="1"/>
    <s v="Active"/>
  </r>
  <r>
    <x v="568"/>
    <n v="55"/>
    <x v="1"/>
    <s v="Manager"/>
    <n v="5"/>
    <n v="19859"/>
    <n v="5"/>
    <n v="3"/>
    <x v="0"/>
    <s v="Resigned"/>
  </r>
  <r>
    <x v="569"/>
    <n v="36"/>
    <x v="0"/>
    <s v="Sales Executive"/>
    <n v="3"/>
    <n v="7587"/>
    <n v="10"/>
    <n v="3"/>
    <x v="1"/>
    <s v="Active"/>
  </r>
  <r>
    <x v="570"/>
    <n v="52"/>
    <x v="1"/>
    <s v="Research Scientist"/>
    <n v="1"/>
    <n v="4258"/>
    <n v="4"/>
    <n v="3"/>
    <x v="1"/>
    <s v="Active"/>
  </r>
  <r>
    <x v="571"/>
    <n v="26"/>
    <x v="1"/>
    <s v="Laboratory Technician"/>
    <n v="1"/>
    <n v="4364"/>
    <n v="2"/>
    <n v="3"/>
    <x v="1"/>
    <s v="Active"/>
  </r>
  <r>
    <x v="572"/>
    <n v="29"/>
    <x v="1"/>
    <s v="Healthcare Representative"/>
    <n v="2"/>
    <n v="4335"/>
    <n v="8"/>
    <n v="2"/>
    <x v="1"/>
    <s v="Active"/>
  </r>
  <r>
    <x v="573"/>
    <n v="26"/>
    <x v="0"/>
    <s v="Sales Executive"/>
    <n v="2"/>
    <n v="5326"/>
    <n v="4"/>
    <n v="2"/>
    <x v="0"/>
    <s v="Resigned"/>
  </r>
  <r>
    <x v="574"/>
    <n v="34"/>
    <x v="1"/>
    <s v="Research Scientist"/>
    <n v="1"/>
    <n v="3280"/>
    <n v="4"/>
    <n v="3"/>
    <x v="1"/>
    <s v="Active"/>
  </r>
  <r>
    <x v="575"/>
    <n v="54"/>
    <x v="1"/>
    <s v="Manufacturing Director"/>
    <n v="2"/>
    <n v="5485"/>
    <n v="5"/>
    <n v="3"/>
    <x v="1"/>
    <s v="Active"/>
  </r>
  <r>
    <x v="576"/>
    <n v="27"/>
    <x v="0"/>
    <s v="Sales Executive"/>
    <n v="2"/>
    <n v="4342"/>
    <n v="4"/>
    <n v="3"/>
    <x v="1"/>
    <s v="Active"/>
  </r>
  <r>
    <x v="577"/>
    <n v="37"/>
    <x v="1"/>
    <s v="Research Scientist"/>
    <n v="1"/>
    <n v="2782"/>
    <n v="5"/>
    <n v="2"/>
    <x v="1"/>
    <s v="Active"/>
  </r>
  <r>
    <x v="578"/>
    <n v="38"/>
    <x v="1"/>
    <s v="Manufacturing Director"/>
    <n v="2"/>
    <n v="5980"/>
    <n v="15"/>
    <n v="3"/>
    <x v="1"/>
    <s v="Active"/>
  </r>
  <r>
    <x v="579"/>
    <n v="34"/>
    <x v="1"/>
    <s v="Research Scientist"/>
    <n v="1"/>
    <n v="4381"/>
    <n v="6"/>
    <n v="3"/>
    <x v="1"/>
    <s v="Active"/>
  </r>
  <r>
    <x v="580"/>
    <n v="35"/>
    <x v="0"/>
    <s v="Sales Representative"/>
    <n v="1"/>
    <n v="2572"/>
    <n v="3"/>
    <n v="2"/>
    <x v="1"/>
    <s v="Active"/>
  </r>
  <r>
    <x v="581"/>
    <n v="30"/>
    <x v="1"/>
    <s v="Laboratory Technician"/>
    <n v="1"/>
    <n v="3833"/>
    <n v="2"/>
    <n v="3"/>
    <x v="1"/>
    <s v="Active"/>
  </r>
  <r>
    <x v="582"/>
    <n v="40"/>
    <x v="1"/>
    <s v="Healthcare Representative"/>
    <n v="2"/>
    <n v="4244"/>
    <n v="8"/>
    <n v="3"/>
    <x v="1"/>
    <s v="Active"/>
  </r>
  <r>
    <x v="583"/>
    <n v="34"/>
    <x v="0"/>
    <s v="Sales Executive"/>
    <n v="2"/>
    <n v="6500"/>
    <n v="3"/>
    <n v="3"/>
    <x v="1"/>
    <s v="Active"/>
  </r>
  <r>
    <x v="584"/>
    <n v="42"/>
    <x v="1"/>
    <s v="Manager"/>
    <n v="5"/>
    <n v="18430"/>
    <n v="24"/>
    <n v="2"/>
    <x v="1"/>
    <s v="Active"/>
  </r>
  <r>
    <x v="585"/>
    <n v="23"/>
    <x v="1"/>
    <s v="Laboratory Technician"/>
    <n v="1"/>
    <n v="1601"/>
    <n v="0"/>
    <n v="3"/>
    <x v="0"/>
    <s v="Resigned"/>
  </r>
  <r>
    <x v="586"/>
    <n v="24"/>
    <x v="1"/>
    <s v="Laboratory Technician"/>
    <n v="1"/>
    <n v="2694"/>
    <n v="1"/>
    <n v="3"/>
    <x v="1"/>
    <s v="Active"/>
  </r>
  <r>
    <x v="587"/>
    <n v="52"/>
    <x v="1"/>
    <s v="Laboratory Technician"/>
    <n v="2"/>
    <n v="3149"/>
    <n v="5"/>
    <n v="3"/>
    <x v="1"/>
    <s v="Active"/>
  </r>
  <r>
    <x v="588"/>
    <n v="50"/>
    <x v="1"/>
    <s v="Research Director"/>
    <n v="4"/>
    <n v="17639"/>
    <n v="4"/>
    <n v="3"/>
    <x v="1"/>
    <s v="Active"/>
  </r>
  <r>
    <x v="589"/>
    <n v="29"/>
    <x v="1"/>
    <s v="Laboratory Technician"/>
    <n v="1"/>
    <n v="2319"/>
    <n v="1"/>
    <n v="3"/>
    <x v="0"/>
    <s v="Resigned"/>
  </r>
  <r>
    <x v="590"/>
    <n v="33"/>
    <x v="1"/>
    <s v="Research Director"/>
    <n v="3"/>
    <n v="11691"/>
    <n v="13"/>
    <n v="4"/>
    <x v="1"/>
    <s v="Active"/>
  </r>
  <r>
    <x v="591"/>
    <n v="33"/>
    <x v="0"/>
    <s v="Sales Executive"/>
    <n v="2"/>
    <n v="5324"/>
    <n v="3"/>
    <n v="3"/>
    <x v="0"/>
    <s v="Resigned"/>
  </r>
  <r>
    <x v="592"/>
    <n v="47"/>
    <x v="1"/>
    <s v="Manager"/>
    <n v="4"/>
    <n v="16752"/>
    <n v="26"/>
    <n v="2"/>
    <x v="1"/>
    <s v="Active"/>
  </r>
  <r>
    <x v="593"/>
    <n v="36"/>
    <x v="1"/>
    <s v="Manufacturing Director"/>
    <n v="2"/>
    <n v="5228"/>
    <n v="9"/>
    <n v="3"/>
    <x v="1"/>
    <s v="Active"/>
  </r>
  <r>
    <x v="594"/>
    <n v="29"/>
    <x v="1"/>
    <s v="Research Scientist"/>
    <n v="1"/>
    <n v="2700"/>
    <n v="10"/>
    <n v="3"/>
    <x v="1"/>
    <s v="Active"/>
  </r>
  <r>
    <x v="595"/>
    <n v="58"/>
    <x v="1"/>
    <s v="Research Director"/>
    <n v="5"/>
    <n v="19246"/>
    <n v="31"/>
    <n v="3"/>
    <x v="0"/>
    <s v="Resigned"/>
  </r>
  <r>
    <x v="596"/>
    <n v="35"/>
    <x v="1"/>
    <s v="Research Scientist"/>
    <n v="1"/>
    <n v="2506"/>
    <n v="2"/>
    <n v="3"/>
    <x v="1"/>
    <s v="Active"/>
  </r>
  <r>
    <x v="597"/>
    <n v="42"/>
    <x v="1"/>
    <s v="Manufacturing Director"/>
    <n v="2"/>
    <n v="6062"/>
    <n v="4"/>
    <n v="3"/>
    <x v="1"/>
    <s v="Active"/>
  </r>
  <r>
    <x v="598"/>
    <n v="28"/>
    <x v="1"/>
    <s v="Research Scientist"/>
    <n v="1"/>
    <n v="4382"/>
    <n v="2"/>
    <n v="2"/>
    <x v="0"/>
    <s v="Resigned"/>
  </r>
  <r>
    <x v="599"/>
    <n v="36"/>
    <x v="2"/>
    <s v="Human Resources"/>
    <n v="1"/>
    <n v="2143"/>
    <n v="5"/>
    <n v="3"/>
    <x v="1"/>
    <s v="Active"/>
  </r>
  <r>
    <x v="600"/>
    <n v="32"/>
    <x v="1"/>
    <s v="Manufacturing Director"/>
    <n v="2"/>
    <n v="6162"/>
    <n v="14"/>
    <n v="3"/>
    <x v="1"/>
    <s v="Active"/>
  </r>
  <r>
    <x v="601"/>
    <n v="40"/>
    <x v="1"/>
    <s v="Laboratory Technician"/>
    <n v="2"/>
    <n v="5094"/>
    <n v="1"/>
    <n v="3"/>
    <x v="1"/>
    <s v="Active"/>
  </r>
  <r>
    <x v="602"/>
    <n v="30"/>
    <x v="1"/>
    <s v="Manufacturing Director"/>
    <n v="2"/>
    <n v="6877"/>
    <n v="0"/>
    <n v="2"/>
    <x v="1"/>
    <s v="Active"/>
  </r>
  <r>
    <x v="603"/>
    <n v="45"/>
    <x v="1"/>
    <s v="Research Scientist"/>
    <n v="1"/>
    <n v="2274"/>
    <n v="1"/>
    <n v="3"/>
    <x v="1"/>
    <s v="Active"/>
  </r>
  <r>
    <x v="604"/>
    <n v="42"/>
    <x v="1"/>
    <s v="Manufacturing Director"/>
    <n v="2"/>
    <n v="4434"/>
    <n v="9"/>
    <n v="2"/>
    <x v="1"/>
    <s v="Active"/>
  </r>
  <r>
    <x v="605"/>
    <n v="38"/>
    <x v="1"/>
    <s v="Healthcare Representative"/>
    <n v="2"/>
    <n v="6288"/>
    <n v="4"/>
    <n v="2"/>
    <x v="1"/>
    <s v="Active"/>
  </r>
  <r>
    <x v="606"/>
    <n v="34"/>
    <x v="1"/>
    <s v="Research Scientist"/>
    <n v="1"/>
    <n v="2553"/>
    <n v="5"/>
    <n v="3"/>
    <x v="1"/>
    <s v="Active"/>
  </r>
  <r>
    <x v="607"/>
    <n v="49"/>
    <x v="0"/>
    <s v="Sales Executive"/>
    <n v="3"/>
    <n v="7654"/>
    <n v="9"/>
    <n v="4"/>
    <x v="0"/>
    <s v="Resigned"/>
  </r>
  <r>
    <x v="608"/>
    <n v="55"/>
    <x v="0"/>
    <s v="Sales Executive"/>
    <n v="2"/>
    <n v="5160"/>
    <n v="9"/>
    <n v="2"/>
    <x v="0"/>
    <s v="Resigned"/>
  </r>
  <r>
    <x v="609"/>
    <n v="43"/>
    <x v="1"/>
    <s v="Research Director"/>
    <n v="4"/>
    <n v="17159"/>
    <n v="4"/>
    <n v="3"/>
    <x v="1"/>
    <s v="Active"/>
  </r>
  <r>
    <x v="610"/>
    <n v="27"/>
    <x v="1"/>
    <s v="Research Director"/>
    <n v="3"/>
    <n v="12808"/>
    <n v="9"/>
    <n v="3"/>
    <x v="1"/>
    <s v="Active"/>
  </r>
  <r>
    <x v="611"/>
    <n v="35"/>
    <x v="1"/>
    <s v="Manufacturing Director"/>
    <n v="3"/>
    <n v="10221"/>
    <n v="8"/>
    <n v="4"/>
    <x v="1"/>
    <s v="Active"/>
  </r>
  <r>
    <x v="612"/>
    <n v="28"/>
    <x v="0"/>
    <s v="Sales Executive"/>
    <n v="2"/>
    <n v="4779"/>
    <n v="8"/>
    <n v="3"/>
    <x v="1"/>
    <s v="Active"/>
  </r>
  <r>
    <x v="613"/>
    <n v="34"/>
    <x v="2"/>
    <s v="Human Resources"/>
    <n v="1"/>
    <n v="3737"/>
    <n v="3"/>
    <n v="1"/>
    <x v="1"/>
    <s v="Active"/>
  </r>
  <r>
    <x v="614"/>
    <n v="26"/>
    <x v="1"/>
    <s v="Research Scientist"/>
    <n v="1"/>
    <n v="2366"/>
    <n v="8"/>
    <n v="3"/>
    <x v="0"/>
    <s v="Resigned"/>
  </r>
  <r>
    <x v="615"/>
    <n v="27"/>
    <x v="1"/>
    <s v="Research Scientist"/>
    <n v="1"/>
    <n v="1706"/>
    <n v="0"/>
    <n v="2"/>
    <x v="1"/>
    <s v="Active"/>
  </r>
  <r>
    <x v="616"/>
    <n v="51"/>
    <x v="0"/>
    <s v="Manager"/>
    <n v="4"/>
    <n v="16307"/>
    <n v="20"/>
    <n v="2"/>
    <x v="1"/>
    <s v="Active"/>
  </r>
  <r>
    <x v="617"/>
    <n v="44"/>
    <x v="1"/>
    <s v="Healthcare Representative"/>
    <n v="2"/>
    <n v="5933"/>
    <n v="5"/>
    <n v="2"/>
    <x v="1"/>
    <s v="Active"/>
  </r>
  <r>
    <x v="618"/>
    <n v="25"/>
    <x v="1"/>
    <s v="Research Scientist"/>
    <n v="1"/>
    <n v="3424"/>
    <n v="4"/>
    <n v="2"/>
    <x v="1"/>
    <s v="Active"/>
  </r>
  <r>
    <x v="619"/>
    <n v="33"/>
    <x v="0"/>
    <s v="Sales Executive"/>
    <n v="2"/>
    <n v="4037"/>
    <n v="9"/>
    <n v="3"/>
    <x v="1"/>
    <s v="Active"/>
  </r>
  <r>
    <x v="620"/>
    <n v="35"/>
    <x v="1"/>
    <s v="Research Scientist"/>
    <n v="1"/>
    <n v="2559"/>
    <n v="6"/>
    <n v="2"/>
    <x v="1"/>
    <s v="Active"/>
  </r>
  <r>
    <x v="621"/>
    <n v="36"/>
    <x v="0"/>
    <s v="Sales Executive"/>
    <n v="2"/>
    <n v="6201"/>
    <n v="18"/>
    <n v="2"/>
    <x v="1"/>
    <s v="Active"/>
  </r>
  <r>
    <x v="622"/>
    <n v="32"/>
    <x v="0"/>
    <s v="Sales Executive"/>
    <n v="2"/>
    <n v="4403"/>
    <n v="5"/>
    <n v="2"/>
    <x v="1"/>
    <s v="Active"/>
  </r>
  <r>
    <x v="623"/>
    <n v="30"/>
    <x v="1"/>
    <s v="Research Scientist"/>
    <n v="1"/>
    <n v="3761"/>
    <n v="5"/>
    <n v="2"/>
    <x v="1"/>
    <s v="Active"/>
  </r>
  <r>
    <x v="624"/>
    <n v="53"/>
    <x v="0"/>
    <s v="Sales Executive"/>
    <n v="3"/>
    <n v="10934"/>
    <n v="5"/>
    <n v="3"/>
    <x v="1"/>
    <s v="Active"/>
  </r>
  <r>
    <x v="625"/>
    <n v="45"/>
    <x v="0"/>
    <s v="Sales Executive"/>
    <n v="3"/>
    <n v="10761"/>
    <n v="5"/>
    <n v="3"/>
    <x v="1"/>
    <s v="Active"/>
  </r>
  <r>
    <x v="626"/>
    <n v="32"/>
    <x v="1"/>
    <s v="Research Scientist"/>
    <n v="2"/>
    <n v="5175"/>
    <n v="5"/>
    <n v="2"/>
    <x v="1"/>
    <s v="Active"/>
  </r>
  <r>
    <x v="627"/>
    <n v="52"/>
    <x v="1"/>
    <s v="Manufacturing Director"/>
    <n v="4"/>
    <n v="13826"/>
    <n v="9"/>
    <n v="3"/>
    <x v="1"/>
    <s v="Active"/>
  </r>
  <r>
    <x v="628"/>
    <n v="37"/>
    <x v="0"/>
    <s v="Sales Executive"/>
    <n v="2"/>
    <n v="6334"/>
    <n v="1"/>
    <n v="3"/>
    <x v="1"/>
    <s v="Active"/>
  </r>
  <r>
    <x v="629"/>
    <n v="28"/>
    <x v="2"/>
    <s v="Human Resources"/>
    <n v="1"/>
    <n v="4936"/>
    <n v="5"/>
    <n v="3"/>
    <x v="1"/>
    <s v="Active"/>
  </r>
  <r>
    <x v="630"/>
    <n v="22"/>
    <x v="1"/>
    <s v="Manufacturing Director"/>
    <n v="2"/>
    <n v="4775"/>
    <n v="2"/>
    <n v="1"/>
    <x v="1"/>
    <s v="Active"/>
  </r>
  <r>
    <x v="631"/>
    <n v="44"/>
    <x v="1"/>
    <s v="Laboratory Technician"/>
    <n v="1"/>
    <n v="2818"/>
    <n v="3"/>
    <n v="2"/>
    <x v="1"/>
    <s v="Active"/>
  </r>
  <r>
    <x v="632"/>
    <n v="42"/>
    <x v="1"/>
    <s v="Research Scientist"/>
    <n v="1"/>
    <n v="2515"/>
    <n v="2"/>
    <n v="3"/>
    <x v="1"/>
    <s v="Active"/>
  </r>
  <r>
    <x v="633"/>
    <n v="36"/>
    <x v="2"/>
    <s v="Human Resources"/>
    <n v="1"/>
    <n v="2342"/>
    <n v="5"/>
    <n v="3"/>
    <x v="1"/>
    <s v="Active"/>
  </r>
  <r>
    <x v="634"/>
    <n v="25"/>
    <x v="0"/>
    <s v="Sales Executive"/>
    <n v="2"/>
    <n v="4194"/>
    <n v="5"/>
    <n v="3"/>
    <x v="1"/>
    <s v="Active"/>
  </r>
  <r>
    <x v="635"/>
    <n v="35"/>
    <x v="1"/>
    <s v="Manufacturing Director"/>
    <n v="3"/>
    <n v="10685"/>
    <n v="17"/>
    <n v="3"/>
    <x v="1"/>
    <s v="Active"/>
  </r>
  <r>
    <x v="636"/>
    <n v="35"/>
    <x v="1"/>
    <s v="Research Scientist"/>
    <n v="1"/>
    <n v="2022"/>
    <n v="10"/>
    <n v="2"/>
    <x v="0"/>
    <s v="Resigned"/>
  </r>
  <r>
    <x v="637"/>
    <n v="32"/>
    <x v="1"/>
    <s v="Laboratory Technician"/>
    <n v="1"/>
    <n v="2314"/>
    <n v="3"/>
    <n v="3"/>
    <x v="1"/>
    <s v="Active"/>
  </r>
  <r>
    <x v="638"/>
    <n v="25"/>
    <x v="0"/>
    <s v="Sales Executive"/>
    <n v="2"/>
    <n v="4256"/>
    <n v="5"/>
    <n v="4"/>
    <x v="1"/>
    <s v="Active"/>
  </r>
  <r>
    <x v="639"/>
    <n v="49"/>
    <x v="1"/>
    <s v="Research Scientist"/>
    <n v="1"/>
    <n v="3580"/>
    <n v="4"/>
    <n v="3"/>
    <x v="1"/>
    <s v="Active"/>
  </r>
  <r>
    <x v="640"/>
    <n v="24"/>
    <x v="1"/>
    <s v="Laboratory Technician"/>
    <n v="1"/>
    <n v="3162"/>
    <n v="5"/>
    <n v="2"/>
    <x v="1"/>
    <s v="Active"/>
  </r>
  <r>
    <x v="641"/>
    <n v="32"/>
    <x v="0"/>
    <s v="Sales Executive"/>
    <n v="2"/>
    <n v="6524"/>
    <n v="10"/>
    <n v="3"/>
    <x v="1"/>
    <s v="Active"/>
  </r>
  <r>
    <x v="642"/>
    <n v="38"/>
    <x v="0"/>
    <s v="Sales Representative"/>
    <n v="1"/>
    <n v="2899"/>
    <n v="2"/>
    <n v="3"/>
    <x v="1"/>
    <s v="Active"/>
  </r>
  <r>
    <x v="643"/>
    <n v="42"/>
    <x v="1"/>
    <s v="Laboratory Technician"/>
    <n v="2"/>
    <n v="5231"/>
    <n v="5"/>
    <n v="2"/>
    <x v="1"/>
    <s v="Active"/>
  </r>
  <r>
    <x v="644"/>
    <n v="31"/>
    <x v="1"/>
    <s v="Research Scientist"/>
    <n v="1"/>
    <n v="2356"/>
    <n v="6"/>
    <n v="3"/>
    <x v="1"/>
    <s v="Active"/>
  </r>
  <r>
    <x v="645"/>
    <n v="29"/>
    <x v="0"/>
    <s v="Sales Representative"/>
    <n v="1"/>
    <n v="2800"/>
    <n v="3"/>
    <n v="3"/>
    <x v="0"/>
    <s v="Resigned"/>
  </r>
  <r>
    <x v="646"/>
    <n v="53"/>
    <x v="0"/>
    <s v="Sales Executive"/>
    <n v="4"/>
    <n v="11836"/>
    <n v="2"/>
    <n v="3"/>
    <x v="1"/>
    <s v="Active"/>
  </r>
  <r>
    <x v="647"/>
    <n v="35"/>
    <x v="1"/>
    <s v="Manufacturing Director"/>
    <n v="3"/>
    <n v="10903"/>
    <n v="13"/>
    <n v="3"/>
    <x v="1"/>
    <s v="Active"/>
  </r>
  <r>
    <x v="648"/>
    <n v="37"/>
    <x v="0"/>
    <s v="Sales Representative"/>
    <n v="1"/>
    <n v="2973"/>
    <n v="5"/>
    <n v="3"/>
    <x v="1"/>
    <s v="Active"/>
  </r>
  <r>
    <x v="649"/>
    <n v="53"/>
    <x v="1"/>
    <s v="Research Director"/>
    <n v="4"/>
    <n v="14275"/>
    <n v="12"/>
    <n v="3"/>
    <x v="1"/>
    <s v="Active"/>
  </r>
  <r>
    <x v="650"/>
    <n v="43"/>
    <x v="1"/>
    <s v="Healthcare Representative"/>
    <n v="2"/>
    <n v="5562"/>
    <n v="5"/>
    <n v="2"/>
    <x v="1"/>
    <s v="Active"/>
  </r>
  <r>
    <x v="651"/>
    <n v="47"/>
    <x v="0"/>
    <s v="Sales Executive"/>
    <n v="2"/>
    <n v="4537"/>
    <n v="7"/>
    <n v="3"/>
    <x v="1"/>
    <s v="Active"/>
  </r>
  <r>
    <x v="652"/>
    <n v="37"/>
    <x v="0"/>
    <s v="Sales Executive"/>
    <n v="3"/>
    <n v="7642"/>
    <n v="10"/>
    <n v="3"/>
    <x v="1"/>
    <s v="Active"/>
  </r>
  <r>
    <x v="653"/>
    <n v="50"/>
    <x v="1"/>
    <s v="Manager"/>
    <n v="4"/>
    <n v="17924"/>
    <n v="31"/>
    <n v="3"/>
    <x v="1"/>
    <s v="Active"/>
  </r>
  <r>
    <x v="654"/>
    <n v="39"/>
    <x v="2"/>
    <s v="Human Resources"/>
    <n v="2"/>
    <n v="5204"/>
    <n v="5"/>
    <n v="3"/>
    <x v="1"/>
    <s v="Active"/>
  </r>
  <r>
    <x v="655"/>
    <n v="33"/>
    <x v="2"/>
    <s v="Human Resources"/>
    <n v="1"/>
    <n v="2277"/>
    <n v="4"/>
    <n v="4"/>
    <x v="1"/>
    <s v="Active"/>
  </r>
  <r>
    <x v="656"/>
    <n v="32"/>
    <x v="1"/>
    <s v="Laboratory Technician"/>
    <n v="1"/>
    <n v="2795"/>
    <n v="1"/>
    <n v="1"/>
    <x v="0"/>
    <s v="Resigned"/>
  </r>
  <r>
    <x v="657"/>
    <n v="29"/>
    <x v="1"/>
    <s v="Laboratory Technician"/>
    <n v="1"/>
    <n v="2532"/>
    <n v="4"/>
    <n v="3"/>
    <x v="1"/>
    <s v="Active"/>
  </r>
  <r>
    <x v="658"/>
    <n v="44"/>
    <x v="1"/>
    <s v="Research Scientist"/>
    <n v="1"/>
    <n v="2559"/>
    <n v="8"/>
    <n v="3"/>
    <x v="1"/>
    <s v="Active"/>
  </r>
  <r>
    <x v="659"/>
    <n v="28"/>
    <x v="0"/>
    <s v="Sales Executive"/>
    <n v="2"/>
    <n v="4908"/>
    <n v="4"/>
    <n v="3"/>
    <x v="1"/>
    <s v="Active"/>
  </r>
  <r>
    <x v="660"/>
    <n v="58"/>
    <x v="1"/>
    <s v="Laboratory Technician"/>
    <n v="1"/>
    <n v="2380"/>
    <n v="1"/>
    <n v="2"/>
    <x v="0"/>
    <s v="Resigned"/>
  </r>
  <r>
    <x v="661"/>
    <n v="43"/>
    <x v="1"/>
    <s v="Manufacturing Director"/>
    <n v="2"/>
    <n v="4765"/>
    <n v="1"/>
    <n v="4"/>
    <x v="1"/>
    <s v="Active"/>
  </r>
  <r>
    <x v="662"/>
    <n v="20"/>
    <x v="0"/>
    <s v="Sales Representative"/>
    <n v="1"/>
    <n v="2044"/>
    <n v="2"/>
    <n v="2"/>
    <x v="0"/>
    <s v="Resigned"/>
  </r>
  <r>
    <x v="663"/>
    <n v="21"/>
    <x v="1"/>
    <s v="Research Scientist"/>
    <n v="1"/>
    <n v="2693"/>
    <n v="1"/>
    <n v="2"/>
    <x v="0"/>
    <s v="Resigned"/>
  </r>
  <r>
    <x v="664"/>
    <n v="36"/>
    <x v="1"/>
    <s v="Healthcare Representative"/>
    <n v="2"/>
    <n v="6586"/>
    <n v="16"/>
    <n v="2"/>
    <x v="1"/>
    <s v="Active"/>
  </r>
  <r>
    <x v="665"/>
    <n v="47"/>
    <x v="0"/>
    <s v="Sales Representative"/>
    <n v="1"/>
    <n v="3294"/>
    <n v="3"/>
    <n v="2"/>
    <x v="1"/>
    <s v="Active"/>
  </r>
  <r>
    <x v="666"/>
    <n v="22"/>
    <x v="1"/>
    <s v="Manufacturing Director"/>
    <n v="2"/>
    <n v="4171"/>
    <n v="3"/>
    <n v="4"/>
    <x v="0"/>
    <s v="Resigned"/>
  </r>
  <r>
    <x v="667"/>
    <n v="41"/>
    <x v="1"/>
    <s v="Laboratory Technician"/>
    <n v="1"/>
    <n v="2778"/>
    <n v="7"/>
    <n v="2"/>
    <x v="0"/>
    <s v="Resigned"/>
  </r>
  <r>
    <x v="668"/>
    <n v="28"/>
    <x v="1"/>
    <s v="Research Scientist"/>
    <n v="1"/>
    <n v="2377"/>
    <n v="2"/>
    <n v="3"/>
    <x v="1"/>
    <s v="Active"/>
  </r>
  <r>
    <x v="669"/>
    <n v="39"/>
    <x v="1"/>
    <s v="Laboratory Technician"/>
    <n v="1"/>
    <n v="2404"/>
    <n v="2"/>
    <n v="1"/>
    <x v="0"/>
    <s v="Resigned"/>
  </r>
  <r>
    <x v="670"/>
    <n v="27"/>
    <x v="1"/>
    <s v="Research Scientist"/>
    <n v="1"/>
    <n v="2318"/>
    <n v="1"/>
    <n v="3"/>
    <x v="1"/>
    <s v="Active"/>
  </r>
  <r>
    <x v="671"/>
    <n v="34"/>
    <x v="1"/>
    <s v="Laboratory Technician"/>
    <n v="1"/>
    <n v="2008"/>
    <n v="1"/>
    <n v="3"/>
    <x v="1"/>
    <s v="Active"/>
  </r>
  <r>
    <x v="672"/>
    <n v="42"/>
    <x v="0"/>
    <s v="Sales Executive"/>
    <n v="2"/>
    <n v="6244"/>
    <n v="5"/>
    <n v="3"/>
    <x v="1"/>
    <s v="Active"/>
  </r>
  <r>
    <x v="673"/>
    <n v="33"/>
    <x v="1"/>
    <s v="Research Scientist"/>
    <n v="1"/>
    <n v="2799"/>
    <n v="3"/>
    <n v="3"/>
    <x v="1"/>
    <s v="Active"/>
  </r>
  <r>
    <x v="674"/>
    <n v="58"/>
    <x v="1"/>
    <s v="Healthcare Representative"/>
    <n v="3"/>
    <n v="10552"/>
    <n v="6"/>
    <n v="3"/>
    <x v="1"/>
    <s v="Active"/>
  </r>
  <r>
    <x v="675"/>
    <n v="31"/>
    <x v="0"/>
    <s v="Sales Representative"/>
    <n v="1"/>
    <n v="2329"/>
    <n v="7"/>
    <n v="4"/>
    <x v="1"/>
    <s v="Active"/>
  </r>
  <r>
    <x v="676"/>
    <n v="35"/>
    <x v="1"/>
    <s v="Healthcare Representative"/>
    <n v="2"/>
    <n v="4014"/>
    <n v="10"/>
    <n v="1"/>
    <x v="1"/>
    <s v="Active"/>
  </r>
  <r>
    <x v="677"/>
    <n v="49"/>
    <x v="1"/>
    <s v="Laboratory Technician"/>
    <n v="3"/>
    <n v="7403"/>
    <n v="26"/>
    <n v="2"/>
    <x v="1"/>
    <s v="Active"/>
  </r>
  <r>
    <x v="678"/>
    <n v="48"/>
    <x v="1"/>
    <s v="Research Scientist"/>
    <n v="1"/>
    <n v="2259"/>
    <n v="0"/>
    <n v="2"/>
    <x v="1"/>
    <s v="Active"/>
  </r>
  <r>
    <x v="679"/>
    <n v="31"/>
    <x v="0"/>
    <s v="Sales Executive"/>
    <n v="2"/>
    <n v="6932"/>
    <n v="9"/>
    <n v="2"/>
    <x v="1"/>
    <s v="Active"/>
  </r>
  <r>
    <x v="680"/>
    <n v="36"/>
    <x v="1"/>
    <s v="Research Scientist"/>
    <n v="1"/>
    <n v="4678"/>
    <n v="6"/>
    <n v="3"/>
    <x v="1"/>
    <s v="Active"/>
  </r>
  <r>
    <x v="681"/>
    <n v="38"/>
    <x v="1"/>
    <s v="Research Director"/>
    <n v="3"/>
    <n v="13582"/>
    <n v="15"/>
    <n v="3"/>
    <x v="1"/>
    <s v="Active"/>
  </r>
  <r>
    <x v="682"/>
    <n v="32"/>
    <x v="1"/>
    <s v="Laboratory Technician"/>
    <n v="1"/>
    <n v="2332"/>
    <n v="3"/>
    <n v="3"/>
    <x v="1"/>
    <s v="Active"/>
  </r>
  <r>
    <x v="683"/>
    <n v="25"/>
    <x v="0"/>
    <s v="Sales Representative"/>
    <n v="1"/>
    <n v="2413"/>
    <n v="1"/>
    <n v="3"/>
    <x v="0"/>
    <s v="Resigned"/>
  </r>
  <r>
    <x v="684"/>
    <n v="40"/>
    <x v="0"/>
    <s v="Sales Executive"/>
    <n v="3"/>
    <n v="9705"/>
    <n v="1"/>
    <n v="2"/>
    <x v="1"/>
    <s v="Active"/>
  </r>
  <r>
    <x v="685"/>
    <n v="26"/>
    <x v="0"/>
    <s v="Sales Executive"/>
    <n v="2"/>
    <n v="4294"/>
    <n v="7"/>
    <n v="3"/>
    <x v="1"/>
    <s v="Active"/>
  </r>
  <r>
    <x v="686"/>
    <n v="41"/>
    <x v="1"/>
    <s v="Laboratory Technician"/>
    <n v="1"/>
    <n v="4721"/>
    <n v="18"/>
    <n v="3"/>
    <x v="1"/>
    <s v="Active"/>
  </r>
  <r>
    <x v="687"/>
    <n v="36"/>
    <x v="1"/>
    <s v="Laboratory Technician"/>
    <n v="1"/>
    <n v="2519"/>
    <n v="11"/>
    <n v="3"/>
    <x v="1"/>
    <s v="Active"/>
  </r>
  <r>
    <x v="688"/>
    <n v="19"/>
    <x v="0"/>
    <s v="Sales Representative"/>
    <n v="1"/>
    <n v="2121"/>
    <n v="1"/>
    <n v="4"/>
    <x v="0"/>
    <s v="Resigned"/>
  </r>
  <r>
    <x v="689"/>
    <n v="20"/>
    <x v="1"/>
    <s v="Laboratory Technician"/>
    <n v="1"/>
    <n v="2973"/>
    <n v="1"/>
    <n v="3"/>
    <x v="0"/>
    <s v="Resigned"/>
  </r>
  <r>
    <x v="690"/>
    <n v="31"/>
    <x v="1"/>
    <s v="Healthcare Representative"/>
    <n v="2"/>
    <n v="5855"/>
    <n v="9"/>
    <n v="1"/>
    <x v="1"/>
    <s v="Active"/>
  </r>
  <r>
    <x v="691"/>
    <n v="40"/>
    <x v="1"/>
    <s v="Research Scientist"/>
    <n v="1"/>
    <n v="3617"/>
    <n v="1"/>
    <n v="3"/>
    <x v="1"/>
    <s v="Active"/>
  </r>
  <r>
    <x v="692"/>
    <n v="32"/>
    <x v="1"/>
    <s v="Manufacturing Director"/>
    <n v="2"/>
    <n v="6725"/>
    <n v="8"/>
    <n v="4"/>
    <x v="1"/>
    <s v="Active"/>
  </r>
  <r>
    <x v="693"/>
    <n v="36"/>
    <x v="0"/>
    <s v="Sales Executive"/>
    <n v="3"/>
    <n v="10325"/>
    <n v="16"/>
    <n v="3"/>
    <x v="0"/>
    <s v="Resigned"/>
  </r>
  <r>
    <x v="694"/>
    <n v="33"/>
    <x v="1"/>
    <s v="Healthcare Representative"/>
    <n v="2"/>
    <n v="6949"/>
    <n v="5"/>
    <n v="3"/>
    <x v="1"/>
    <s v="Active"/>
  </r>
  <r>
    <x v="695"/>
    <n v="37"/>
    <x v="0"/>
    <s v="Sales Executive"/>
    <n v="3"/>
    <n v="10609"/>
    <n v="14"/>
    <n v="1"/>
    <x v="0"/>
    <s v="Resigned"/>
  </r>
  <r>
    <x v="696"/>
    <n v="45"/>
    <x v="1"/>
    <s v="Laboratory Technician"/>
    <n v="2"/>
    <n v="4447"/>
    <n v="9"/>
    <n v="2"/>
    <x v="1"/>
    <s v="Active"/>
  </r>
  <r>
    <x v="697"/>
    <n v="29"/>
    <x v="0"/>
    <s v="Sales Representative"/>
    <n v="1"/>
    <n v="2157"/>
    <n v="3"/>
    <n v="3"/>
    <x v="1"/>
    <s v="Active"/>
  </r>
  <r>
    <x v="698"/>
    <n v="35"/>
    <x v="0"/>
    <s v="Sales Executive"/>
    <n v="2"/>
    <n v="4601"/>
    <n v="5"/>
    <n v="3"/>
    <x v="1"/>
    <s v="Active"/>
  </r>
  <r>
    <x v="699"/>
    <n v="52"/>
    <x v="1"/>
    <s v="Manager"/>
    <n v="4"/>
    <n v="17099"/>
    <n v="9"/>
    <n v="2"/>
    <x v="1"/>
    <s v="Active"/>
  </r>
  <r>
    <x v="700"/>
    <n v="58"/>
    <x v="1"/>
    <s v="Research Scientist"/>
    <n v="1"/>
    <n v="2479"/>
    <n v="1"/>
    <n v="3"/>
    <x v="0"/>
    <s v="Resigned"/>
  </r>
  <r>
    <x v="701"/>
    <n v="53"/>
    <x v="0"/>
    <s v="Manager"/>
    <n v="4"/>
    <n v="14852"/>
    <n v="17"/>
    <n v="4"/>
    <x v="1"/>
    <s v="Active"/>
  </r>
  <r>
    <x v="702"/>
    <n v="30"/>
    <x v="0"/>
    <s v="Sales Executive"/>
    <n v="3"/>
    <n v="7264"/>
    <n v="8"/>
    <n v="4"/>
    <x v="1"/>
    <s v="Active"/>
  </r>
  <r>
    <x v="703"/>
    <n v="38"/>
    <x v="0"/>
    <s v="Sales Executive"/>
    <n v="2"/>
    <n v="5666"/>
    <n v="5"/>
    <n v="3"/>
    <x v="1"/>
    <s v="Active"/>
  </r>
  <r>
    <x v="704"/>
    <n v="35"/>
    <x v="0"/>
    <s v="Sales Executive"/>
    <n v="3"/>
    <n v="7823"/>
    <n v="10"/>
    <n v="3"/>
    <x v="1"/>
    <s v="Active"/>
  </r>
  <r>
    <x v="705"/>
    <n v="39"/>
    <x v="0"/>
    <s v="Sales Executive"/>
    <n v="3"/>
    <n v="7880"/>
    <n v="8"/>
    <n v="3"/>
    <x v="1"/>
    <s v="Active"/>
  </r>
  <r>
    <x v="706"/>
    <n v="40"/>
    <x v="0"/>
    <s v="Sales Executive"/>
    <n v="4"/>
    <n v="13194"/>
    <n v="1"/>
    <n v="2"/>
    <x v="0"/>
    <s v="Resigned"/>
  </r>
  <r>
    <x v="707"/>
    <n v="47"/>
    <x v="1"/>
    <s v="Manufacturing Director"/>
    <n v="2"/>
    <n v="5067"/>
    <n v="19"/>
    <n v="4"/>
    <x v="1"/>
    <s v="Active"/>
  </r>
  <r>
    <x v="708"/>
    <n v="36"/>
    <x v="0"/>
    <s v="Sales Executive"/>
    <n v="2"/>
    <n v="5079"/>
    <n v="7"/>
    <n v="3"/>
    <x v="1"/>
    <s v="Active"/>
  </r>
  <r>
    <x v="709"/>
    <n v="31"/>
    <x v="1"/>
    <s v="Research Scientist"/>
    <n v="1"/>
    <n v="2321"/>
    <n v="3"/>
    <n v="3"/>
    <x v="0"/>
    <s v="Resigned"/>
  </r>
  <r>
    <x v="710"/>
    <n v="33"/>
    <x v="0"/>
    <s v="Manager"/>
    <n v="4"/>
    <n v="17444"/>
    <n v="10"/>
    <n v="3"/>
    <x v="1"/>
    <s v="Active"/>
  </r>
  <r>
    <x v="711"/>
    <n v="29"/>
    <x v="1"/>
    <s v="Research Scientist"/>
    <n v="1"/>
    <n v="2404"/>
    <n v="0"/>
    <n v="3"/>
    <x v="0"/>
    <s v="Resigned"/>
  </r>
  <r>
    <x v="712"/>
    <n v="33"/>
    <x v="1"/>
    <s v="Research Scientist"/>
    <n v="1"/>
    <n v="3452"/>
    <n v="3"/>
    <n v="3"/>
    <x v="1"/>
    <s v="Active"/>
  </r>
  <r>
    <x v="713"/>
    <n v="45"/>
    <x v="1"/>
    <s v="Laboratory Technician"/>
    <n v="1"/>
    <n v="2270"/>
    <n v="5"/>
    <n v="3"/>
    <x v="1"/>
    <s v="Active"/>
  </r>
  <r>
    <x v="714"/>
    <n v="50"/>
    <x v="1"/>
    <s v="Research Director"/>
    <n v="4"/>
    <n v="17399"/>
    <n v="5"/>
    <n v="2"/>
    <x v="1"/>
    <s v="Active"/>
  </r>
  <r>
    <x v="715"/>
    <n v="33"/>
    <x v="1"/>
    <s v="Healthcare Representative"/>
    <n v="2"/>
    <n v="5488"/>
    <n v="6"/>
    <n v="3"/>
    <x v="1"/>
    <s v="Active"/>
  </r>
  <r>
    <x v="716"/>
    <n v="41"/>
    <x v="1"/>
    <s v="Research Director"/>
    <n v="5"/>
    <n v="19419"/>
    <n v="18"/>
    <n v="4"/>
    <x v="1"/>
    <s v="Active"/>
  </r>
  <r>
    <x v="717"/>
    <n v="27"/>
    <x v="1"/>
    <s v="Laboratory Technician"/>
    <n v="1"/>
    <n v="2811"/>
    <n v="2"/>
    <n v="3"/>
    <x v="1"/>
    <s v="Active"/>
  </r>
  <r>
    <x v="718"/>
    <n v="45"/>
    <x v="1"/>
    <s v="Laboratory Technician"/>
    <n v="2"/>
    <n v="3633"/>
    <n v="9"/>
    <n v="3"/>
    <x v="1"/>
    <s v="Active"/>
  </r>
  <r>
    <x v="719"/>
    <n v="47"/>
    <x v="0"/>
    <s v="Sales Executive"/>
    <n v="2"/>
    <n v="4163"/>
    <n v="9"/>
    <n v="3"/>
    <x v="1"/>
    <s v="Active"/>
  </r>
  <r>
    <x v="720"/>
    <n v="30"/>
    <x v="1"/>
    <s v="Research Scientist"/>
    <n v="1"/>
    <n v="2132"/>
    <n v="5"/>
    <n v="3"/>
    <x v="0"/>
    <s v="Resigned"/>
  </r>
  <r>
    <x v="721"/>
    <n v="50"/>
    <x v="1"/>
    <s v="Manufacturing Director"/>
    <n v="4"/>
    <n v="13973"/>
    <n v="12"/>
    <n v="3"/>
    <x v="1"/>
    <s v="Active"/>
  </r>
  <r>
    <x v="722"/>
    <n v="38"/>
    <x v="1"/>
    <s v="Research Scientist"/>
    <n v="1"/>
    <n v="2684"/>
    <n v="2"/>
    <n v="2"/>
    <x v="1"/>
    <s v="Active"/>
  </r>
  <r>
    <x v="723"/>
    <n v="46"/>
    <x v="1"/>
    <s v="Manufacturing Director"/>
    <n v="3"/>
    <n v="10845"/>
    <n v="8"/>
    <n v="3"/>
    <x v="1"/>
    <s v="Active"/>
  </r>
  <r>
    <x v="724"/>
    <n v="24"/>
    <x v="1"/>
    <s v="Manufacturing Director"/>
    <n v="2"/>
    <n v="4377"/>
    <n v="4"/>
    <n v="3"/>
    <x v="1"/>
    <s v="Active"/>
  </r>
  <r>
    <x v="725"/>
    <n v="35"/>
    <x v="1"/>
    <s v="Laboratory Technician"/>
    <n v="1"/>
    <n v="3743"/>
    <n v="4"/>
    <n v="1"/>
    <x v="0"/>
    <s v="Resigned"/>
  </r>
  <r>
    <x v="726"/>
    <n v="31"/>
    <x v="1"/>
    <s v="Manufacturing Director"/>
    <n v="2"/>
    <n v="4148"/>
    <n v="4"/>
    <n v="3"/>
    <x v="1"/>
    <s v="Active"/>
  </r>
  <r>
    <x v="727"/>
    <n v="18"/>
    <x v="1"/>
    <s v="Research Scientist"/>
    <n v="1"/>
    <n v="1051"/>
    <n v="0"/>
    <n v="3"/>
    <x v="1"/>
    <s v="Active"/>
  </r>
  <r>
    <x v="728"/>
    <n v="54"/>
    <x v="1"/>
    <s v="Manufacturing Director"/>
    <n v="3"/>
    <n v="10739"/>
    <n v="10"/>
    <n v="3"/>
    <x v="1"/>
    <s v="Active"/>
  </r>
  <r>
    <x v="729"/>
    <n v="35"/>
    <x v="1"/>
    <s v="Healthcare Representative"/>
    <n v="3"/>
    <n v="10388"/>
    <n v="16"/>
    <n v="2"/>
    <x v="1"/>
    <s v="Active"/>
  </r>
  <r>
    <x v="730"/>
    <n v="30"/>
    <x v="1"/>
    <s v="Research Director"/>
    <n v="3"/>
    <n v="11416"/>
    <n v="8"/>
    <n v="2"/>
    <x v="1"/>
    <s v="Active"/>
  </r>
  <r>
    <x v="731"/>
    <n v="20"/>
    <x v="1"/>
    <s v="Research Scientist"/>
    <n v="1"/>
    <n v="2600"/>
    <n v="1"/>
    <n v="3"/>
    <x v="0"/>
    <s v="Resigned"/>
  </r>
  <r>
    <x v="732"/>
    <n v="30"/>
    <x v="1"/>
    <s v="Laboratory Technician"/>
    <n v="1"/>
    <n v="2422"/>
    <n v="3"/>
    <n v="3"/>
    <x v="0"/>
    <s v="Resigned"/>
  </r>
  <r>
    <x v="733"/>
    <n v="26"/>
    <x v="1"/>
    <s v="Manufacturing Director"/>
    <n v="2"/>
    <n v="5472"/>
    <n v="8"/>
    <n v="3"/>
    <x v="1"/>
    <s v="Active"/>
  </r>
  <r>
    <x v="734"/>
    <n v="22"/>
    <x v="1"/>
    <s v="Laboratory Technician"/>
    <n v="1"/>
    <n v="2451"/>
    <n v="4"/>
    <n v="2"/>
    <x v="1"/>
    <s v="Active"/>
  </r>
  <r>
    <x v="735"/>
    <n v="48"/>
    <x v="1"/>
    <s v="Healthcare Representative"/>
    <n v="2"/>
    <n v="4240"/>
    <n v="2"/>
    <n v="3"/>
    <x v="1"/>
    <s v="Active"/>
  </r>
  <r>
    <x v="736"/>
    <n v="48"/>
    <x v="1"/>
    <s v="Healthcare Representative"/>
    <n v="3"/>
    <n v="10999"/>
    <n v="15"/>
    <n v="3"/>
    <x v="1"/>
    <s v="Active"/>
  </r>
  <r>
    <x v="737"/>
    <n v="41"/>
    <x v="1"/>
    <s v="Manufacturing Director"/>
    <n v="2"/>
    <n v="5003"/>
    <n v="2"/>
    <n v="3"/>
    <x v="1"/>
    <s v="Active"/>
  </r>
  <r>
    <x v="738"/>
    <n v="39"/>
    <x v="1"/>
    <s v="Manufacturing Director"/>
    <n v="4"/>
    <n v="12742"/>
    <n v="21"/>
    <n v="3"/>
    <x v="1"/>
    <s v="Active"/>
  </r>
  <r>
    <x v="739"/>
    <n v="27"/>
    <x v="1"/>
    <s v="Manufacturing Director"/>
    <n v="2"/>
    <n v="4227"/>
    <n v="3"/>
    <n v="3"/>
    <x v="1"/>
    <s v="Active"/>
  </r>
  <r>
    <x v="740"/>
    <n v="35"/>
    <x v="1"/>
    <s v="Laboratory Technician"/>
    <n v="1"/>
    <n v="3917"/>
    <n v="3"/>
    <n v="2"/>
    <x v="1"/>
    <s v="Active"/>
  </r>
  <r>
    <x v="741"/>
    <n v="42"/>
    <x v="0"/>
    <s v="Manager"/>
    <n v="5"/>
    <n v="18303"/>
    <n v="1"/>
    <n v="4"/>
    <x v="1"/>
    <s v="Active"/>
  </r>
  <r>
    <x v="742"/>
    <n v="50"/>
    <x v="1"/>
    <s v="Laboratory Technician"/>
    <n v="1"/>
    <n v="2380"/>
    <n v="1"/>
    <n v="3"/>
    <x v="1"/>
    <s v="Active"/>
  </r>
  <r>
    <x v="743"/>
    <n v="59"/>
    <x v="1"/>
    <s v="Manufacturing Director"/>
    <n v="4"/>
    <n v="13726"/>
    <n v="5"/>
    <n v="3"/>
    <x v="1"/>
    <s v="Active"/>
  </r>
  <r>
    <x v="744"/>
    <n v="37"/>
    <x v="1"/>
    <s v="Healthcare Representative"/>
    <n v="2"/>
    <n v="4777"/>
    <n v="1"/>
    <n v="1"/>
    <x v="0"/>
    <s v="Resigned"/>
  </r>
  <r>
    <x v="745"/>
    <n v="55"/>
    <x v="1"/>
    <s v="Healthcare Representative"/>
    <n v="2"/>
    <n v="6385"/>
    <n v="8"/>
    <n v="3"/>
    <x v="1"/>
    <s v="Active"/>
  </r>
  <r>
    <x v="746"/>
    <n v="41"/>
    <x v="1"/>
    <s v="Research Director"/>
    <n v="5"/>
    <n v="19973"/>
    <n v="21"/>
    <n v="3"/>
    <x v="1"/>
    <s v="Active"/>
  </r>
  <r>
    <x v="747"/>
    <n v="38"/>
    <x v="0"/>
    <s v="Sales Executive"/>
    <n v="2"/>
    <n v="6861"/>
    <n v="1"/>
    <n v="3"/>
    <x v="1"/>
    <s v="Active"/>
  </r>
  <r>
    <x v="748"/>
    <n v="26"/>
    <x v="0"/>
    <s v="Sales Executive"/>
    <n v="2"/>
    <n v="4969"/>
    <n v="2"/>
    <n v="3"/>
    <x v="0"/>
    <s v="Resigned"/>
  </r>
  <r>
    <x v="749"/>
    <n v="52"/>
    <x v="0"/>
    <s v="Manager"/>
    <n v="5"/>
    <n v="19845"/>
    <n v="32"/>
    <n v="3"/>
    <x v="0"/>
    <s v="Resigned"/>
  </r>
  <r>
    <x v="750"/>
    <n v="44"/>
    <x v="0"/>
    <s v="Sales Executive"/>
    <n v="4"/>
    <n v="13320"/>
    <n v="12"/>
    <n v="3"/>
    <x v="1"/>
    <s v="Active"/>
  </r>
  <r>
    <x v="751"/>
    <n v="50"/>
    <x v="0"/>
    <s v="Sales Executive"/>
    <n v="2"/>
    <n v="6347"/>
    <n v="18"/>
    <n v="3"/>
    <x v="1"/>
    <s v="Active"/>
  </r>
  <r>
    <x v="752"/>
    <n v="36"/>
    <x v="1"/>
    <s v="Laboratory Technician"/>
    <n v="1"/>
    <n v="2743"/>
    <n v="17"/>
    <n v="3"/>
    <x v="0"/>
    <s v="Resigned"/>
  </r>
  <r>
    <x v="753"/>
    <n v="39"/>
    <x v="1"/>
    <s v="Manufacturing Director"/>
    <n v="3"/>
    <n v="10880"/>
    <n v="21"/>
    <n v="3"/>
    <x v="1"/>
    <s v="Active"/>
  </r>
  <r>
    <x v="754"/>
    <n v="33"/>
    <x v="0"/>
    <s v="Sales Representative"/>
    <n v="1"/>
    <n v="2342"/>
    <n v="2"/>
    <n v="2"/>
    <x v="1"/>
    <s v="Active"/>
  </r>
  <r>
    <x v="755"/>
    <n v="45"/>
    <x v="0"/>
    <s v="Manager"/>
    <n v="4"/>
    <n v="17650"/>
    <n v="9"/>
    <n v="4"/>
    <x v="1"/>
    <s v="Active"/>
  </r>
  <r>
    <x v="756"/>
    <n v="32"/>
    <x v="1"/>
    <s v="Laboratory Technician"/>
    <n v="1"/>
    <n v="4025"/>
    <n v="8"/>
    <n v="3"/>
    <x v="1"/>
    <s v="Active"/>
  </r>
  <r>
    <x v="757"/>
    <n v="34"/>
    <x v="0"/>
    <s v="Sales Executive"/>
    <n v="2"/>
    <n v="9725"/>
    <n v="15"/>
    <n v="2"/>
    <x v="1"/>
    <s v="Active"/>
  </r>
  <r>
    <x v="758"/>
    <n v="59"/>
    <x v="0"/>
    <s v="Manager"/>
    <n v="3"/>
    <n v="11904"/>
    <n v="6"/>
    <n v="1"/>
    <x v="1"/>
    <s v="Active"/>
  </r>
  <r>
    <x v="759"/>
    <n v="45"/>
    <x v="2"/>
    <s v="Human Resources"/>
    <n v="1"/>
    <n v="2177"/>
    <n v="6"/>
    <n v="3"/>
    <x v="1"/>
    <s v="Active"/>
  </r>
  <r>
    <x v="760"/>
    <n v="53"/>
    <x v="0"/>
    <s v="Sales Executive"/>
    <n v="3"/>
    <n v="7525"/>
    <n v="15"/>
    <n v="3"/>
    <x v="1"/>
    <s v="Active"/>
  </r>
  <r>
    <x v="761"/>
    <n v="36"/>
    <x v="1"/>
    <s v="Laboratory Technician"/>
    <n v="2"/>
    <n v="4834"/>
    <n v="1"/>
    <n v="2"/>
    <x v="0"/>
    <s v="Resigned"/>
  </r>
  <r>
    <x v="762"/>
    <n v="26"/>
    <x v="1"/>
    <s v="Research Scientist"/>
    <n v="1"/>
    <n v="2042"/>
    <n v="3"/>
    <n v="3"/>
    <x v="0"/>
    <s v="Resigned"/>
  </r>
  <r>
    <x v="763"/>
    <n v="34"/>
    <x v="0"/>
    <s v="Sales Representative"/>
    <n v="1"/>
    <n v="2220"/>
    <n v="1"/>
    <n v="3"/>
    <x v="1"/>
    <s v="Active"/>
  </r>
  <r>
    <x v="764"/>
    <n v="28"/>
    <x v="0"/>
    <s v="Sales Representative"/>
    <n v="1"/>
    <n v="1052"/>
    <n v="1"/>
    <n v="3"/>
    <x v="1"/>
    <s v="Active"/>
  </r>
  <r>
    <x v="765"/>
    <n v="38"/>
    <x v="1"/>
    <s v="Research Scientist"/>
    <n v="1"/>
    <n v="2821"/>
    <n v="2"/>
    <n v="3"/>
    <x v="1"/>
    <s v="Active"/>
  </r>
  <r>
    <x v="766"/>
    <n v="50"/>
    <x v="1"/>
    <s v="Research Director"/>
    <n v="5"/>
    <n v="19237"/>
    <n v="8"/>
    <n v="2"/>
    <x v="1"/>
    <s v="Active"/>
  </r>
  <r>
    <x v="767"/>
    <n v="37"/>
    <x v="1"/>
    <s v="Healthcare Representative"/>
    <n v="2"/>
    <n v="4107"/>
    <n v="4"/>
    <n v="2"/>
    <x v="1"/>
    <s v="Active"/>
  </r>
  <r>
    <x v="768"/>
    <n v="40"/>
    <x v="0"/>
    <s v="Sales Executive"/>
    <n v="2"/>
    <n v="8396"/>
    <n v="7"/>
    <n v="2"/>
    <x v="1"/>
    <s v="Active"/>
  </r>
  <r>
    <x v="769"/>
    <n v="26"/>
    <x v="1"/>
    <s v="Research Scientist"/>
    <n v="1"/>
    <n v="2007"/>
    <n v="5"/>
    <n v="3"/>
    <x v="1"/>
    <s v="Active"/>
  </r>
  <r>
    <x v="770"/>
    <n v="46"/>
    <x v="1"/>
    <s v="Research Director"/>
    <n v="5"/>
    <n v="19627"/>
    <n v="2"/>
    <n v="3"/>
    <x v="1"/>
    <s v="Active"/>
  </r>
  <r>
    <x v="771"/>
    <n v="54"/>
    <x v="0"/>
    <s v="Sales Executive"/>
    <n v="3"/>
    <n v="10686"/>
    <n v="9"/>
    <n v="3"/>
    <x v="1"/>
    <s v="Active"/>
  </r>
  <r>
    <x v="772"/>
    <n v="56"/>
    <x v="1"/>
    <s v="Research Scientist"/>
    <n v="1"/>
    <n v="2942"/>
    <n v="5"/>
    <n v="3"/>
    <x v="1"/>
    <s v="Active"/>
  </r>
  <r>
    <x v="773"/>
    <n v="36"/>
    <x v="1"/>
    <s v="Manufacturing Director"/>
    <n v="3"/>
    <n v="8858"/>
    <n v="14"/>
    <n v="2"/>
    <x v="1"/>
    <s v="Active"/>
  </r>
  <r>
    <x v="774"/>
    <n v="55"/>
    <x v="1"/>
    <s v="Manager"/>
    <n v="4"/>
    <n v="16756"/>
    <n v="9"/>
    <n v="4"/>
    <x v="1"/>
    <s v="Active"/>
  </r>
  <r>
    <x v="775"/>
    <n v="43"/>
    <x v="0"/>
    <s v="Sales Executive"/>
    <n v="3"/>
    <n v="10798"/>
    <n v="1"/>
    <n v="3"/>
    <x v="1"/>
    <s v="Active"/>
  </r>
  <r>
    <x v="776"/>
    <n v="20"/>
    <x v="0"/>
    <s v="Sales Representative"/>
    <n v="1"/>
    <n v="2323"/>
    <n v="2"/>
    <n v="3"/>
    <x v="0"/>
    <s v="Resigned"/>
  </r>
  <r>
    <x v="777"/>
    <n v="21"/>
    <x v="1"/>
    <s v="Laboratory Technician"/>
    <n v="1"/>
    <n v="1416"/>
    <n v="1"/>
    <n v="2"/>
    <x v="0"/>
    <s v="Resigned"/>
  </r>
  <r>
    <x v="778"/>
    <n v="46"/>
    <x v="1"/>
    <s v="Research Scientist"/>
    <n v="2"/>
    <n v="4615"/>
    <n v="16"/>
    <n v="3"/>
    <x v="1"/>
    <s v="Active"/>
  </r>
  <r>
    <x v="779"/>
    <n v="51"/>
    <x v="1"/>
    <s v="Research Scientist"/>
    <n v="1"/>
    <n v="2461"/>
    <n v="10"/>
    <n v="4"/>
    <x v="0"/>
    <s v="Resigned"/>
  </r>
  <r>
    <x v="780"/>
    <n v="28"/>
    <x v="1"/>
    <s v="Healthcare Representative"/>
    <n v="3"/>
    <n v="8722"/>
    <n v="10"/>
    <n v="2"/>
    <x v="0"/>
    <s v="Resigned"/>
  </r>
  <r>
    <x v="781"/>
    <n v="26"/>
    <x v="1"/>
    <s v="Laboratory Technician"/>
    <n v="1"/>
    <n v="3955"/>
    <n v="5"/>
    <n v="3"/>
    <x v="1"/>
    <s v="Active"/>
  </r>
  <r>
    <x v="782"/>
    <n v="30"/>
    <x v="1"/>
    <s v="Manufacturing Director"/>
    <n v="2"/>
    <n v="9957"/>
    <n v="6"/>
    <n v="2"/>
    <x v="1"/>
    <s v="Active"/>
  </r>
  <r>
    <x v="783"/>
    <n v="41"/>
    <x v="1"/>
    <s v="Research Scientist"/>
    <n v="1"/>
    <n v="3376"/>
    <n v="10"/>
    <n v="3"/>
    <x v="1"/>
    <s v="Active"/>
  </r>
  <r>
    <x v="784"/>
    <n v="38"/>
    <x v="1"/>
    <s v="Healthcare Representative"/>
    <n v="3"/>
    <n v="8823"/>
    <n v="19"/>
    <n v="2"/>
    <x v="1"/>
    <s v="Active"/>
  </r>
  <r>
    <x v="785"/>
    <n v="40"/>
    <x v="1"/>
    <s v="Healthcare Representative"/>
    <n v="3"/>
    <n v="10322"/>
    <n v="11"/>
    <n v="3"/>
    <x v="1"/>
    <s v="Active"/>
  </r>
  <r>
    <x v="786"/>
    <n v="27"/>
    <x v="1"/>
    <s v="Laboratory Technician"/>
    <n v="1"/>
    <n v="4621"/>
    <n v="3"/>
    <n v="3"/>
    <x v="1"/>
    <s v="Active"/>
  </r>
  <r>
    <x v="787"/>
    <n v="55"/>
    <x v="1"/>
    <s v="Manufacturing Director"/>
    <n v="3"/>
    <n v="10976"/>
    <n v="3"/>
    <n v="3"/>
    <x v="1"/>
    <s v="Active"/>
  </r>
  <r>
    <x v="788"/>
    <n v="28"/>
    <x v="1"/>
    <s v="Research Scientist"/>
    <n v="2"/>
    <n v="3660"/>
    <n v="8"/>
    <n v="4"/>
    <x v="1"/>
    <s v="Active"/>
  </r>
  <r>
    <x v="789"/>
    <n v="44"/>
    <x v="2"/>
    <s v="Human Resources"/>
    <n v="3"/>
    <n v="10482"/>
    <n v="20"/>
    <n v="3"/>
    <x v="0"/>
    <s v="Resigned"/>
  </r>
  <r>
    <x v="790"/>
    <n v="33"/>
    <x v="1"/>
    <s v="Healthcare Representative"/>
    <n v="3"/>
    <n v="7119"/>
    <n v="3"/>
    <n v="3"/>
    <x v="1"/>
    <s v="Active"/>
  </r>
  <r>
    <x v="791"/>
    <n v="35"/>
    <x v="0"/>
    <s v="Sales Executive"/>
    <n v="3"/>
    <n v="9582"/>
    <n v="8"/>
    <n v="3"/>
    <x v="0"/>
    <s v="Resigned"/>
  </r>
  <r>
    <x v="792"/>
    <n v="33"/>
    <x v="1"/>
    <s v="Research Scientist"/>
    <n v="2"/>
    <n v="4508"/>
    <n v="13"/>
    <n v="3"/>
    <x v="0"/>
    <s v="Resigned"/>
  </r>
  <r>
    <x v="793"/>
    <n v="28"/>
    <x v="1"/>
    <s v="Laboratory Technician"/>
    <n v="1"/>
    <n v="2207"/>
    <n v="4"/>
    <n v="2"/>
    <x v="1"/>
    <s v="Active"/>
  </r>
  <r>
    <x v="794"/>
    <n v="34"/>
    <x v="1"/>
    <s v="Healthcare Representative"/>
    <n v="2"/>
    <n v="7756"/>
    <n v="6"/>
    <n v="2"/>
    <x v="1"/>
    <s v="Active"/>
  </r>
  <r>
    <x v="795"/>
    <n v="37"/>
    <x v="0"/>
    <s v="Sales Executive"/>
    <n v="2"/>
    <n v="6694"/>
    <n v="1"/>
    <n v="3"/>
    <x v="1"/>
    <s v="Active"/>
  </r>
  <r>
    <x v="796"/>
    <n v="25"/>
    <x v="1"/>
    <s v="Laboratory Technician"/>
    <n v="1"/>
    <n v="3691"/>
    <n v="7"/>
    <n v="4"/>
    <x v="0"/>
    <s v="Resigned"/>
  </r>
  <r>
    <x v="797"/>
    <n v="26"/>
    <x v="1"/>
    <s v="Laboratory Technician"/>
    <n v="1"/>
    <n v="2377"/>
    <n v="1"/>
    <n v="2"/>
    <x v="0"/>
    <s v="Resigned"/>
  </r>
  <r>
    <x v="798"/>
    <n v="33"/>
    <x v="1"/>
    <s v="Research Scientist"/>
    <n v="1"/>
    <n v="2313"/>
    <n v="2"/>
    <n v="3"/>
    <x v="0"/>
    <s v="Resigned"/>
  </r>
  <r>
    <x v="799"/>
    <n v="42"/>
    <x v="1"/>
    <s v="Manager"/>
    <n v="4"/>
    <n v="17665"/>
    <n v="22"/>
    <n v="3"/>
    <x v="1"/>
    <s v="Active"/>
  </r>
  <r>
    <x v="800"/>
    <n v="28"/>
    <x v="1"/>
    <s v="Laboratory Technician"/>
    <n v="1"/>
    <n v="2596"/>
    <n v="1"/>
    <n v="3"/>
    <x v="0"/>
    <s v="Resigned"/>
  </r>
  <r>
    <x v="801"/>
    <n v="50"/>
    <x v="0"/>
    <s v="Sales Executive"/>
    <n v="2"/>
    <n v="4728"/>
    <n v="0"/>
    <n v="3"/>
    <x v="0"/>
    <s v="Resigned"/>
  </r>
  <r>
    <x v="802"/>
    <n v="33"/>
    <x v="0"/>
    <s v="Sales Executive"/>
    <n v="2"/>
    <n v="4302"/>
    <n v="3"/>
    <n v="3"/>
    <x v="1"/>
    <s v="Active"/>
  </r>
  <r>
    <x v="803"/>
    <n v="34"/>
    <x v="1"/>
    <s v="Research Scientist"/>
    <n v="1"/>
    <n v="2979"/>
    <n v="0"/>
    <n v="3"/>
    <x v="1"/>
    <s v="Active"/>
  </r>
  <r>
    <x v="804"/>
    <n v="48"/>
    <x v="1"/>
    <s v="Manager"/>
    <n v="4"/>
    <n v="16885"/>
    <n v="5"/>
    <n v="2"/>
    <x v="1"/>
    <s v="Active"/>
  </r>
  <r>
    <x v="805"/>
    <n v="45"/>
    <x v="0"/>
    <s v="Sales Executive"/>
    <n v="2"/>
    <n v="5593"/>
    <n v="15"/>
    <n v="3"/>
    <x v="1"/>
    <s v="Active"/>
  </r>
  <r>
    <x v="806"/>
    <n v="52"/>
    <x v="1"/>
    <s v="Healthcare Representative"/>
    <n v="3"/>
    <n v="10445"/>
    <n v="8"/>
    <n v="3"/>
    <x v="1"/>
    <s v="Active"/>
  </r>
  <r>
    <x v="807"/>
    <n v="38"/>
    <x v="0"/>
    <s v="Sales Executive"/>
    <n v="3"/>
    <n v="8740"/>
    <n v="8"/>
    <n v="3"/>
    <x v="1"/>
    <s v="Active"/>
  </r>
  <r>
    <x v="808"/>
    <n v="29"/>
    <x v="1"/>
    <s v="Research Scientist"/>
    <n v="1"/>
    <n v="2514"/>
    <n v="7"/>
    <n v="3"/>
    <x v="1"/>
    <s v="Active"/>
  </r>
  <r>
    <x v="809"/>
    <n v="28"/>
    <x v="1"/>
    <s v="Manufacturing Director"/>
    <n v="3"/>
    <n v="7655"/>
    <n v="9"/>
    <n v="2"/>
    <x v="1"/>
    <s v="Active"/>
  </r>
  <r>
    <x v="810"/>
    <n v="46"/>
    <x v="0"/>
    <s v="Manager"/>
    <n v="4"/>
    <n v="17465"/>
    <n v="12"/>
    <n v="3"/>
    <x v="1"/>
    <s v="Active"/>
  </r>
  <r>
    <x v="811"/>
    <n v="38"/>
    <x v="0"/>
    <s v="Sales Executive"/>
    <n v="3"/>
    <n v="7351"/>
    <n v="1"/>
    <n v="3"/>
    <x v="1"/>
    <s v="Active"/>
  </r>
  <r>
    <x v="812"/>
    <n v="43"/>
    <x v="1"/>
    <s v="Manufacturing Director"/>
    <n v="3"/>
    <n v="10820"/>
    <n v="8"/>
    <n v="3"/>
    <x v="1"/>
    <s v="Active"/>
  </r>
  <r>
    <x v="813"/>
    <n v="39"/>
    <x v="1"/>
    <s v="Healthcare Representative"/>
    <n v="4"/>
    <n v="12169"/>
    <n v="18"/>
    <n v="3"/>
    <x v="0"/>
    <s v="Resigned"/>
  </r>
  <r>
    <x v="814"/>
    <n v="40"/>
    <x v="1"/>
    <s v="Research Director"/>
    <n v="5"/>
    <n v="19626"/>
    <n v="20"/>
    <n v="4"/>
    <x v="1"/>
    <s v="Active"/>
  </r>
  <r>
    <x v="815"/>
    <n v="21"/>
    <x v="1"/>
    <s v="Research Scientist"/>
    <n v="1"/>
    <n v="2070"/>
    <n v="2"/>
    <n v="4"/>
    <x v="1"/>
    <s v="Active"/>
  </r>
  <r>
    <x v="816"/>
    <n v="39"/>
    <x v="1"/>
    <s v="Laboratory Technician"/>
    <n v="2"/>
    <n v="6782"/>
    <n v="5"/>
    <n v="2"/>
    <x v="1"/>
    <s v="Active"/>
  </r>
  <r>
    <x v="817"/>
    <n v="36"/>
    <x v="1"/>
    <s v="Manufacturing Director"/>
    <n v="2"/>
    <n v="7779"/>
    <n v="11"/>
    <n v="3"/>
    <x v="1"/>
    <s v="Active"/>
  </r>
  <r>
    <x v="818"/>
    <n v="31"/>
    <x v="0"/>
    <s v="Sales Representative"/>
    <n v="1"/>
    <n v="2791"/>
    <n v="2"/>
    <n v="3"/>
    <x v="1"/>
    <s v="Active"/>
  </r>
  <r>
    <x v="819"/>
    <n v="28"/>
    <x v="1"/>
    <s v="Research Scientist"/>
    <n v="1"/>
    <n v="3201"/>
    <n v="5"/>
    <n v="1"/>
    <x v="1"/>
    <s v="Active"/>
  </r>
  <r>
    <x v="820"/>
    <n v="35"/>
    <x v="0"/>
    <s v="Sales Executive"/>
    <n v="2"/>
    <n v="4968"/>
    <n v="5"/>
    <n v="3"/>
    <x v="1"/>
    <s v="Active"/>
  </r>
  <r>
    <x v="821"/>
    <n v="49"/>
    <x v="0"/>
    <s v="Sales Executive"/>
    <n v="4"/>
    <n v="13120"/>
    <n v="9"/>
    <n v="3"/>
    <x v="1"/>
    <s v="Active"/>
  </r>
  <r>
    <x v="822"/>
    <n v="34"/>
    <x v="1"/>
    <s v="Manufacturing Director"/>
    <n v="2"/>
    <n v="4033"/>
    <n v="3"/>
    <n v="2"/>
    <x v="1"/>
    <s v="Active"/>
  </r>
  <r>
    <x v="823"/>
    <n v="29"/>
    <x v="1"/>
    <s v="Research Scientist"/>
    <n v="1"/>
    <n v="3291"/>
    <n v="7"/>
    <n v="2"/>
    <x v="1"/>
    <s v="Active"/>
  </r>
  <r>
    <x v="824"/>
    <n v="42"/>
    <x v="1"/>
    <s v="Laboratory Technician"/>
    <n v="2"/>
    <n v="4272"/>
    <n v="1"/>
    <n v="3"/>
    <x v="1"/>
    <s v="Active"/>
  </r>
  <r>
    <x v="825"/>
    <n v="29"/>
    <x v="1"/>
    <s v="Manufacturing Director"/>
    <n v="2"/>
    <n v="5056"/>
    <n v="10"/>
    <n v="2"/>
    <x v="1"/>
    <s v="Active"/>
  </r>
  <r>
    <x v="826"/>
    <n v="38"/>
    <x v="2"/>
    <s v="Human Resources"/>
    <n v="1"/>
    <n v="2844"/>
    <n v="7"/>
    <n v="4"/>
    <x v="1"/>
    <s v="Active"/>
  </r>
  <r>
    <x v="827"/>
    <n v="28"/>
    <x v="1"/>
    <s v="Research Scientist"/>
    <n v="1"/>
    <n v="2703"/>
    <n v="3"/>
    <n v="3"/>
    <x v="1"/>
    <s v="Active"/>
  </r>
  <r>
    <x v="828"/>
    <n v="18"/>
    <x v="1"/>
    <s v="Laboratory Technician"/>
    <n v="1"/>
    <n v="1904"/>
    <n v="0"/>
    <n v="3"/>
    <x v="0"/>
    <s v="Resigned"/>
  </r>
  <r>
    <x v="829"/>
    <n v="33"/>
    <x v="0"/>
    <s v="Sales Executive"/>
    <n v="2"/>
    <n v="8224"/>
    <n v="5"/>
    <n v="3"/>
    <x v="0"/>
    <s v="Resigned"/>
  </r>
  <r>
    <x v="830"/>
    <n v="41"/>
    <x v="1"/>
    <s v="Laboratory Technician"/>
    <n v="1"/>
    <n v="4766"/>
    <n v="1"/>
    <n v="3"/>
    <x v="1"/>
    <s v="Active"/>
  </r>
  <r>
    <x v="831"/>
    <n v="31"/>
    <x v="1"/>
    <s v="Laboratory Technician"/>
    <n v="1"/>
    <n v="2610"/>
    <n v="2"/>
    <n v="2"/>
    <x v="0"/>
    <s v="Resigned"/>
  </r>
  <r>
    <x v="832"/>
    <n v="37"/>
    <x v="1"/>
    <s v="Healthcare Representative"/>
    <n v="2"/>
    <n v="5731"/>
    <n v="6"/>
    <n v="3"/>
    <x v="1"/>
    <s v="Active"/>
  </r>
  <r>
    <x v="833"/>
    <n v="27"/>
    <x v="1"/>
    <s v="Research Scientist"/>
    <n v="1"/>
    <n v="2539"/>
    <n v="4"/>
    <n v="3"/>
    <x v="1"/>
    <s v="Active"/>
  </r>
  <r>
    <x v="834"/>
    <n v="34"/>
    <x v="0"/>
    <s v="Sales Executive"/>
    <n v="2"/>
    <n v="5714"/>
    <n v="6"/>
    <n v="2"/>
    <x v="1"/>
    <s v="Active"/>
  </r>
  <r>
    <x v="835"/>
    <n v="35"/>
    <x v="2"/>
    <s v="Human Resources"/>
    <n v="1"/>
    <n v="4323"/>
    <n v="5"/>
    <n v="1"/>
    <x v="1"/>
    <s v="Active"/>
  </r>
  <r>
    <x v="836"/>
    <n v="29"/>
    <x v="0"/>
    <s v="Sales Executive"/>
    <n v="3"/>
    <n v="7336"/>
    <n v="11"/>
    <n v="1"/>
    <x v="0"/>
    <s v="Resigned"/>
  </r>
  <r>
    <x v="837"/>
    <n v="40"/>
    <x v="1"/>
    <s v="Research Director"/>
    <n v="3"/>
    <n v="13499"/>
    <n v="18"/>
    <n v="2"/>
    <x v="1"/>
    <s v="Active"/>
  </r>
  <r>
    <x v="838"/>
    <n v="42"/>
    <x v="0"/>
    <s v="Sales Executive"/>
    <n v="4"/>
    <n v="13758"/>
    <n v="21"/>
    <n v="2"/>
    <x v="0"/>
    <s v="Resigned"/>
  </r>
  <r>
    <x v="839"/>
    <n v="42"/>
    <x v="0"/>
    <s v="Sales Executive"/>
    <n v="2"/>
    <n v="5155"/>
    <n v="6"/>
    <n v="4"/>
    <x v="1"/>
    <s v="Active"/>
  </r>
  <r>
    <x v="840"/>
    <n v="35"/>
    <x v="1"/>
    <s v="Laboratory Technician"/>
    <n v="1"/>
    <n v="2258"/>
    <n v="8"/>
    <n v="3"/>
    <x v="1"/>
    <s v="Active"/>
  </r>
  <r>
    <x v="841"/>
    <n v="24"/>
    <x v="1"/>
    <s v="Laboratory Technician"/>
    <n v="1"/>
    <n v="3597"/>
    <n v="4"/>
    <n v="3"/>
    <x v="1"/>
    <s v="Active"/>
  </r>
  <r>
    <x v="842"/>
    <n v="28"/>
    <x v="1"/>
    <s v="Laboratory Technician"/>
    <n v="1"/>
    <n v="2515"/>
    <n v="1"/>
    <n v="2"/>
    <x v="0"/>
    <s v="Resigned"/>
  </r>
  <r>
    <x v="843"/>
    <n v="26"/>
    <x v="1"/>
    <s v="Laboratory Technician"/>
    <n v="1"/>
    <n v="4420"/>
    <n v="8"/>
    <n v="3"/>
    <x v="1"/>
    <s v="Active"/>
  </r>
  <r>
    <x v="844"/>
    <n v="30"/>
    <x v="0"/>
    <s v="Sales Executive"/>
    <n v="2"/>
    <n v="6578"/>
    <n v="10"/>
    <n v="3"/>
    <x v="1"/>
    <s v="Active"/>
  </r>
  <r>
    <x v="845"/>
    <n v="40"/>
    <x v="1"/>
    <s v="Research Scientist"/>
    <n v="2"/>
    <n v="4422"/>
    <n v="1"/>
    <n v="1"/>
    <x v="1"/>
    <s v="Active"/>
  </r>
  <r>
    <x v="846"/>
    <n v="35"/>
    <x v="1"/>
    <s v="Manufacturing Director"/>
    <n v="3"/>
    <n v="10274"/>
    <n v="7"/>
    <n v="4"/>
    <x v="1"/>
    <s v="Active"/>
  </r>
  <r>
    <x v="847"/>
    <n v="34"/>
    <x v="1"/>
    <s v="Healthcare Representative"/>
    <n v="2"/>
    <n v="5343"/>
    <n v="13"/>
    <n v="3"/>
    <x v="1"/>
    <s v="Active"/>
  </r>
  <r>
    <x v="848"/>
    <n v="35"/>
    <x v="1"/>
    <s v="Laboratory Technician"/>
    <n v="1"/>
    <n v="2376"/>
    <n v="2"/>
    <n v="4"/>
    <x v="1"/>
    <s v="Active"/>
  </r>
  <r>
    <x v="849"/>
    <n v="43"/>
    <x v="0"/>
    <s v="Sales Executive"/>
    <n v="2"/>
    <n v="5346"/>
    <n v="4"/>
    <n v="2"/>
    <x v="0"/>
    <s v="Resigned"/>
  </r>
  <r>
    <x v="850"/>
    <n v="32"/>
    <x v="0"/>
    <s v="Sales Representative"/>
    <n v="1"/>
    <n v="2827"/>
    <n v="1"/>
    <n v="3"/>
    <x v="1"/>
    <s v="Active"/>
  </r>
  <r>
    <x v="851"/>
    <n v="56"/>
    <x v="1"/>
    <s v="Manager"/>
    <n v="5"/>
    <n v="19943"/>
    <n v="5"/>
    <n v="3"/>
    <x v="1"/>
    <s v="Active"/>
  </r>
  <r>
    <x v="852"/>
    <n v="29"/>
    <x v="1"/>
    <s v="Laboratory Technician"/>
    <n v="1"/>
    <n v="3131"/>
    <n v="10"/>
    <n v="3"/>
    <x v="1"/>
    <s v="Active"/>
  </r>
  <r>
    <x v="853"/>
    <n v="19"/>
    <x v="1"/>
    <s v="Research Scientist"/>
    <n v="1"/>
    <n v="2552"/>
    <n v="1"/>
    <n v="3"/>
    <x v="1"/>
    <s v="Active"/>
  </r>
  <r>
    <x v="854"/>
    <n v="45"/>
    <x v="1"/>
    <s v="Research Scientist"/>
    <n v="1"/>
    <n v="4477"/>
    <n v="3"/>
    <n v="2"/>
    <x v="1"/>
    <s v="Active"/>
  </r>
  <r>
    <x v="855"/>
    <n v="37"/>
    <x v="1"/>
    <s v="Manufacturing Director"/>
    <n v="2"/>
    <n v="6474"/>
    <n v="14"/>
    <n v="2"/>
    <x v="1"/>
    <s v="Active"/>
  </r>
  <r>
    <x v="856"/>
    <n v="20"/>
    <x v="1"/>
    <s v="Laboratory Technician"/>
    <n v="1"/>
    <n v="3033"/>
    <n v="2"/>
    <n v="2"/>
    <x v="1"/>
    <s v="Active"/>
  </r>
  <r>
    <x v="857"/>
    <n v="44"/>
    <x v="1"/>
    <s v="Research Scientist"/>
    <n v="1"/>
    <n v="2936"/>
    <n v="6"/>
    <n v="3"/>
    <x v="0"/>
    <s v="Resigned"/>
  </r>
  <r>
    <x v="858"/>
    <n v="53"/>
    <x v="1"/>
    <s v="Manager"/>
    <n v="5"/>
    <n v="18606"/>
    <n v="7"/>
    <n v="3"/>
    <x v="1"/>
    <s v="Active"/>
  </r>
  <r>
    <x v="859"/>
    <n v="29"/>
    <x v="1"/>
    <s v="Research Scientist"/>
    <n v="1"/>
    <n v="2168"/>
    <n v="5"/>
    <n v="2"/>
    <x v="1"/>
    <s v="Active"/>
  </r>
  <r>
    <x v="860"/>
    <n v="22"/>
    <x v="1"/>
    <s v="Research Scientist"/>
    <n v="1"/>
    <n v="2853"/>
    <n v="0"/>
    <n v="3"/>
    <x v="0"/>
    <s v="Resigned"/>
  </r>
  <r>
    <x v="861"/>
    <n v="46"/>
    <x v="0"/>
    <s v="Manager"/>
    <n v="4"/>
    <n v="17048"/>
    <n v="26"/>
    <n v="3"/>
    <x v="1"/>
    <s v="Active"/>
  </r>
  <r>
    <x v="862"/>
    <n v="44"/>
    <x v="1"/>
    <s v="Research Scientist"/>
    <n v="1"/>
    <n v="2290"/>
    <n v="0"/>
    <n v="3"/>
    <x v="1"/>
    <s v="Active"/>
  </r>
  <r>
    <x v="863"/>
    <n v="33"/>
    <x v="2"/>
    <s v="Human Resources"/>
    <n v="1"/>
    <n v="3600"/>
    <n v="5"/>
    <n v="3"/>
    <x v="1"/>
    <s v="Active"/>
  </r>
  <r>
    <x v="864"/>
    <n v="41"/>
    <x v="1"/>
    <s v="Research Scientist"/>
    <n v="1"/>
    <n v="2107"/>
    <n v="1"/>
    <n v="1"/>
    <x v="0"/>
    <s v="Resigned"/>
  </r>
  <r>
    <x v="865"/>
    <n v="30"/>
    <x v="0"/>
    <s v="Sales Executive"/>
    <n v="2"/>
    <n v="4115"/>
    <n v="4"/>
    <n v="3"/>
    <x v="1"/>
    <s v="Active"/>
  </r>
  <r>
    <x v="866"/>
    <n v="40"/>
    <x v="0"/>
    <s v="Sales Executive"/>
    <n v="2"/>
    <n v="4327"/>
    <n v="0"/>
    <n v="3"/>
    <x v="1"/>
    <s v="Active"/>
  </r>
  <r>
    <x v="867"/>
    <n v="50"/>
    <x v="1"/>
    <s v="Manager"/>
    <n v="4"/>
    <n v="17856"/>
    <n v="2"/>
    <n v="3"/>
    <x v="1"/>
    <s v="Active"/>
  </r>
  <r>
    <x v="868"/>
    <n v="28"/>
    <x v="1"/>
    <s v="Laboratory Technician"/>
    <n v="1"/>
    <n v="3196"/>
    <n v="6"/>
    <n v="3"/>
    <x v="1"/>
    <s v="Active"/>
  </r>
  <r>
    <x v="869"/>
    <n v="46"/>
    <x v="1"/>
    <s v="Research Director"/>
    <n v="5"/>
    <n v="19081"/>
    <n v="4"/>
    <n v="3"/>
    <x v="1"/>
    <s v="Active"/>
  </r>
  <r>
    <x v="870"/>
    <n v="35"/>
    <x v="0"/>
    <s v="Sales Executive"/>
    <n v="2"/>
    <n v="8966"/>
    <n v="7"/>
    <n v="3"/>
    <x v="1"/>
    <s v="Active"/>
  </r>
  <r>
    <x v="871"/>
    <n v="24"/>
    <x v="1"/>
    <s v="Laboratory Technician"/>
    <n v="1"/>
    <n v="2210"/>
    <n v="1"/>
    <n v="1"/>
    <x v="0"/>
    <s v="Resigned"/>
  </r>
  <r>
    <x v="872"/>
    <n v="33"/>
    <x v="0"/>
    <s v="Sales Executive"/>
    <n v="2"/>
    <n v="4539"/>
    <n v="10"/>
    <n v="2"/>
    <x v="1"/>
    <s v="Active"/>
  </r>
  <r>
    <x v="873"/>
    <n v="36"/>
    <x v="1"/>
    <s v="Laboratory Technician"/>
    <n v="1"/>
    <n v="2741"/>
    <n v="7"/>
    <n v="3"/>
    <x v="1"/>
    <s v="Active"/>
  </r>
  <r>
    <x v="874"/>
    <n v="30"/>
    <x v="1"/>
    <s v="Laboratory Technician"/>
    <n v="2"/>
    <n v="3491"/>
    <n v="10"/>
    <n v="2"/>
    <x v="1"/>
    <s v="Active"/>
  </r>
  <r>
    <x v="875"/>
    <n v="44"/>
    <x v="1"/>
    <s v="Research Scientist"/>
    <n v="2"/>
    <n v="4541"/>
    <n v="20"/>
    <n v="3"/>
    <x v="1"/>
    <s v="Active"/>
  </r>
  <r>
    <x v="876"/>
    <n v="20"/>
    <x v="0"/>
    <s v="Sales Representative"/>
    <n v="1"/>
    <n v="2678"/>
    <n v="2"/>
    <n v="3"/>
    <x v="1"/>
    <s v="Active"/>
  </r>
  <r>
    <x v="877"/>
    <n v="46"/>
    <x v="1"/>
    <s v="Manufacturing Director"/>
    <n v="2"/>
    <n v="7379"/>
    <n v="6"/>
    <n v="2"/>
    <x v="1"/>
    <s v="Active"/>
  </r>
  <r>
    <x v="878"/>
    <n v="42"/>
    <x v="2"/>
    <s v="Human Resources"/>
    <n v="2"/>
    <n v="6272"/>
    <n v="4"/>
    <n v="4"/>
    <x v="1"/>
    <s v="Active"/>
  </r>
  <r>
    <x v="879"/>
    <n v="60"/>
    <x v="0"/>
    <s v="Sales Executive"/>
    <n v="2"/>
    <n v="5220"/>
    <n v="11"/>
    <n v="3"/>
    <x v="1"/>
    <s v="Active"/>
  </r>
  <r>
    <x v="880"/>
    <n v="32"/>
    <x v="1"/>
    <s v="Laboratory Technician"/>
    <n v="1"/>
    <n v="2743"/>
    <n v="2"/>
    <n v="3"/>
    <x v="1"/>
    <s v="Active"/>
  </r>
  <r>
    <x v="881"/>
    <n v="32"/>
    <x v="1"/>
    <s v="Research Scientist"/>
    <n v="2"/>
    <n v="4998"/>
    <n v="8"/>
    <n v="3"/>
    <x v="1"/>
    <s v="Active"/>
  </r>
  <r>
    <x v="882"/>
    <n v="36"/>
    <x v="1"/>
    <s v="Manufacturing Director"/>
    <n v="3"/>
    <n v="10252"/>
    <n v="7"/>
    <n v="3"/>
    <x v="1"/>
    <s v="Active"/>
  </r>
  <r>
    <x v="883"/>
    <n v="33"/>
    <x v="1"/>
    <s v="Research Scientist"/>
    <n v="1"/>
    <n v="2781"/>
    <n v="14"/>
    <n v="3"/>
    <x v="1"/>
    <s v="Active"/>
  </r>
  <r>
    <x v="884"/>
    <n v="40"/>
    <x v="0"/>
    <s v="Sales Executive"/>
    <n v="2"/>
    <n v="6852"/>
    <n v="5"/>
    <n v="4"/>
    <x v="1"/>
    <s v="Active"/>
  </r>
  <r>
    <x v="885"/>
    <n v="25"/>
    <x v="0"/>
    <s v="Sales Executive"/>
    <n v="2"/>
    <n v="4950"/>
    <n v="4"/>
    <n v="3"/>
    <x v="1"/>
    <s v="Active"/>
  </r>
  <r>
    <x v="886"/>
    <n v="30"/>
    <x v="1"/>
    <s v="Research Scientist"/>
    <n v="1"/>
    <n v="3579"/>
    <n v="11"/>
    <n v="3"/>
    <x v="1"/>
    <s v="Active"/>
  </r>
  <r>
    <x v="887"/>
    <n v="42"/>
    <x v="1"/>
    <s v="Research Director"/>
    <n v="3"/>
    <n v="13191"/>
    <n v="1"/>
    <n v="3"/>
    <x v="1"/>
    <s v="Active"/>
  </r>
  <r>
    <x v="888"/>
    <n v="35"/>
    <x v="0"/>
    <s v="Sales Executive"/>
    <n v="3"/>
    <n v="10377"/>
    <n v="13"/>
    <n v="2"/>
    <x v="1"/>
    <s v="Active"/>
  </r>
  <r>
    <x v="889"/>
    <n v="27"/>
    <x v="1"/>
    <s v="Research Scientist"/>
    <n v="1"/>
    <n v="2235"/>
    <n v="9"/>
    <n v="2"/>
    <x v="1"/>
    <s v="Active"/>
  </r>
  <r>
    <x v="890"/>
    <n v="54"/>
    <x v="1"/>
    <s v="Manufacturing Director"/>
    <n v="3"/>
    <n v="10502"/>
    <n v="5"/>
    <n v="1"/>
    <x v="1"/>
    <s v="Active"/>
  </r>
  <r>
    <x v="891"/>
    <n v="44"/>
    <x v="1"/>
    <s v="Research Scientist"/>
    <n v="1"/>
    <n v="2011"/>
    <n v="10"/>
    <n v="3"/>
    <x v="1"/>
    <s v="Active"/>
  </r>
  <r>
    <x v="892"/>
    <n v="19"/>
    <x v="1"/>
    <s v="Research Scientist"/>
    <n v="1"/>
    <n v="1859"/>
    <n v="1"/>
    <n v="4"/>
    <x v="0"/>
    <s v="Resigned"/>
  </r>
  <r>
    <x v="893"/>
    <n v="29"/>
    <x v="1"/>
    <s v="Research Scientist"/>
    <n v="1"/>
    <n v="3760"/>
    <n v="3"/>
    <n v="3"/>
    <x v="1"/>
    <s v="Active"/>
  </r>
  <r>
    <x v="894"/>
    <n v="54"/>
    <x v="1"/>
    <s v="Research Director"/>
    <n v="4"/>
    <n v="17779"/>
    <n v="10"/>
    <n v="3"/>
    <x v="1"/>
    <s v="Active"/>
  </r>
  <r>
    <x v="895"/>
    <n v="31"/>
    <x v="1"/>
    <s v="Healthcare Representative"/>
    <n v="2"/>
    <n v="6833"/>
    <n v="6"/>
    <n v="2"/>
    <x v="1"/>
    <s v="Active"/>
  </r>
  <r>
    <x v="896"/>
    <n v="31"/>
    <x v="1"/>
    <s v="Healthcare Representative"/>
    <n v="2"/>
    <n v="6812"/>
    <n v="10"/>
    <n v="3"/>
    <x v="1"/>
    <s v="Active"/>
  </r>
  <r>
    <x v="897"/>
    <n v="59"/>
    <x v="0"/>
    <s v="Sales Executive"/>
    <n v="2"/>
    <n v="5171"/>
    <n v="6"/>
    <n v="3"/>
    <x v="1"/>
    <s v="Active"/>
  </r>
  <r>
    <x v="898"/>
    <n v="43"/>
    <x v="1"/>
    <s v="Research Director"/>
    <n v="5"/>
    <n v="19740"/>
    <n v="8"/>
    <n v="3"/>
    <x v="1"/>
    <s v="Active"/>
  </r>
  <r>
    <x v="899"/>
    <n v="49"/>
    <x v="1"/>
    <s v="Manager"/>
    <n v="5"/>
    <n v="18711"/>
    <n v="1"/>
    <n v="4"/>
    <x v="1"/>
    <s v="Active"/>
  </r>
  <r>
    <x v="900"/>
    <n v="36"/>
    <x v="1"/>
    <s v="Research Scientist"/>
    <n v="1"/>
    <n v="3692"/>
    <n v="11"/>
    <n v="2"/>
    <x v="1"/>
    <s v="Active"/>
  </r>
  <r>
    <x v="901"/>
    <n v="48"/>
    <x v="1"/>
    <s v="Laboratory Technician"/>
    <n v="1"/>
    <n v="2559"/>
    <n v="1"/>
    <n v="2"/>
    <x v="1"/>
    <s v="Active"/>
  </r>
  <r>
    <x v="902"/>
    <n v="27"/>
    <x v="1"/>
    <s v="Research Scientist"/>
    <n v="1"/>
    <n v="2517"/>
    <n v="5"/>
    <n v="3"/>
    <x v="1"/>
    <s v="Active"/>
  </r>
  <r>
    <x v="903"/>
    <n v="29"/>
    <x v="1"/>
    <s v="Healthcare Representative"/>
    <n v="2"/>
    <n v="6623"/>
    <n v="6"/>
    <n v="3"/>
    <x v="1"/>
    <s v="Active"/>
  </r>
  <r>
    <x v="904"/>
    <n v="48"/>
    <x v="1"/>
    <s v="Research Director"/>
    <n v="5"/>
    <n v="18265"/>
    <n v="1"/>
    <n v="4"/>
    <x v="1"/>
    <s v="Active"/>
  </r>
  <r>
    <x v="905"/>
    <n v="29"/>
    <x v="1"/>
    <s v="Research Director"/>
    <n v="4"/>
    <n v="16124"/>
    <n v="7"/>
    <n v="2"/>
    <x v="1"/>
    <s v="Active"/>
  </r>
  <r>
    <x v="906"/>
    <n v="34"/>
    <x v="1"/>
    <s v="Research Scientist"/>
    <n v="1"/>
    <n v="2585"/>
    <n v="1"/>
    <n v="2"/>
    <x v="1"/>
    <s v="Active"/>
  </r>
  <r>
    <x v="907"/>
    <n v="44"/>
    <x v="0"/>
    <s v="Manager"/>
    <n v="5"/>
    <n v="18213"/>
    <n v="22"/>
    <n v="3"/>
    <x v="1"/>
    <s v="Active"/>
  </r>
  <r>
    <x v="908"/>
    <n v="33"/>
    <x v="0"/>
    <s v="Sales Executive"/>
    <n v="3"/>
    <n v="8380"/>
    <n v="9"/>
    <n v="3"/>
    <x v="1"/>
    <s v="Active"/>
  </r>
  <r>
    <x v="909"/>
    <n v="19"/>
    <x v="1"/>
    <s v="Research Scientist"/>
    <n v="1"/>
    <n v="2994"/>
    <n v="1"/>
    <n v="3"/>
    <x v="1"/>
    <s v="Active"/>
  </r>
  <r>
    <x v="910"/>
    <n v="23"/>
    <x v="1"/>
    <s v="Research Scientist"/>
    <n v="1"/>
    <n v="1223"/>
    <n v="1"/>
    <n v="3"/>
    <x v="1"/>
    <s v="Active"/>
  </r>
  <r>
    <x v="911"/>
    <n v="25"/>
    <x v="0"/>
    <s v="Sales Representative"/>
    <n v="1"/>
    <n v="1118"/>
    <n v="1"/>
    <n v="3"/>
    <x v="0"/>
    <s v="Resigned"/>
  </r>
  <r>
    <x v="912"/>
    <n v="26"/>
    <x v="1"/>
    <s v="Research Scientist"/>
    <n v="1"/>
    <n v="2875"/>
    <n v="8"/>
    <n v="2"/>
    <x v="1"/>
    <s v="Active"/>
  </r>
  <r>
    <x v="913"/>
    <n v="45"/>
    <x v="0"/>
    <s v="Manager"/>
    <n v="5"/>
    <n v="18824"/>
    <n v="24"/>
    <n v="3"/>
    <x v="0"/>
    <s v="Resigned"/>
  </r>
  <r>
    <x v="914"/>
    <n v="55"/>
    <x v="1"/>
    <s v="Healthcare Representative"/>
    <n v="4"/>
    <n v="13577"/>
    <n v="33"/>
    <n v="3"/>
    <x v="1"/>
    <s v="Active"/>
  </r>
  <r>
    <x v="915"/>
    <n v="21"/>
    <x v="1"/>
    <s v="Laboratory Technician"/>
    <n v="1"/>
    <n v="2625"/>
    <n v="2"/>
    <n v="1"/>
    <x v="0"/>
    <s v="Resigned"/>
  </r>
  <r>
    <x v="916"/>
    <n v="46"/>
    <x v="0"/>
    <s v="Manager"/>
    <n v="5"/>
    <n v="18789"/>
    <n v="11"/>
    <n v="3"/>
    <x v="1"/>
    <s v="Active"/>
  </r>
  <r>
    <x v="917"/>
    <n v="34"/>
    <x v="0"/>
    <s v="Sales Executive"/>
    <n v="2"/>
    <n v="4538"/>
    <n v="3"/>
    <n v="3"/>
    <x v="1"/>
    <s v="Active"/>
  </r>
  <r>
    <x v="918"/>
    <n v="51"/>
    <x v="0"/>
    <s v="Manager"/>
    <n v="5"/>
    <n v="19847"/>
    <n v="29"/>
    <n v="2"/>
    <x v="1"/>
    <s v="Active"/>
  </r>
  <r>
    <x v="919"/>
    <n v="59"/>
    <x v="1"/>
    <s v="Manufacturing Director"/>
    <n v="3"/>
    <n v="10512"/>
    <n v="9"/>
    <n v="2"/>
    <x v="1"/>
    <s v="Active"/>
  </r>
  <r>
    <x v="920"/>
    <n v="34"/>
    <x v="1"/>
    <s v="Laboratory Technician"/>
    <n v="2"/>
    <n v="4444"/>
    <n v="11"/>
    <n v="4"/>
    <x v="1"/>
    <s v="Active"/>
  </r>
  <r>
    <x v="921"/>
    <n v="28"/>
    <x v="1"/>
    <s v="Laboratory Technician"/>
    <n v="1"/>
    <n v="2154"/>
    <n v="4"/>
    <n v="2"/>
    <x v="1"/>
    <s v="Active"/>
  </r>
  <r>
    <x v="922"/>
    <n v="44"/>
    <x v="1"/>
    <s v="Manager"/>
    <n v="5"/>
    <n v="19190"/>
    <n v="25"/>
    <n v="2"/>
    <x v="1"/>
    <s v="Active"/>
  </r>
  <r>
    <x v="923"/>
    <n v="34"/>
    <x v="2"/>
    <s v="Human Resources"/>
    <n v="2"/>
    <n v="4490"/>
    <n v="10"/>
    <n v="4"/>
    <x v="1"/>
    <s v="Active"/>
  </r>
  <r>
    <x v="924"/>
    <n v="35"/>
    <x v="1"/>
    <s v="Research Scientist"/>
    <n v="1"/>
    <n v="3506"/>
    <n v="3"/>
    <n v="3"/>
    <x v="1"/>
    <s v="Active"/>
  </r>
  <r>
    <x v="925"/>
    <n v="42"/>
    <x v="1"/>
    <s v="Research Scientist"/>
    <n v="2"/>
    <n v="2372"/>
    <n v="1"/>
    <n v="3"/>
    <x v="1"/>
    <s v="Active"/>
  </r>
  <r>
    <x v="926"/>
    <n v="43"/>
    <x v="0"/>
    <s v="Sales Executive"/>
    <n v="3"/>
    <n v="10231"/>
    <n v="21"/>
    <n v="4"/>
    <x v="1"/>
    <s v="Active"/>
  </r>
  <r>
    <x v="927"/>
    <n v="36"/>
    <x v="1"/>
    <s v="Manufacturing Director"/>
    <n v="2"/>
    <n v="5410"/>
    <n v="16"/>
    <n v="3"/>
    <x v="1"/>
    <s v="Active"/>
  </r>
  <r>
    <x v="928"/>
    <n v="44"/>
    <x v="1"/>
    <s v="Healthcare Representative"/>
    <n v="3"/>
    <n v="7978"/>
    <n v="10"/>
    <n v="3"/>
    <x v="0"/>
    <s v="Resigned"/>
  </r>
  <r>
    <x v="929"/>
    <n v="28"/>
    <x v="1"/>
    <s v="Laboratory Technician"/>
    <n v="1"/>
    <n v="3867"/>
    <n v="2"/>
    <n v="3"/>
    <x v="1"/>
    <s v="Active"/>
  </r>
  <r>
    <x v="930"/>
    <n v="51"/>
    <x v="1"/>
    <s v="Laboratory Technician"/>
    <n v="1"/>
    <n v="2838"/>
    <n v="7"/>
    <n v="2"/>
    <x v="1"/>
    <s v="Active"/>
  </r>
  <r>
    <x v="931"/>
    <n v="30"/>
    <x v="1"/>
    <s v="Manufacturing Director"/>
    <n v="2"/>
    <n v="4695"/>
    <n v="8"/>
    <n v="3"/>
    <x v="1"/>
    <s v="Active"/>
  </r>
  <r>
    <x v="932"/>
    <n v="29"/>
    <x v="1"/>
    <s v="Laboratory Technician"/>
    <n v="1"/>
    <n v="3339"/>
    <n v="7"/>
    <n v="3"/>
    <x v="0"/>
    <s v="Resigned"/>
  </r>
  <r>
    <x v="933"/>
    <n v="28"/>
    <x v="1"/>
    <s v="Research Scientist"/>
    <n v="1"/>
    <n v="2080"/>
    <n v="3"/>
    <n v="2"/>
    <x v="1"/>
    <s v="Active"/>
  </r>
  <r>
    <x v="934"/>
    <n v="25"/>
    <x v="1"/>
    <s v="Research Scientist"/>
    <n v="1"/>
    <n v="2096"/>
    <n v="2"/>
    <n v="2"/>
    <x v="1"/>
    <s v="Active"/>
  </r>
  <r>
    <x v="935"/>
    <n v="32"/>
    <x v="0"/>
    <s v="Sales Executive"/>
    <n v="2"/>
    <n v="6209"/>
    <n v="10"/>
    <n v="4"/>
    <x v="1"/>
    <s v="Active"/>
  </r>
  <r>
    <x v="936"/>
    <n v="45"/>
    <x v="1"/>
    <s v="Manager"/>
    <n v="5"/>
    <n v="18061"/>
    <n v="0"/>
    <n v="3"/>
    <x v="1"/>
    <s v="Active"/>
  </r>
  <r>
    <x v="937"/>
    <n v="39"/>
    <x v="1"/>
    <s v="Manager"/>
    <n v="4"/>
    <n v="17123"/>
    <n v="19"/>
    <n v="3"/>
    <x v="1"/>
    <s v="Active"/>
  </r>
  <r>
    <x v="938"/>
    <n v="58"/>
    <x v="1"/>
    <s v="Research Scientist"/>
    <n v="1"/>
    <n v="2372"/>
    <n v="2"/>
    <n v="3"/>
    <x v="1"/>
    <s v="Active"/>
  </r>
  <r>
    <x v="939"/>
    <n v="32"/>
    <x v="1"/>
    <s v="Laboratory Technician"/>
    <n v="2"/>
    <n v="4883"/>
    <n v="10"/>
    <n v="3"/>
    <x v="0"/>
    <s v="Resigned"/>
  </r>
  <r>
    <x v="940"/>
    <n v="39"/>
    <x v="1"/>
    <s v="Research Scientist"/>
    <n v="1"/>
    <n v="3904"/>
    <n v="5"/>
    <n v="3"/>
    <x v="0"/>
    <s v="Resigned"/>
  </r>
  <r>
    <x v="941"/>
    <n v="30"/>
    <x v="1"/>
    <s v="Laboratory Technician"/>
    <n v="2"/>
    <n v="4627"/>
    <n v="9"/>
    <n v="3"/>
    <x v="1"/>
    <s v="Active"/>
  </r>
  <r>
    <x v="942"/>
    <n v="36"/>
    <x v="1"/>
    <s v="Healthcare Representative"/>
    <n v="3"/>
    <n v="7094"/>
    <n v="7"/>
    <n v="3"/>
    <x v="1"/>
    <s v="Active"/>
  </r>
  <r>
    <x v="943"/>
    <n v="46"/>
    <x v="2"/>
    <s v="Human Resources"/>
    <n v="1"/>
    <n v="3423"/>
    <n v="7"/>
    <n v="4"/>
    <x v="1"/>
    <s v="Active"/>
  </r>
  <r>
    <x v="944"/>
    <n v="28"/>
    <x v="1"/>
    <s v="Laboratory Technician"/>
    <n v="2"/>
    <n v="6674"/>
    <n v="9"/>
    <n v="3"/>
    <x v="1"/>
    <s v="Active"/>
  </r>
  <r>
    <x v="945"/>
    <n v="50"/>
    <x v="1"/>
    <s v="Research Director"/>
    <n v="4"/>
    <n v="16880"/>
    <n v="3"/>
    <n v="3"/>
    <x v="1"/>
    <s v="Active"/>
  </r>
  <r>
    <x v="946"/>
    <n v="40"/>
    <x v="0"/>
    <s v="Sales Executive"/>
    <n v="3"/>
    <n v="9094"/>
    <n v="5"/>
    <n v="3"/>
    <x v="0"/>
    <s v="Resigned"/>
  </r>
  <r>
    <x v="947"/>
    <n v="52"/>
    <x v="0"/>
    <s v="Sales Executive"/>
    <n v="3"/>
    <n v="8446"/>
    <n v="8"/>
    <n v="2"/>
    <x v="0"/>
    <s v="Resigned"/>
  </r>
  <r>
    <x v="948"/>
    <n v="30"/>
    <x v="1"/>
    <s v="Manager"/>
    <n v="3"/>
    <n v="11916"/>
    <n v="9"/>
    <n v="3"/>
    <x v="1"/>
    <s v="Active"/>
  </r>
  <r>
    <x v="949"/>
    <n v="39"/>
    <x v="1"/>
    <s v="Manufacturing Director"/>
    <n v="2"/>
    <n v="4534"/>
    <n v="8"/>
    <n v="3"/>
    <x v="1"/>
    <s v="Active"/>
  </r>
  <r>
    <x v="950"/>
    <n v="31"/>
    <x v="0"/>
    <s v="Sales Executive"/>
    <n v="3"/>
    <n v="9852"/>
    <n v="10"/>
    <n v="2"/>
    <x v="1"/>
    <s v="Active"/>
  </r>
  <r>
    <x v="951"/>
    <n v="41"/>
    <x v="0"/>
    <s v="Sales Executive"/>
    <n v="2"/>
    <n v="6151"/>
    <n v="19"/>
    <n v="3"/>
    <x v="1"/>
    <s v="Active"/>
  </r>
  <r>
    <x v="952"/>
    <n v="31"/>
    <x v="0"/>
    <s v="Sales Representative"/>
    <n v="1"/>
    <n v="2302"/>
    <n v="3"/>
    <n v="4"/>
    <x v="0"/>
    <s v="Resigned"/>
  </r>
  <r>
    <x v="953"/>
    <n v="44"/>
    <x v="1"/>
    <s v="Laboratory Technician"/>
    <n v="1"/>
    <n v="2362"/>
    <n v="3"/>
    <n v="4"/>
    <x v="0"/>
    <s v="Resigned"/>
  </r>
  <r>
    <x v="954"/>
    <n v="42"/>
    <x v="1"/>
    <s v="Manager"/>
    <n v="4"/>
    <n v="17861"/>
    <n v="20"/>
    <n v="2"/>
    <x v="1"/>
    <s v="Active"/>
  </r>
  <r>
    <x v="955"/>
    <n v="55"/>
    <x v="1"/>
    <s v="Manager"/>
    <n v="5"/>
    <n v="19187"/>
    <n v="19"/>
    <n v="3"/>
    <x v="1"/>
    <s v="Active"/>
  </r>
  <r>
    <x v="956"/>
    <n v="56"/>
    <x v="2"/>
    <s v="Manager"/>
    <n v="5"/>
    <n v="19717"/>
    <n v="7"/>
    <n v="3"/>
    <x v="1"/>
    <s v="Active"/>
  </r>
  <r>
    <x v="957"/>
    <n v="40"/>
    <x v="1"/>
    <s v="Research Scientist"/>
    <n v="1"/>
    <n v="3544"/>
    <n v="4"/>
    <n v="3"/>
    <x v="1"/>
    <s v="Active"/>
  </r>
  <r>
    <x v="958"/>
    <n v="34"/>
    <x v="1"/>
    <s v="Healthcare Representative"/>
    <n v="3"/>
    <n v="8500"/>
    <n v="9"/>
    <n v="2"/>
    <x v="1"/>
    <s v="Active"/>
  </r>
  <r>
    <x v="959"/>
    <n v="40"/>
    <x v="1"/>
    <s v="Research Scientist"/>
    <n v="2"/>
    <n v="4661"/>
    <n v="9"/>
    <n v="3"/>
    <x v="1"/>
    <s v="Active"/>
  </r>
  <r>
    <x v="960"/>
    <n v="41"/>
    <x v="0"/>
    <s v="Sales Executive"/>
    <n v="2"/>
    <n v="4103"/>
    <n v="9"/>
    <n v="3"/>
    <x v="1"/>
    <s v="Active"/>
  </r>
  <r>
    <x v="961"/>
    <n v="35"/>
    <x v="1"/>
    <s v="Research Scientist"/>
    <n v="2"/>
    <n v="4249"/>
    <n v="9"/>
    <n v="3"/>
    <x v="1"/>
    <s v="Active"/>
  </r>
  <r>
    <x v="962"/>
    <n v="51"/>
    <x v="2"/>
    <s v="Manager"/>
    <n v="4"/>
    <n v="14026"/>
    <n v="33"/>
    <n v="3"/>
    <x v="1"/>
    <s v="Active"/>
  </r>
  <r>
    <x v="963"/>
    <n v="38"/>
    <x v="0"/>
    <s v="Sales Executive"/>
    <n v="2"/>
    <n v="6893"/>
    <n v="7"/>
    <n v="3"/>
    <x v="1"/>
    <s v="Active"/>
  </r>
  <r>
    <x v="964"/>
    <n v="34"/>
    <x v="0"/>
    <s v="Sales Executive"/>
    <n v="2"/>
    <n v="6125"/>
    <n v="10"/>
    <n v="4"/>
    <x v="1"/>
    <s v="Active"/>
  </r>
  <r>
    <x v="965"/>
    <n v="25"/>
    <x v="1"/>
    <s v="Laboratory Technician"/>
    <n v="1"/>
    <n v="3669"/>
    <n v="3"/>
    <n v="2"/>
    <x v="1"/>
    <s v="Active"/>
  </r>
  <r>
    <x v="966"/>
    <n v="58"/>
    <x v="1"/>
    <s v="Manufacturing Director"/>
    <n v="3"/>
    <n v="10008"/>
    <n v="10"/>
    <n v="2"/>
    <x v="0"/>
    <s v="Resigned"/>
  </r>
  <r>
    <x v="967"/>
    <n v="40"/>
    <x v="1"/>
    <s v="Laboratory Technician"/>
    <n v="1"/>
    <n v="2387"/>
    <n v="4"/>
    <n v="3"/>
    <x v="1"/>
    <s v="Active"/>
  </r>
  <r>
    <x v="968"/>
    <n v="36"/>
    <x v="0"/>
    <s v="Sales Executive"/>
    <n v="2"/>
    <n v="4639"/>
    <n v="15"/>
    <n v="2"/>
    <x v="1"/>
    <s v="Active"/>
  </r>
  <r>
    <x v="969"/>
    <n v="48"/>
    <x v="1"/>
    <s v="Manufacturing Director"/>
    <n v="3"/>
    <n v="7898"/>
    <n v="10"/>
    <n v="3"/>
    <x v="1"/>
    <s v="Active"/>
  </r>
  <r>
    <x v="970"/>
    <n v="27"/>
    <x v="0"/>
    <s v="Sales Representative"/>
    <n v="1"/>
    <n v="2534"/>
    <n v="1"/>
    <n v="3"/>
    <x v="1"/>
    <s v="Active"/>
  </r>
  <r>
    <x v="971"/>
    <n v="51"/>
    <x v="1"/>
    <s v="Manufacturing Director"/>
    <n v="4"/>
    <n v="13142"/>
    <n v="5"/>
    <n v="2"/>
    <x v="1"/>
    <s v="Active"/>
  </r>
  <r>
    <x v="972"/>
    <n v="18"/>
    <x v="1"/>
    <s v="Laboratory Technician"/>
    <n v="1"/>
    <n v="1611"/>
    <n v="0"/>
    <n v="4"/>
    <x v="1"/>
    <s v="Active"/>
  </r>
  <r>
    <x v="973"/>
    <n v="35"/>
    <x v="1"/>
    <s v="Laboratory Technician"/>
    <n v="2"/>
    <n v="5363"/>
    <n v="9"/>
    <n v="3"/>
    <x v="1"/>
    <s v="Active"/>
  </r>
  <r>
    <x v="974"/>
    <n v="27"/>
    <x v="0"/>
    <s v="Sales Executive"/>
    <n v="2"/>
    <n v="5071"/>
    <n v="6"/>
    <n v="3"/>
    <x v="1"/>
    <s v="Active"/>
  </r>
  <r>
    <x v="975"/>
    <n v="55"/>
    <x v="0"/>
    <s v="Sales Executive"/>
    <n v="4"/>
    <n v="13695"/>
    <n v="19"/>
    <n v="2"/>
    <x v="0"/>
    <s v="Resigned"/>
  </r>
  <r>
    <x v="976"/>
    <n v="56"/>
    <x v="1"/>
    <s v="Manufacturing Director"/>
    <n v="4"/>
    <n v="13402"/>
    <n v="19"/>
    <n v="3"/>
    <x v="1"/>
    <s v="Active"/>
  </r>
  <r>
    <x v="977"/>
    <n v="34"/>
    <x v="1"/>
    <s v="Research Scientist"/>
    <n v="1"/>
    <n v="2029"/>
    <n v="5"/>
    <n v="3"/>
    <x v="1"/>
    <s v="Active"/>
  </r>
  <r>
    <x v="978"/>
    <n v="40"/>
    <x v="1"/>
    <s v="Healthcare Representative"/>
    <n v="2"/>
    <n v="6377"/>
    <n v="12"/>
    <n v="3"/>
    <x v="1"/>
    <s v="Active"/>
  </r>
  <r>
    <x v="979"/>
    <n v="34"/>
    <x v="1"/>
    <s v="Laboratory Technician"/>
    <n v="2"/>
    <n v="5429"/>
    <n v="8"/>
    <n v="3"/>
    <x v="1"/>
    <s v="Active"/>
  </r>
  <r>
    <x v="980"/>
    <n v="31"/>
    <x v="0"/>
    <s v="Sales Representative"/>
    <n v="1"/>
    <n v="2785"/>
    <n v="1"/>
    <n v="4"/>
    <x v="0"/>
    <s v="Resigned"/>
  </r>
  <r>
    <x v="981"/>
    <n v="35"/>
    <x v="0"/>
    <s v="Sales Executive"/>
    <n v="2"/>
    <n v="4614"/>
    <n v="4"/>
    <n v="2"/>
    <x v="0"/>
    <s v="Resigned"/>
  </r>
  <r>
    <x v="982"/>
    <n v="38"/>
    <x v="1"/>
    <s v="Research Scientist"/>
    <n v="1"/>
    <n v="2610"/>
    <n v="4"/>
    <n v="3"/>
    <x v="1"/>
    <s v="Active"/>
  </r>
  <r>
    <x v="983"/>
    <n v="34"/>
    <x v="1"/>
    <s v="Healthcare Representative"/>
    <n v="2"/>
    <n v="6687"/>
    <n v="14"/>
    <n v="4"/>
    <x v="1"/>
    <s v="Active"/>
  </r>
  <r>
    <x v="984"/>
    <n v="28"/>
    <x v="0"/>
    <s v="Sales Executive"/>
    <n v="2"/>
    <n v="4724"/>
    <n v="5"/>
    <n v="3"/>
    <x v="1"/>
    <s v="Active"/>
  </r>
  <r>
    <x v="985"/>
    <n v="31"/>
    <x v="1"/>
    <s v="Manufacturing Director"/>
    <n v="2"/>
    <n v="6179"/>
    <n v="10"/>
    <n v="2"/>
    <x v="0"/>
    <s v="Resigned"/>
  </r>
  <r>
    <x v="986"/>
    <n v="39"/>
    <x v="0"/>
    <s v="Sales Executive"/>
    <n v="2"/>
    <n v="6120"/>
    <n v="5"/>
    <n v="4"/>
    <x v="1"/>
    <s v="Active"/>
  </r>
  <r>
    <x v="987"/>
    <n v="51"/>
    <x v="0"/>
    <s v="Sales Executive"/>
    <n v="3"/>
    <n v="10596"/>
    <n v="4"/>
    <n v="3"/>
    <x v="1"/>
    <s v="Active"/>
  </r>
  <r>
    <x v="988"/>
    <n v="41"/>
    <x v="1"/>
    <s v="Research Scientist"/>
    <n v="2"/>
    <n v="5467"/>
    <n v="6"/>
    <n v="2"/>
    <x v="1"/>
    <s v="Active"/>
  </r>
  <r>
    <x v="989"/>
    <n v="37"/>
    <x v="1"/>
    <s v="Research Scientist"/>
    <n v="1"/>
    <n v="2996"/>
    <n v="6"/>
    <n v="3"/>
    <x v="1"/>
    <s v="Active"/>
  </r>
  <r>
    <x v="990"/>
    <n v="33"/>
    <x v="0"/>
    <s v="Sales Executive"/>
    <n v="2"/>
    <n v="9998"/>
    <n v="5"/>
    <n v="4"/>
    <x v="1"/>
    <s v="Active"/>
  </r>
  <r>
    <x v="991"/>
    <n v="32"/>
    <x v="0"/>
    <s v="Sales Executive"/>
    <n v="2"/>
    <n v="4078"/>
    <n v="3"/>
    <n v="2"/>
    <x v="1"/>
    <s v="Active"/>
  </r>
  <r>
    <x v="992"/>
    <n v="39"/>
    <x v="1"/>
    <s v="Healthcare Representative"/>
    <n v="3"/>
    <n v="10920"/>
    <n v="6"/>
    <n v="3"/>
    <x v="1"/>
    <s v="Active"/>
  </r>
  <r>
    <x v="993"/>
    <n v="25"/>
    <x v="0"/>
    <s v="Sales Executive"/>
    <n v="2"/>
    <n v="6232"/>
    <n v="3"/>
    <n v="2"/>
    <x v="1"/>
    <s v="Active"/>
  </r>
  <r>
    <x v="994"/>
    <n v="52"/>
    <x v="1"/>
    <s v="Manufacturing Director"/>
    <n v="4"/>
    <n v="13247"/>
    <n v="5"/>
    <n v="2"/>
    <x v="1"/>
    <s v="Active"/>
  </r>
  <r>
    <x v="995"/>
    <n v="43"/>
    <x v="1"/>
    <s v="Research Scientist"/>
    <n v="2"/>
    <n v="4081"/>
    <n v="20"/>
    <n v="1"/>
    <x v="1"/>
    <s v="Active"/>
  </r>
  <r>
    <x v="996"/>
    <n v="27"/>
    <x v="0"/>
    <s v="Sales Executive"/>
    <n v="2"/>
    <n v="5769"/>
    <n v="6"/>
    <n v="3"/>
    <x v="1"/>
    <s v="Active"/>
  </r>
  <r>
    <x v="997"/>
    <n v="27"/>
    <x v="1"/>
    <s v="Research Scientist"/>
    <n v="1"/>
    <n v="2394"/>
    <n v="8"/>
    <n v="3"/>
    <x v="0"/>
    <s v="Resigned"/>
  </r>
  <r>
    <x v="998"/>
    <n v="26"/>
    <x v="1"/>
    <s v="Research Scientist"/>
    <n v="1"/>
    <n v="3904"/>
    <n v="4"/>
    <n v="3"/>
    <x v="1"/>
    <s v="Active"/>
  </r>
  <r>
    <x v="999"/>
    <n v="42"/>
    <x v="2"/>
    <s v="Manager"/>
    <n v="4"/>
    <n v="16799"/>
    <n v="20"/>
    <n v="3"/>
    <x v="1"/>
    <s v="Active"/>
  </r>
  <r>
    <x v="1000"/>
    <n v="52"/>
    <x v="1"/>
    <s v="Laboratory Technician"/>
    <n v="1"/>
    <n v="2950"/>
    <n v="5"/>
    <n v="1"/>
    <x v="1"/>
    <s v="Active"/>
  </r>
  <r>
    <x v="1001"/>
    <n v="37"/>
    <x v="1"/>
    <s v="Laboratory Technician"/>
    <n v="1"/>
    <n v="3629"/>
    <n v="3"/>
    <n v="3"/>
    <x v="1"/>
    <s v="Active"/>
  </r>
  <r>
    <x v="1002"/>
    <n v="35"/>
    <x v="1"/>
    <s v="Manufacturing Director"/>
    <n v="3"/>
    <n v="9362"/>
    <n v="2"/>
    <n v="3"/>
    <x v="1"/>
    <s v="Active"/>
  </r>
  <r>
    <x v="1003"/>
    <n v="25"/>
    <x v="1"/>
    <s v="Laboratory Technician"/>
    <n v="1"/>
    <n v="3229"/>
    <n v="3"/>
    <n v="2"/>
    <x v="1"/>
    <s v="Active"/>
  </r>
  <r>
    <x v="1004"/>
    <n v="26"/>
    <x v="1"/>
    <s v="Laboratory Technician"/>
    <n v="1"/>
    <n v="3578"/>
    <n v="7"/>
    <n v="3"/>
    <x v="1"/>
    <s v="Active"/>
  </r>
  <r>
    <x v="1005"/>
    <n v="29"/>
    <x v="2"/>
    <s v="Human Resources"/>
    <n v="3"/>
    <n v="7988"/>
    <n v="10"/>
    <n v="2"/>
    <x v="1"/>
    <s v="Active"/>
  </r>
  <r>
    <x v="1006"/>
    <n v="49"/>
    <x v="1"/>
    <s v="Laboratory Technician"/>
    <n v="2"/>
    <n v="4284"/>
    <n v="4"/>
    <n v="3"/>
    <x v="0"/>
    <s v="Resigned"/>
  </r>
  <r>
    <x v="1007"/>
    <n v="29"/>
    <x v="1"/>
    <s v="Healthcare Representative"/>
    <n v="3"/>
    <n v="7553"/>
    <n v="8"/>
    <n v="3"/>
    <x v="0"/>
    <s v="Resigned"/>
  </r>
  <r>
    <x v="1008"/>
    <n v="54"/>
    <x v="1"/>
    <s v="Research Director"/>
    <n v="4"/>
    <n v="17328"/>
    <n v="20"/>
    <n v="2"/>
    <x v="1"/>
    <s v="Active"/>
  </r>
  <r>
    <x v="1009"/>
    <n v="58"/>
    <x v="1"/>
    <s v="Research Director"/>
    <n v="5"/>
    <n v="19701"/>
    <n v="9"/>
    <n v="3"/>
    <x v="1"/>
    <s v="Active"/>
  </r>
  <r>
    <x v="1010"/>
    <n v="55"/>
    <x v="1"/>
    <s v="Research Director"/>
    <n v="4"/>
    <n v="14732"/>
    <n v="7"/>
    <n v="4"/>
    <x v="1"/>
    <s v="Active"/>
  </r>
  <r>
    <x v="1011"/>
    <n v="36"/>
    <x v="0"/>
    <s v="Sales Executive"/>
    <n v="2"/>
    <n v="9278"/>
    <n v="5"/>
    <n v="3"/>
    <x v="1"/>
    <s v="Active"/>
  </r>
  <r>
    <x v="1012"/>
    <n v="31"/>
    <x v="0"/>
    <s v="Sales Representative"/>
    <n v="1"/>
    <n v="1359"/>
    <n v="1"/>
    <n v="3"/>
    <x v="0"/>
    <s v="Resigned"/>
  </r>
  <r>
    <x v="1013"/>
    <n v="30"/>
    <x v="0"/>
    <s v="Sales Executive"/>
    <n v="2"/>
    <n v="4779"/>
    <n v="3"/>
    <n v="3"/>
    <x v="1"/>
    <s v="Active"/>
  </r>
  <r>
    <x v="1014"/>
    <n v="31"/>
    <x v="1"/>
    <s v="Research Director"/>
    <n v="4"/>
    <n v="16422"/>
    <n v="3"/>
    <n v="4"/>
    <x v="1"/>
    <s v="Active"/>
  </r>
  <r>
    <x v="1015"/>
    <n v="34"/>
    <x v="1"/>
    <s v="Research Scientist"/>
    <n v="1"/>
    <n v="2996"/>
    <n v="4"/>
    <n v="3"/>
    <x v="1"/>
    <s v="Active"/>
  </r>
  <r>
    <x v="1016"/>
    <n v="31"/>
    <x v="1"/>
    <s v="Research Scientist"/>
    <n v="1"/>
    <n v="1261"/>
    <n v="1"/>
    <n v="4"/>
    <x v="0"/>
    <s v="Resigned"/>
  </r>
  <r>
    <x v="1017"/>
    <n v="27"/>
    <x v="1"/>
    <s v="Laboratory Technician"/>
    <n v="1"/>
    <n v="2099"/>
    <n v="5"/>
    <n v="4"/>
    <x v="1"/>
    <s v="Active"/>
  </r>
  <r>
    <x v="1018"/>
    <n v="36"/>
    <x v="1"/>
    <s v="Laboratory Technician"/>
    <n v="2"/>
    <n v="5810"/>
    <n v="10"/>
    <n v="2"/>
    <x v="1"/>
    <s v="Active"/>
  </r>
  <r>
    <x v="1019"/>
    <n v="36"/>
    <x v="0"/>
    <s v="Sales Executive"/>
    <n v="2"/>
    <n v="5647"/>
    <n v="3"/>
    <n v="2"/>
    <x v="1"/>
    <s v="Active"/>
  </r>
  <r>
    <x v="1020"/>
    <n v="47"/>
    <x v="1"/>
    <s v="Research Scientist"/>
    <n v="1"/>
    <n v="3420"/>
    <n v="6"/>
    <n v="2"/>
    <x v="1"/>
    <s v="Active"/>
  </r>
  <r>
    <x v="1021"/>
    <n v="25"/>
    <x v="0"/>
    <s v="Sales Representative"/>
    <n v="1"/>
    <n v="4400"/>
    <n v="3"/>
    <n v="3"/>
    <x v="0"/>
    <s v="Resigned"/>
  </r>
  <r>
    <x v="1022"/>
    <n v="37"/>
    <x v="1"/>
    <s v="Laboratory Technician"/>
    <n v="1"/>
    <n v="3500"/>
    <n v="6"/>
    <n v="1"/>
    <x v="1"/>
    <s v="Active"/>
  </r>
  <r>
    <x v="1023"/>
    <n v="56"/>
    <x v="1"/>
    <s v="Research Scientist"/>
    <n v="1"/>
    <n v="2066"/>
    <n v="3"/>
    <n v="4"/>
    <x v="1"/>
    <s v="Active"/>
  </r>
  <r>
    <x v="1024"/>
    <n v="47"/>
    <x v="1"/>
    <s v="Research Director"/>
    <n v="4"/>
    <n v="17169"/>
    <n v="20"/>
    <n v="4"/>
    <x v="1"/>
    <s v="Active"/>
  </r>
  <r>
    <x v="1025"/>
    <n v="24"/>
    <x v="0"/>
    <s v="Sales Executive"/>
    <n v="2"/>
    <n v="4162"/>
    <n v="5"/>
    <n v="3"/>
    <x v="1"/>
    <s v="Active"/>
  </r>
  <r>
    <x v="1026"/>
    <n v="32"/>
    <x v="0"/>
    <s v="Sales Executive"/>
    <n v="2"/>
    <n v="9204"/>
    <n v="4"/>
    <n v="2"/>
    <x v="1"/>
    <s v="Active"/>
  </r>
  <r>
    <x v="1027"/>
    <n v="34"/>
    <x v="1"/>
    <s v="Laboratory Technician"/>
    <n v="1"/>
    <n v="3294"/>
    <n v="5"/>
    <n v="2"/>
    <x v="1"/>
    <s v="Active"/>
  </r>
  <r>
    <x v="1028"/>
    <n v="41"/>
    <x v="1"/>
    <s v="Research Scientist"/>
    <n v="1"/>
    <n v="2127"/>
    <n v="4"/>
    <n v="2"/>
    <x v="1"/>
    <s v="Active"/>
  </r>
  <r>
    <x v="1029"/>
    <n v="40"/>
    <x v="1"/>
    <s v="Laboratory Technician"/>
    <n v="2"/>
    <n v="3975"/>
    <n v="8"/>
    <n v="4"/>
    <x v="1"/>
    <s v="Active"/>
  </r>
  <r>
    <x v="1030"/>
    <n v="31"/>
    <x v="0"/>
    <s v="Sales Executive"/>
    <n v="3"/>
    <n v="10793"/>
    <n v="13"/>
    <n v="3"/>
    <x v="1"/>
    <s v="Active"/>
  </r>
  <r>
    <x v="1031"/>
    <n v="46"/>
    <x v="0"/>
    <s v="Sales Executive"/>
    <n v="3"/>
    <n v="10096"/>
    <n v="7"/>
    <n v="4"/>
    <x v="0"/>
    <s v="Resigned"/>
  </r>
  <r>
    <x v="1032"/>
    <n v="39"/>
    <x v="1"/>
    <s v="Laboratory Technician"/>
    <n v="1"/>
    <n v="3646"/>
    <n v="1"/>
    <n v="4"/>
    <x v="0"/>
    <s v="Resigned"/>
  </r>
  <r>
    <x v="1033"/>
    <n v="31"/>
    <x v="1"/>
    <s v="Manufacturing Director"/>
    <n v="3"/>
    <n v="7446"/>
    <n v="10"/>
    <n v="3"/>
    <x v="0"/>
    <s v="Resigned"/>
  </r>
  <r>
    <x v="1034"/>
    <n v="45"/>
    <x v="1"/>
    <s v="Healthcare Representative"/>
    <n v="3"/>
    <n v="10851"/>
    <n v="7"/>
    <n v="3"/>
    <x v="1"/>
    <s v="Active"/>
  </r>
  <r>
    <x v="1035"/>
    <n v="31"/>
    <x v="2"/>
    <s v="Human Resources"/>
    <n v="1"/>
    <n v="2109"/>
    <n v="3"/>
    <n v="3"/>
    <x v="1"/>
    <s v="Active"/>
  </r>
  <r>
    <x v="1036"/>
    <n v="31"/>
    <x v="1"/>
    <s v="Laboratory Technician"/>
    <n v="1"/>
    <n v="3722"/>
    <n v="2"/>
    <n v="1"/>
    <x v="0"/>
    <s v="Resigned"/>
  </r>
  <r>
    <x v="1037"/>
    <n v="45"/>
    <x v="1"/>
    <s v="Manufacturing Director"/>
    <n v="3"/>
    <n v="9380"/>
    <n v="3"/>
    <n v="4"/>
    <x v="1"/>
    <s v="Active"/>
  </r>
  <r>
    <x v="1038"/>
    <n v="48"/>
    <x v="0"/>
    <s v="Sales Executive"/>
    <n v="2"/>
    <n v="5486"/>
    <n v="2"/>
    <n v="3"/>
    <x v="1"/>
    <s v="Active"/>
  </r>
  <r>
    <x v="1039"/>
    <n v="34"/>
    <x v="2"/>
    <s v="Human Resources"/>
    <n v="1"/>
    <n v="2742"/>
    <n v="2"/>
    <n v="3"/>
    <x v="0"/>
    <s v="Resigned"/>
  </r>
  <r>
    <x v="1040"/>
    <n v="40"/>
    <x v="1"/>
    <s v="Research Director"/>
    <n v="3"/>
    <n v="13757"/>
    <n v="9"/>
    <n v="3"/>
    <x v="1"/>
    <s v="Active"/>
  </r>
  <r>
    <x v="1041"/>
    <n v="28"/>
    <x v="0"/>
    <s v="Sales Executive"/>
    <n v="2"/>
    <n v="8463"/>
    <n v="5"/>
    <n v="3"/>
    <x v="1"/>
    <s v="Active"/>
  </r>
  <r>
    <x v="1042"/>
    <n v="44"/>
    <x v="1"/>
    <s v="Laboratory Technician"/>
    <n v="1"/>
    <n v="3162"/>
    <n v="5"/>
    <n v="3"/>
    <x v="1"/>
    <s v="Active"/>
  </r>
  <r>
    <x v="1043"/>
    <n v="53"/>
    <x v="1"/>
    <s v="Research Director"/>
    <n v="4"/>
    <n v="16598"/>
    <n v="9"/>
    <n v="2"/>
    <x v="1"/>
    <s v="Active"/>
  </r>
  <r>
    <x v="1044"/>
    <n v="49"/>
    <x v="1"/>
    <s v="Healthcare Representative"/>
    <n v="2"/>
    <n v="6651"/>
    <n v="3"/>
    <n v="2"/>
    <x v="1"/>
    <s v="Active"/>
  </r>
  <r>
    <x v="1045"/>
    <n v="40"/>
    <x v="1"/>
    <s v="Research Scientist"/>
    <n v="1"/>
    <n v="2345"/>
    <n v="3"/>
    <n v="4"/>
    <x v="1"/>
    <s v="Active"/>
  </r>
  <r>
    <x v="1046"/>
    <n v="44"/>
    <x v="1"/>
    <s v="Research Scientist"/>
    <n v="1"/>
    <n v="3420"/>
    <n v="5"/>
    <n v="2"/>
    <x v="1"/>
    <s v="Active"/>
  </r>
  <r>
    <x v="1047"/>
    <n v="33"/>
    <x v="0"/>
    <s v="Sales Executive"/>
    <n v="2"/>
    <n v="4373"/>
    <n v="4"/>
    <n v="3"/>
    <x v="1"/>
    <s v="Active"/>
  </r>
  <r>
    <x v="1048"/>
    <n v="34"/>
    <x v="0"/>
    <s v="Sales Executive"/>
    <n v="2"/>
    <n v="4759"/>
    <n v="13"/>
    <n v="3"/>
    <x v="1"/>
    <s v="Active"/>
  </r>
  <r>
    <x v="1049"/>
    <n v="30"/>
    <x v="0"/>
    <s v="Sales Executive"/>
    <n v="2"/>
    <n v="5301"/>
    <n v="2"/>
    <n v="2"/>
    <x v="1"/>
    <s v="Active"/>
  </r>
  <r>
    <x v="1050"/>
    <n v="42"/>
    <x v="1"/>
    <s v="Laboratory Technician"/>
    <n v="1"/>
    <n v="3673"/>
    <n v="12"/>
    <n v="3"/>
    <x v="1"/>
    <s v="Active"/>
  </r>
  <r>
    <x v="1051"/>
    <n v="44"/>
    <x v="0"/>
    <s v="Sales Executive"/>
    <n v="2"/>
    <n v="4768"/>
    <n v="1"/>
    <n v="2"/>
    <x v="1"/>
    <s v="Active"/>
  </r>
  <r>
    <x v="1052"/>
    <n v="30"/>
    <x v="1"/>
    <s v="Research Scientist"/>
    <n v="1"/>
    <n v="1274"/>
    <n v="1"/>
    <n v="2"/>
    <x v="1"/>
    <s v="Active"/>
  </r>
  <r>
    <x v="1053"/>
    <n v="57"/>
    <x v="1"/>
    <s v="Research Scientist"/>
    <n v="2"/>
    <n v="4900"/>
    <n v="12"/>
    <n v="2"/>
    <x v="1"/>
    <s v="Active"/>
  </r>
  <r>
    <x v="1054"/>
    <n v="49"/>
    <x v="1"/>
    <s v="Healthcare Representative"/>
    <n v="3"/>
    <n v="10466"/>
    <n v="8"/>
    <n v="3"/>
    <x v="1"/>
    <s v="Active"/>
  </r>
  <r>
    <x v="1055"/>
    <n v="34"/>
    <x v="1"/>
    <s v="Research Director"/>
    <n v="4"/>
    <n v="17007"/>
    <n v="14"/>
    <n v="2"/>
    <x v="1"/>
    <s v="Active"/>
  </r>
  <r>
    <x v="1056"/>
    <n v="28"/>
    <x v="0"/>
    <s v="Sales Representative"/>
    <n v="1"/>
    <n v="2909"/>
    <n v="3"/>
    <n v="4"/>
    <x v="0"/>
    <s v="Resigned"/>
  </r>
  <r>
    <x v="1057"/>
    <n v="29"/>
    <x v="0"/>
    <s v="Sales Executive"/>
    <n v="2"/>
    <n v="5765"/>
    <n v="5"/>
    <n v="1"/>
    <x v="0"/>
    <s v="Resigned"/>
  </r>
  <r>
    <x v="1058"/>
    <n v="34"/>
    <x v="0"/>
    <s v="Sales Executive"/>
    <n v="2"/>
    <n v="4599"/>
    <n v="15"/>
    <n v="4"/>
    <x v="0"/>
    <s v="Resigned"/>
  </r>
  <r>
    <x v="1059"/>
    <n v="35"/>
    <x v="0"/>
    <s v="Sales Representative"/>
    <n v="1"/>
    <n v="2404"/>
    <n v="1"/>
    <n v="3"/>
    <x v="1"/>
    <s v="Active"/>
  </r>
  <r>
    <x v="1060"/>
    <n v="24"/>
    <x v="1"/>
    <s v="Laboratory Technician"/>
    <n v="1"/>
    <n v="3172"/>
    <n v="0"/>
    <n v="2"/>
    <x v="0"/>
    <s v="Resigned"/>
  </r>
  <r>
    <x v="1061"/>
    <n v="24"/>
    <x v="0"/>
    <s v="Sales Representative"/>
    <n v="1"/>
    <n v="2033"/>
    <n v="1"/>
    <n v="3"/>
    <x v="1"/>
    <s v="Active"/>
  </r>
  <r>
    <x v="1062"/>
    <n v="44"/>
    <x v="1"/>
    <s v="Manufacturing Director"/>
    <n v="3"/>
    <n v="10209"/>
    <n v="2"/>
    <n v="2"/>
    <x v="1"/>
    <s v="Active"/>
  </r>
  <r>
    <x v="1063"/>
    <n v="29"/>
    <x v="0"/>
    <s v="Sales Executive"/>
    <n v="2"/>
    <n v="8620"/>
    <n v="10"/>
    <n v="3"/>
    <x v="1"/>
    <s v="Active"/>
  </r>
  <r>
    <x v="1064"/>
    <n v="30"/>
    <x v="2"/>
    <s v="Human Resources"/>
    <n v="1"/>
    <n v="2064"/>
    <n v="5"/>
    <n v="4"/>
    <x v="1"/>
    <s v="Active"/>
  </r>
  <r>
    <x v="1065"/>
    <n v="55"/>
    <x v="1"/>
    <s v="Healthcare Representative"/>
    <n v="2"/>
    <n v="4035"/>
    <n v="3"/>
    <n v="3"/>
    <x v="1"/>
    <s v="Active"/>
  </r>
  <r>
    <x v="1066"/>
    <n v="33"/>
    <x v="1"/>
    <s v="Laboratory Technician"/>
    <n v="1"/>
    <n v="3838"/>
    <n v="5"/>
    <n v="3"/>
    <x v="1"/>
    <s v="Active"/>
  </r>
  <r>
    <x v="1067"/>
    <n v="47"/>
    <x v="0"/>
    <s v="Sales Executive"/>
    <n v="2"/>
    <n v="4591"/>
    <n v="5"/>
    <n v="2"/>
    <x v="1"/>
    <s v="Active"/>
  </r>
  <r>
    <x v="1068"/>
    <n v="28"/>
    <x v="1"/>
    <s v="Laboratory Technician"/>
    <n v="1"/>
    <n v="2561"/>
    <n v="0"/>
    <n v="2"/>
    <x v="0"/>
    <s v="Resigned"/>
  </r>
  <r>
    <x v="1069"/>
    <n v="28"/>
    <x v="1"/>
    <s v="Research Scientist"/>
    <n v="1"/>
    <n v="1563"/>
    <n v="1"/>
    <n v="1"/>
    <x v="1"/>
    <s v="Active"/>
  </r>
  <r>
    <x v="1070"/>
    <n v="28"/>
    <x v="0"/>
    <s v="Sales Executive"/>
    <n v="2"/>
    <n v="4898"/>
    <n v="4"/>
    <n v="3"/>
    <x v="1"/>
    <s v="Active"/>
  </r>
  <r>
    <x v="1071"/>
    <n v="49"/>
    <x v="1"/>
    <s v="Laboratory Technician"/>
    <n v="2"/>
    <n v="4789"/>
    <n v="3"/>
    <n v="3"/>
    <x v="1"/>
    <s v="Active"/>
  </r>
  <r>
    <x v="1072"/>
    <n v="29"/>
    <x v="1"/>
    <s v="Laboratory Technician"/>
    <n v="1"/>
    <n v="3180"/>
    <n v="3"/>
    <n v="3"/>
    <x v="1"/>
    <s v="Active"/>
  </r>
  <r>
    <x v="1073"/>
    <n v="28"/>
    <x v="1"/>
    <s v="Manufacturing Director"/>
    <n v="2"/>
    <n v="6549"/>
    <n v="8"/>
    <n v="2"/>
    <x v="1"/>
    <s v="Active"/>
  </r>
  <r>
    <x v="1074"/>
    <n v="33"/>
    <x v="1"/>
    <s v="Healthcare Representative"/>
    <n v="2"/>
    <n v="6388"/>
    <n v="0"/>
    <n v="3"/>
    <x v="1"/>
    <s v="Active"/>
  </r>
  <r>
    <x v="1075"/>
    <n v="32"/>
    <x v="1"/>
    <s v="Manager"/>
    <n v="3"/>
    <n v="11244"/>
    <n v="5"/>
    <n v="4"/>
    <x v="1"/>
    <s v="Active"/>
  </r>
  <r>
    <x v="1076"/>
    <n v="54"/>
    <x v="1"/>
    <s v="Manager"/>
    <n v="4"/>
    <n v="16032"/>
    <n v="14"/>
    <n v="3"/>
    <x v="1"/>
    <s v="Active"/>
  </r>
  <r>
    <x v="1077"/>
    <n v="29"/>
    <x v="1"/>
    <s v="Research Scientist"/>
    <n v="1"/>
    <n v="2362"/>
    <n v="9"/>
    <n v="1"/>
    <x v="0"/>
    <s v="Resigned"/>
  </r>
  <r>
    <x v="1078"/>
    <n v="44"/>
    <x v="1"/>
    <s v="Research Director"/>
    <n v="4"/>
    <n v="16328"/>
    <n v="20"/>
    <n v="4"/>
    <x v="1"/>
    <s v="Active"/>
  </r>
  <r>
    <x v="1079"/>
    <n v="39"/>
    <x v="1"/>
    <s v="Manufacturing Director"/>
    <n v="3"/>
    <n v="8376"/>
    <n v="2"/>
    <n v="3"/>
    <x v="1"/>
    <s v="Active"/>
  </r>
  <r>
    <x v="1080"/>
    <n v="46"/>
    <x v="0"/>
    <s v="Manager"/>
    <n v="4"/>
    <n v="16606"/>
    <n v="13"/>
    <n v="4"/>
    <x v="1"/>
    <s v="Active"/>
  </r>
  <r>
    <x v="1081"/>
    <n v="35"/>
    <x v="1"/>
    <s v="Healthcare Representative"/>
    <n v="3"/>
    <n v="8606"/>
    <n v="11"/>
    <n v="1"/>
    <x v="1"/>
    <s v="Active"/>
  </r>
  <r>
    <x v="1082"/>
    <n v="23"/>
    <x v="1"/>
    <s v="Laboratory Technician"/>
    <n v="2"/>
    <n v="2272"/>
    <n v="4"/>
    <n v="3"/>
    <x v="1"/>
    <s v="Active"/>
  </r>
  <r>
    <x v="1083"/>
    <n v="40"/>
    <x v="1"/>
    <s v="Laboratory Technician"/>
    <n v="1"/>
    <n v="2018"/>
    <n v="5"/>
    <n v="1"/>
    <x v="0"/>
    <s v="Resigned"/>
  </r>
  <r>
    <x v="1084"/>
    <n v="34"/>
    <x v="0"/>
    <s v="Sales Executive"/>
    <n v="3"/>
    <n v="7083"/>
    <n v="10"/>
    <n v="3"/>
    <x v="1"/>
    <s v="Active"/>
  </r>
  <r>
    <x v="1085"/>
    <n v="31"/>
    <x v="1"/>
    <s v="Research Scientist"/>
    <n v="1"/>
    <n v="4084"/>
    <n v="7"/>
    <n v="1"/>
    <x v="0"/>
    <s v="Resigned"/>
  </r>
  <r>
    <x v="1086"/>
    <n v="50"/>
    <x v="1"/>
    <s v="Research Director"/>
    <n v="4"/>
    <n v="14411"/>
    <n v="32"/>
    <n v="3"/>
    <x v="1"/>
    <s v="Active"/>
  </r>
  <r>
    <x v="1087"/>
    <n v="34"/>
    <x v="0"/>
    <s v="Sales Representative"/>
    <n v="1"/>
    <n v="2308"/>
    <n v="11"/>
    <n v="3"/>
    <x v="1"/>
    <s v="Active"/>
  </r>
  <r>
    <x v="1088"/>
    <n v="42"/>
    <x v="1"/>
    <s v="Laboratory Technician"/>
    <n v="1"/>
    <n v="4841"/>
    <n v="1"/>
    <n v="3"/>
    <x v="1"/>
    <s v="Active"/>
  </r>
  <r>
    <x v="1089"/>
    <n v="37"/>
    <x v="1"/>
    <s v="Research Scientist"/>
    <n v="2"/>
    <n v="4285"/>
    <n v="10"/>
    <n v="3"/>
    <x v="1"/>
    <s v="Active"/>
  </r>
  <r>
    <x v="1090"/>
    <n v="29"/>
    <x v="1"/>
    <s v="Healthcare Representative"/>
    <n v="2"/>
    <n v="9715"/>
    <n v="7"/>
    <n v="3"/>
    <x v="1"/>
    <s v="Active"/>
  </r>
  <r>
    <x v="1091"/>
    <n v="33"/>
    <x v="1"/>
    <s v="Manufacturing Director"/>
    <n v="2"/>
    <n v="4320"/>
    <n v="5"/>
    <n v="3"/>
    <x v="1"/>
    <s v="Active"/>
  </r>
  <r>
    <x v="1092"/>
    <n v="45"/>
    <x v="1"/>
    <s v="Research Scientist"/>
    <n v="1"/>
    <n v="2132"/>
    <n v="5"/>
    <n v="3"/>
    <x v="1"/>
    <s v="Active"/>
  </r>
  <r>
    <x v="1093"/>
    <n v="42"/>
    <x v="1"/>
    <s v="Healthcare Representative"/>
    <n v="3"/>
    <n v="10124"/>
    <n v="20"/>
    <n v="1"/>
    <x v="1"/>
    <s v="Active"/>
  </r>
  <r>
    <x v="1094"/>
    <n v="40"/>
    <x v="0"/>
    <s v="Sales Executive"/>
    <n v="2"/>
    <n v="5473"/>
    <n v="8"/>
    <n v="4"/>
    <x v="1"/>
    <s v="Active"/>
  </r>
  <r>
    <x v="1095"/>
    <n v="33"/>
    <x v="1"/>
    <s v="Laboratory Technician"/>
    <n v="2"/>
    <n v="5207"/>
    <n v="15"/>
    <n v="3"/>
    <x v="1"/>
    <s v="Active"/>
  </r>
  <r>
    <x v="1096"/>
    <n v="40"/>
    <x v="2"/>
    <s v="Manager"/>
    <n v="4"/>
    <n v="16437"/>
    <n v="21"/>
    <n v="3"/>
    <x v="1"/>
    <s v="Active"/>
  </r>
  <r>
    <x v="1097"/>
    <n v="24"/>
    <x v="1"/>
    <s v="Laboratory Technician"/>
    <n v="1"/>
    <n v="2296"/>
    <n v="1"/>
    <n v="3"/>
    <x v="1"/>
    <s v="Active"/>
  </r>
  <r>
    <x v="1098"/>
    <n v="40"/>
    <x v="1"/>
    <s v="Healthcare Representative"/>
    <n v="2"/>
    <n v="4069"/>
    <n v="2"/>
    <n v="3"/>
    <x v="1"/>
    <s v="Active"/>
  </r>
  <r>
    <x v="1099"/>
    <n v="45"/>
    <x v="1"/>
    <s v="Healthcare Representative"/>
    <n v="3"/>
    <n v="7441"/>
    <n v="10"/>
    <n v="3"/>
    <x v="1"/>
    <s v="Active"/>
  </r>
  <r>
    <x v="1100"/>
    <n v="35"/>
    <x v="0"/>
    <s v="Sales Representative"/>
    <n v="1"/>
    <n v="2430"/>
    <n v="5"/>
    <n v="3"/>
    <x v="1"/>
    <s v="Active"/>
  </r>
  <r>
    <x v="1101"/>
    <n v="32"/>
    <x v="1"/>
    <s v="Research Scientist"/>
    <n v="2"/>
    <n v="5878"/>
    <n v="7"/>
    <n v="3"/>
    <x v="1"/>
    <s v="Active"/>
  </r>
  <r>
    <x v="1102"/>
    <n v="36"/>
    <x v="0"/>
    <s v="Sales Representative"/>
    <n v="1"/>
    <n v="2644"/>
    <n v="3"/>
    <n v="2"/>
    <x v="1"/>
    <s v="Active"/>
  </r>
  <r>
    <x v="1103"/>
    <n v="48"/>
    <x v="0"/>
    <s v="Sales Executive"/>
    <n v="2"/>
    <n v="6439"/>
    <n v="8"/>
    <n v="3"/>
    <x v="1"/>
    <s v="Active"/>
  </r>
  <r>
    <x v="1104"/>
    <n v="29"/>
    <x v="1"/>
    <s v="Research Scientist"/>
    <n v="1"/>
    <n v="2451"/>
    <n v="1"/>
    <n v="2"/>
    <x v="1"/>
    <s v="Active"/>
  </r>
  <r>
    <x v="1105"/>
    <n v="33"/>
    <x v="0"/>
    <s v="Sales Executive"/>
    <n v="2"/>
    <n v="6392"/>
    <n v="2"/>
    <n v="1"/>
    <x v="1"/>
    <s v="Active"/>
  </r>
  <r>
    <x v="1106"/>
    <n v="30"/>
    <x v="0"/>
    <s v="Sales Executive"/>
    <n v="2"/>
    <n v="9714"/>
    <n v="10"/>
    <n v="3"/>
    <x v="0"/>
    <s v="Resigned"/>
  </r>
  <r>
    <x v="1107"/>
    <n v="38"/>
    <x v="2"/>
    <s v="Human Resources"/>
    <n v="2"/>
    <n v="6077"/>
    <n v="6"/>
    <n v="3"/>
    <x v="1"/>
    <s v="Active"/>
  </r>
  <r>
    <x v="1108"/>
    <n v="35"/>
    <x v="1"/>
    <s v="Laboratory Technician"/>
    <n v="1"/>
    <n v="2450"/>
    <n v="3"/>
    <n v="3"/>
    <x v="1"/>
    <s v="Active"/>
  </r>
  <r>
    <x v="1109"/>
    <n v="30"/>
    <x v="0"/>
    <s v="Sales Executive"/>
    <n v="3"/>
    <n v="9250"/>
    <n v="4"/>
    <n v="3"/>
    <x v="1"/>
    <s v="Active"/>
  </r>
  <r>
    <x v="1110"/>
    <n v="35"/>
    <x v="1"/>
    <s v="Laboratory Technician"/>
    <n v="1"/>
    <n v="2074"/>
    <n v="1"/>
    <n v="3"/>
    <x v="0"/>
    <s v="Resigned"/>
  </r>
  <r>
    <x v="1111"/>
    <n v="53"/>
    <x v="1"/>
    <s v="Manufacturing Director"/>
    <n v="3"/>
    <n v="10169"/>
    <n v="33"/>
    <n v="3"/>
    <x v="0"/>
    <s v="Resigned"/>
  </r>
  <r>
    <x v="1112"/>
    <n v="38"/>
    <x v="1"/>
    <s v="Manufacturing Director"/>
    <n v="2"/>
    <n v="4855"/>
    <n v="5"/>
    <n v="3"/>
    <x v="0"/>
    <s v="Resigned"/>
  </r>
  <r>
    <x v="1113"/>
    <n v="32"/>
    <x v="1"/>
    <s v="Research Scientist"/>
    <n v="2"/>
    <n v="4087"/>
    <n v="6"/>
    <n v="2"/>
    <x v="1"/>
    <s v="Active"/>
  </r>
  <r>
    <x v="1114"/>
    <n v="48"/>
    <x v="1"/>
    <s v="Research Scientist"/>
    <n v="1"/>
    <n v="2367"/>
    <n v="8"/>
    <n v="2"/>
    <x v="1"/>
    <s v="Active"/>
  </r>
  <r>
    <x v="1115"/>
    <n v="34"/>
    <x v="1"/>
    <s v="Research Scientist"/>
    <n v="1"/>
    <n v="2972"/>
    <n v="1"/>
    <n v="1"/>
    <x v="1"/>
    <s v="Active"/>
  </r>
  <r>
    <x v="1116"/>
    <n v="55"/>
    <x v="0"/>
    <s v="Manager"/>
    <n v="5"/>
    <n v="19586"/>
    <n v="36"/>
    <n v="3"/>
    <x v="1"/>
    <s v="Active"/>
  </r>
  <r>
    <x v="1117"/>
    <n v="34"/>
    <x v="1"/>
    <s v="Research Scientist"/>
    <n v="2"/>
    <n v="5484"/>
    <n v="2"/>
    <n v="2"/>
    <x v="1"/>
    <s v="Active"/>
  </r>
  <r>
    <x v="1118"/>
    <n v="26"/>
    <x v="1"/>
    <s v="Research Scientist"/>
    <n v="1"/>
    <n v="2061"/>
    <n v="1"/>
    <n v="3"/>
    <x v="1"/>
    <s v="Active"/>
  </r>
  <r>
    <x v="1119"/>
    <n v="38"/>
    <x v="0"/>
    <s v="Sales Executive"/>
    <n v="2"/>
    <n v="9924"/>
    <n v="9"/>
    <n v="3"/>
    <x v="1"/>
    <s v="Active"/>
  </r>
  <r>
    <x v="1120"/>
    <n v="38"/>
    <x v="0"/>
    <s v="Sales Executive"/>
    <n v="2"/>
    <n v="4198"/>
    <n v="3"/>
    <n v="4"/>
    <x v="1"/>
    <s v="Active"/>
  </r>
  <r>
    <x v="1121"/>
    <n v="36"/>
    <x v="0"/>
    <s v="Sales Executive"/>
    <n v="2"/>
    <n v="6815"/>
    <n v="1"/>
    <n v="3"/>
    <x v="1"/>
    <s v="Active"/>
  </r>
  <r>
    <x v="1122"/>
    <n v="29"/>
    <x v="1"/>
    <s v="Laboratory Technician"/>
    <n v="1"/>
    <n v="4723"/>
    <n v="10"/>
    <n v="3"/>
    <x v="1"/>
    <s v="Active"/>
  </r>
  <r>
    <x v="1123"/>
    <n v="35"/>
    <x v="1"/>
    <s v="Healthcare Representative"/>
    <n v="2"/>
    <n v="6142"/>
    <n v="5"/>
    <n v="3"/>
    <x v="1"/>
    <s v="Active"/>
  </r>
  <r>
    <x v="1124"/>
    <n v="39"/>
    <x v="0"/>
    <s v="Sales Executive"/>
    <n v="3"/>
    <n v="8237"/>
    <n v="7"/>
    <n v="3"/>
    <x v="1"/>
    <s v="Active"/>
  </r>
  <r>
    <x v="1125"/>
    <n v="29"/>
    <x v="1"/>
    <s v="Healthcare Representative"/>
    <n v="2"/>
    <n v="8853"/>
    <n v="6"/>
    <n v="4"/>
    <x v="1"/>
    <s v="Active"/>
  </r>
  <r>
    <x v="1126"/>
    <n v="50"/>
    <x v="0"/>
    <s v="Manager"/>
    <n v="5"/>
    <n v="19331"/>
    <n v="1"/>
    <n v="3"/>
    <x v="1"/>
    <s v="Active"/>
  </r>
  <r>
    <x v="1127"/>
    <n v="23"/>
    <x v="1"/>
    <s v="Research Scientist"/>
    <n v="1"/>
    <n v="2073"/>
    <n v="2"/>
    <n v="3"/>
    <x v="1"/>
    <s v="Active"/>
  </r>
  <r>
    <x v="1128"/>
    <n v="36"/>
    <x v="1"/>
    <s v="Laboratory Technician"/>
    <n v="2"/>
    <n v="5562"/>
    <n v="3"/>
    <n v="3"/>
    <x v="1"/>
    <s v="Active"/>
  </r>
  <r>
    <x v="1129"/>
    <n v="42"/>
    <x v="1"/>
    <s v="Manager"/>
    <n v="5"/>
    <n v="19613"/>
    <n v="1"/>
    <n v="3"/>
    <x v="1"/>
    <s v="Active"/>
  </r>
  <r>
    <x v="1130"/>
    <n v="35"/>
    <x v="1"/>
    <s v="Laboratory Technician"/>
    <n v="2"/>
    <n v="3407"/>
    <n v="10"/>
    <n v="2"/>
    <x v="1"/>
    <s v="Active"/>
  </r>
  <r>
    <x v="1131"/>
    <n v="34"/>
    <x v="1"/>
    <s v="Healthcare Representative"/>
    <n v="2"/>
    <n v="5063"/>
    <n v="8"/>
    <n v="2"/>
    <x v="1"/>
    <s v="Active"/>
  </r>
  <r>
    <x v="1132"/>
    <n v="40"/>
    <x v="0"/>
    <s v="Sales Executive"/>
    <n v="2"/>
    <n v="4639"/>
    <n v="5"/>
    <n v="3"/>
    <x v="1"/>
    <s v="Active"/>
  </r>
  <r>
    <x v="1133"/>
    <n v="43"/>
    <x v="1"/>
    <s v="Laboratory Technician"/>
    <n v="1"/>
    <n v="4876"/>
    <n v="6"/>
    <n v="3"/>
    <x v="1"/>
    <s v="Active"/>
  </r>
  <r>
    <x v="1134"/>
    <n v="35"/>
    <x v="1"/>
    <s v="Laboratory Technician"/>
    <n v="1"/>
    <n v="2690"/>
    <n v="1"/>
    <n v="2"/>
    <x v="1"/>
    <s v="Active"/>
  </r>
  <r>
    <x v="1135"/>
    <n v="46"/>
    <x v="0"/>
    <s v="Manager"/>
    <n v="4"/>
    <n v="17567"/>
    <n v="26"/>
    <n v="1"/>
    <x v="1"/>
    <s v="Active"/>
  </r>
  <r>
    <x v="1136"/>
    <n v="28"/>
    <x v="1"/>
    <s v="Laboratory Technician"/>
    <n v="1"/>
    <n v="2408"/>
    <n v="1"/>
    <n v="3"/>
    <x v="0"/>
    <s v="Resigned"/>
  </r>
  <r>
    <x v="1137"/>
    <n v="22"/>
    <x v="1"/>
    <s v="Research Scientist"/>
    <n v="1"/>
    <n v="2814"/>
    <n v="4"/>
    <n v="2"/>
    <x v="1"/>
    <s v="Active"/>
  </r>
  <r>
    <x v="1138"/>
    <n v="50"/>
    <x v="1"/>
    <s v="Healthcare Representative"/>
    <n v="4"/>
    <n v="11245"/>
    <n v="30"/>
    <n v="3"/>
    <x v="1"/>
    <s v="Active"/>
  </r>
  <r>
    <x v="1139"/>
    <n v="32"/>
    <x v="1"/>
    <s v="Research Scientist"/>
    <n v="1"/>
    <n v="3312"/>
    <n v="3"/>
    <n v="3"/>
    <x v="1"/>
    <s v="Active"/>
  </r>
  <r>
    <x v="1140"/>
    <n v="44"/>
    <x v="1"/>
    <s v="Research Director"/>
    <n v="5"/>
    <n v="19049"/>
    <n v="22"/>
    <n v="2"/>
    <x v="1"/>
    <s v="Active"/>
  </r>
  <r>
    <x v="1141"/>
    <n v="30"/>
    <x v="1"/>
    <s v="Research Scientist"/>
    <n v="1"/>
    <n v="2141"/>
    <n v="6"/>
    <n v="2"/>
    <x v="1"/>
    <s v="Active"/>
  </r>
  <r>
    <x v="1142"/>
    <n v="45"/>
    <x v="1"/>
    <s v="Laboratory Technician"/>
    <n v="2"/>
    <n v="5769"/>
    <n v="10"/>
    <n v="3"/>
    <x v="1"/>
    <s v="Active"/>
  </r>
  <r>
    <x v="1143"/>
    <n v="45"/>
    <x v="0"/>
    <s v="Sales Executive"/>
    <n v="2"/>
    <n v="4385"/>
    <n v="10"/>
    <n v="3"/>
    <x v="1"/>
    <s v="Active"/>
  </r>
  <r>
    <x v="1144"/>
    <n v="31"/>
    <x v="0"/>
    <s v="Sales Executive"/>
    <n v="2"/>
    <n v="5332"/>
    <n v="5"/>
    <n v="3"/>
    <x v="1"/>
    <s v="Active"/>
  </r>
  <r>
    <x v="1145"/>
    <n v="36"/>
    <x v="1"/>
    <s v="Manufacturing Director"/>
    <n v="2"/>
    <n v="4663"/>
    <n v="3"/>
    <n v="3"/>
    <x v="1"/>
    <s v="Active"/>
  </r>
  <r>
    <x v="1146"/>
    <n v="34"/>
    <x v="1"/>
    <s v="Manufacturing Director"/>
    <n v="2"/>
    <n v="4724"/>
    <n v="9"/>
    <n v="3"/>
    <x v="1"/>
    <s v="Active"/>
  </r>
  <r>
    <x v="1147"/>
    <n v="49"/>
    <x v="1"/>
    <s v="Laboratory Technician"/>
    <n v="1"/>
    <n v="3211"/>
    <n v="9"/>
    <n v="2"/>
    <x v="1"/>
    <s v="Active"/>
  </r>
  <r>
    <x v="1148"/>
    <n v="39"/>
    <x v="1"/>
    <s v="Manufacturing Director"/>
    <n v="2"/>
    <n v="5377"/>
    <n v="7"/>
    <n v="3"/>
    <x v="1"/>
    <s v="Active"/>
  </r>
  <r>
    <x v="1149"/>
    <n v="27"/>
    <x v="1"/>
    <s v="Laboratory Technician"/>
    <n v="1"/>
    <n v="4066"/>
    <n v="7"/>
    <n v="3"/>
    <x v="1"/>
    <s v="Active"/>
  </r>
  <r>
    <x v="1150"/>
    <n v="35"/>
    <x v="1"/>
    <s v="Research Scientist"/>
    <n v="2"/>
    <n v="5208"/>
    <n v="16"/>
    <n v="3"/>
    <x v="1"/>
    <s v="Active"/>
  </r>
  <r>
    <x v="1151"/>
    <n v="28"/>
    <x v="1"/>
    <s v="Manufacturing Director"/>
    <n v="2"/>
    <n v="4877"/>
    <n v="5"/>
    <n v="2"/>
    <x v="1"/>
    <s v="Active"/>
  </r>
  <r>
    <x v="1152"/>
    <n v="21"/>
    <x v="1"/>
    <s v="Research Scientist"/>
    <n v="1"/>
    <n v="3117"/>
    <n v="2"/>
    <n v="3"/>
    <x v="1"/>
    <s v="Active"/>
  </r>
  <r>
    <x v="1153"/>
    <n v="18"/>
    <x v="0"/>
    <s v="Sales Representative"/>
    <n v="1"/>
    <n v="1569"/>
    <n v="0"/>
    <n v="4"/>
    <x v="0"/>
    <s v="Resigned"/>
  </r>
  <r>
    <x v="1154"/>
    <n v="47"/>
    <x v="2"/>
    <s v="Manager"/>
    <n v="5"/>
    <n v="19658"/>
    <n v="5"/>
    <n v="3"/>
    <x v="1"/>
    <s v="Active"/>
  </r>
  <r>
    <x v="1155"/>
    <n v="39"/>
    <x v="1"/>
    <s v="Laboratory Technician"/>
    <n v="2"/>
    <n v="3069"/>
    <n v="10"/>
    <n v="3"/>
    <x v="1"/>
    <s v="Active"/>
  </r>
  <r>
    <x v="1156"/>
    <n v="40"/>
    <x v="1"/>
    <s v="Manufacturing Director"/>
    <n v="3"/>
    <n v="10435"/>
    <n v="18"/>
    <n v="3"/>
    <x v="1"/>
    <s v="Active"/>
  </r>
  <r>
    <x v="1157"/>
    <n v="35"/>
    <x v="1"/>
    <s v="Healthcare Representative"/>
    <n v="2"/>
    <n v="4148"/>
    <n v="14"/>
    <n v="3"/>
    <x v="1"/>
    <s v="Active"/>
  </r>
  <r>
    <x v="1158"/>
    <n v="37"/>
    <x v="1"/>
    <s v="Manufacturing Director"/>
    <n v="2"/>
    <n v="5768"/>
    <n v="4"/>
    <n v="2"/>
    <x v="1"/>
    <s v="Active"/>
  </r>
  <r>
    <x v="1159"/>
    <n v="39"/>
    <x v="1"/>
    <s v="Manufacturing Director"/>
    <n v="2"/>
    <n v="5042"/>
    <n v="9"/>
    <n v="1"/>
    <x v="1"/>
    <s v="Active"/>
  </r>
  <r>
    <x v="1160"/>
    <n v="45"/>
    <x v="1"/>
    <s v="Manufacturing Director"/>
    <n v="2"/>
    <n v="5770"/>
    <n v="10"/>
    <n v="3"/>
    <x v="1"/>
    <s v="Active"/>
  </r>
  <r>
    <x v="1161"/>
    <n v="38"/>
    <x v="1"/>
    <s v="Manufacturing Director"/>
    <n v="3"/>
    <n v="7756"/>
    <n v="5"/>
    <n v="4"/>
    <x v="1"/>
    <s v="Active"/>
  </r>
  <r>
    <x v="1162"/>
    <n v="35"/>
    <x v="0"/>
    <s v="Sales Executive"/>
    <n v="3"/>
    <n v="10306"/>
    <n v="13"/>
    <n v="3"/>
    <x v="0"/>
    <s v="Resigned"/>
  </r>
  <r>
    <x v="1163"/>
    <n v="37"/>
    <x v="1"/>
    <s v="Research Scientist"/>
    <n v="1"/>
    <n v="3936"/>
    <n v="8"/>
    <n v="1"/>
    <x v="1"/>
    <s v="Active"/>
  </r>
  <r>
    <x v="1164"/>
    <n v="40"/>
    <x v="1"/>
    <s v="Manufacturing Director"/>
    <n v="3"/>
    <n v="7945"/>
    <n v="4"/>
    <n v="2"/>
    <x v="1"/>
    <s v="Active"/>
  </r>
  <r>
    <x v="1165"/>
    <n v="44"/>
    <x v="2"/>
    <s v="Human Resources"/>
    <n v="2"/>
    <n v="5743"/>
    <n v="10"/>
    <n v="3"/>
    <x v="1"/>
    <s v="Active"/>
  </r>
  <r>
    <x v="1166"/>
    <n v="48"/>
    <x v="1"/>
    <s v="Manager"/>
    <n v="4"/>
    <n v="15202"/>
    <n v="2"/>
    <n v="3"/>
    <x v="1"/>
    <s v="Active"/>
  </r>
  <r>
    <x v="1167"/>
    <n v="35"/>
    <x v="0"/>
    <s v="Sales Executive"/>
    <n v="2"/>
    <n v="5440"/>
    <n v="2"/>
    <n v="2"/>
    <x v="0"/>
    <s v="Resigned"/>
  </r>
  <r>
    <x v="1168"/>
    <n v="24"/>
    <x v="1"/>
    <s v="Research Scientist"/>
    <n v="1"/>
    <n v="3760"/>
    <n v="6"/>
    <n v="3"/>
    <x v="1"/>
    <s v="Active"/>
  </r>
  <r>
    <x v="1169"/>
    <n v="27"/>
    <x v="1"/>
    <s v="Research Scientist"/>
    <n v="1"/>
    <n v="3517"/>
    <n v="3"/>
    <n v="3"/>
    <x v="1"/>
    <s v="Active"/>
  </r>
  <r>
    <x v="1170"/>
    <n v="27"/>
    <x v="1"/>
    <s v="Research Scientist"/>
    <n v="1"/>
    <n v="2580"/>
    <n v="4"/>
    <n v="2"/>
    <x v="1"/>
    <s v="Active"/>
  </r>
  <r>
    <x v="1171"/>
    <n v="40"/>
    <x v="1"/>
    <s v="Laboratory Technician"/>
    <n v="1"/>
    <n v="2166"/>
    <n v="4"/>
    <n v="1"/>
    <x v="0"/>
    <s v="Resigned"/>
  </r>
  <r>
    <x v="1172"/>
    <n v="29"/>
    <x v="0"/>
    <s v="Sales Executive"/>
    <n v="2"/>
    <n v="5869"/>
    <n v="5"/>
    <n v="3"/>
    <x v="1"/>
    <s v="Active"/>
  </r>
  <r>
    <x v="1173"/>
    <n v="36"/>
    <x v="1"/>
    <s v="Healthcare Representative"/>
    <n v="3"/>
    <n v="8008"/>
    <n v="3"/>
    <n v="3"/>
    <x v="1"/>
    <s v="Active"/>
  </r>
  <r>
    <x v="1174"/>
    <n v="25"/>
    <x v="1"/>
    <s v="Manufacturing Director"/>
    <n v="2"/>
    <n v="5206"/>
    <n v="7"/>
    <n v="3"/>
    <x v="1"/>
    <s v="Active"/>
  </r>
  <r>
    <x v="1175"/>
    <n v="39"/>
    <x v="1"/>
    <s v="Manufacturing Director"/>
    <n v="2"/>
    <n v="5295"/>
    <n v="5"/>
    <n v="3"/>
    <x v="1"/>
    <s v="Active"/>
  </r>
  <r>
    <x v="1176"/>
    <n v="49"/>
    <x v="1"/>
    <s v="Research Director"/>
    <n v="4"/>
    <n v="16413"/>
    <n v="4"/>
    <n v="3"/>
    <x v="1"/>
    <s v="Active"/>
  </r>
  <r>
    <x v="1177"/>
    <n v="50"/>
    <x v="1"/>
    <s v="Research Director"/>
    <n v="3"/>
    <n v="13269"/>
    <n v="14"/>
    <n v="3"/>
    <x v="1"/>
    <s v="Active"/>
  </r>
  <r>
    <x v="1178"/>
    <n v="20"/>
    <x v="0"/>
    <s v="Sales Representative"/>
    <n v="1"/>
    <n v="2783"/>
    <n v="2"/>
    <n v="3"/>
    <x v="1"/>
    <s v="Active"/>
  </r>
  <r>
    <x v="1179"/>
    <n v="34"/>
    <x v="1"/>
    <s v="Research Scientist"/>
    <n v="2"/>
    <n v="5433"/>
    <n v="11"/>
    <n v="3"/>
    <x v="1"/>
    <s v="Active"/>
  </r>
  <r>
    <x v="1180"/>
    <n v="36"/>
    <x v="1"/>
    <s v="Laboratory Technician"/>
    <n v="1"/>
    <n v="2013"/>
    <n v="4"/>
    <n v="3"/>
    <x v="1"/>
    <s v="Active"/>
  </r>
  <r>
    <x v="1181"/>
    <n v="49"/>
    <x v="1"/>
    <s v="Healthcare Representative"/>
    <n v="4"/>
    <n v="13966"/>
    <n v="15"/>
    <n v="3"/>
    <x v="1"/>
    <s v="Active"/>
  </r>
  <r>
    <x v="1182"/>
    <n v="36"/>
    <x v="1"/>
    <s v="Manufacturing Director"/>
    <n v="2"/>
    <n v="4374"/>
    <n v="3"/>
    <n v="3"/>
    <x v="1"/>
    <s v="Active"/>
  </r>
  <r>
    <x v="1183"/>
    <n v="36"/>
    <x v="1"/>
    <s v="Healthcare Representative"/>
    <n v="2"/>
    <n v="6842"/>
    <n v="5"/>
    <n v="3"/>
    <x v="1"/>
    <s v="Active"/>
  </r>
  <r>
    <x v="1184"/>
    <n v="54"/>
    <x v="1"/>
    <s v="Manager"/>
    <n v="4"/>
    <n v="17426"/>
    <n v="10"/>
    <n v="3"/>
    <x v="1"/>
    <s v="Active"/>
  </r>
  <r>
    <x v="1185"/>
    <n v="43"/>
    <x v="1"/>
    <s v="Research Director"/>
    <n v="4"/>
    <n v="17603"/>
    <n v="14"/>
    <n v="3"/>
    <x v="1"/>
    <s v="Active"/>
  </r>
  <r>
    <x v="1186"/>
    <n v="35"/>
    <x v="0"/>
    <s v="Sales Executive"/>
    <n v="2"/>
    <n v="4581"/>
    <n v="11"/>
    <n v="4"/>
    <x v="0"/>
    <s v="Resigned"/>
  </r>
  <r>
    <x v="1187"/>
    <n v="38"/>
    <x v="1"/>
    <s v="Research Scientist"/>
    <n v="2"/>
    <n v="4735"/>
    <n v="13"/>
    <n v="4"/>
    <x v="1"/>
    <s v="Active"/>
  </r>
  <r>
    <x v="1188"/>
    <n v="29"/>
    <x v="0"/>
    <s v="Sales Executive"/>
    <n v="2"/>
    <n v="4187"/>
    <n v="10"/>
    <n v="2"/>
    <x v="1"/>
    <s v="Active"/>
  </r>
  <r>
    <x v="1189"/>
    <n v="33"/>
    <x v="0"/>
    <s v="Sales Executive"/>
    <n v="2"/>
    <n v="5505"/>
    <n v="6"/>
    <n v="3"/>
    <x v="1"/>
    <s v="Active"/>
  </r>
  <r>
    <x v="1190"/>
    <n v="32"/>
    <x v="1"/>
    <s v="Research Scientist"/>
    <n v="2"/>
    <n v="5470"/>
    <n v="9"/>
    <n v="2"/>
    <x v="1"/>
    <s v="Active"/>
  </r>
  <r>
    <x v="1191"/>
    <n v="31"/>
    <x v="0"/>
    <s v="Sales Executive"/>
    <n v="2"/>
    <n v="5476"/>
    <n v="10"/>
    <n v="3"/>
    <x v="1"/>
    <s v="Active"/>
  </r>
  <r>
    <x v="1192"/>
    <n v="49"/>
    <x v="1"/>
    <s v="Laboratory Technician"/>
    <n v="1"/>
    <n v="2587"/>
    <n v="2"/>
    <n v="2"/>
    <x v="1"/>
    <s v="Active"/>
  </r>
  <r>
    <x v="1193"/>
    <n v="38"/>
    <x v="1"/>
    <s v="Laboratory Technician"/>
    <n v="1"/>
    <n v="2440"/>
    <n v="4"/>
    <n v="3"/>
    <x v="1"/>
    <s v="Active"/>
  </r>
  <r>
    <x v="1194"/>
    <n v="47"/>
    <x v="0"/>
    <s v="Manager"/>
    <n v="4"/>
    <n v="15972"/>
    <n v="3"/>
    <n v="3"/>
    <x v="1"/>
    <s v="Active"/>
  </r>
  <r>
    <x v="1195"/>
    <n v="49"/>
    <x v="1"/>
    <s v="Manager"/>
    <n v="4"/>
    <n v="15379"/>
    <n v="8"/>
    <n v="3"/>
    <x v="1"/>
    <s v="Active"/>
  </r>
  <r>
    <x v="1196"/>
    <n v="41"/>
    <x v="0"/>
    <s v="Sales Executive"/>
    <n v="3"/>
    <n v="7082"/>
    <n v="2"/>
    <n v="3"/>
    <x v="1"/>
    <s v="Active"/>
  </r>
  <r>
    <x v="1197"/>
    <n v="20"/>
    <x v="0"/>
    <s v="Sales Representative"/>
    <n v="1"/>
    <n v="2728"/>
    <n v="2"/>
    <n v="3"/>
    <x v="1"/>
    <s v="Active"/>
  </r>
  <r>
    <x v="1198"/>
    <n v="33"/>
    <x v="0"/>
    <s v="Sales Executive"/>
    <n v="2"/>
    <n v="5368"/>
    <n v="6"/>
    <n v="3"/>
    <x v="1"/>
    <s v="Active"/>
  </r>
  <r>
    <x v="1199"/>
    <n v="36"/>
    <x v="1"/>
    <s v="Healthcare Representative"/>
    <n v="2"/>
    <n v="5347"/>
    <n v="3"/>
    <n v="2"/>
    <x v="1"/>
    <s v="Active"/>
  </r>
  <r>
    <x v="1200"/>
    <n v="44"/>
    <x v="2"/>
    <s v="Human Resources"/>
    <n v="1"/>
    <n v="3195"/>
    <n v="2"/>
    <n v="3"/>
    <x v="1"/>
    <s v="Active"/>
  </r>
  <r>
    <x v="1201"/>
    <n v="23"/>
    <x v="1"/>
    <s v="Laboratory Technician"/>
    <n v="1"/>
    <n v="3989"/>
    <n v="5"/>
    <n v="3"/>
    <x v="0"/>
    <s v="Resigned"/>
  </r>
  <r>
    <x v="1202"/>
    <n v="38"/>
    <x v="1"/>
    <s v="Laboratory Technician"/>
    <n v="1"/>
    <n v="3306"/>
    <n v="0"/>
    <n v="2"/>
    <x v="1"/>
    <s v="Active"/>
  </r>
  <r>
    <x v="1203"/>
    <n v="53"/>
    <x v="1"/>
    <s v="Healthcare Representative"/>
    <n v="3"/>
    <n v="7005"/>
    <n v="4"/>
    <n v="3"/>
    <x v="1"/>
    <s v="Active"/>
  </r>
  <r>
    <x v="1204"/>
    <n v="48"/>
    <x v="0"/>
    <s v="Sales Representative"/>
    <n v="1"/>
    <n v="2655"/>
    <n v="9"/>
    <n v="3"/>
    <x v="0"/>
    <s v="Resigned"/>
  </r>
  <r>
    <x v="1205"/>
    <n v="32"/>
    <x v="1"/>
    <s v="Laboratory Technician"/>
    <n v="1"/>
    <n v="1393"/>
    <n v="1"/>
    <n v="3"/>
    <x v="0"/>
    <s v="Resigned"/>
  </r>
  <r>
    <x v="1206"/>
    <n v="26"/>
    <x v="1"/>
    <s v="Laboratory Technician"/>
    <n v="1"/>
    <n v="2570"/>
    <n v="7"/>
    <n v="3"/>
    <x v="1"/>
    <s v="Active"/>
  </r>
  <r>
    <x v="1207"/>
    <n v="55"/>
    <x v="1"/>
    <s v="Research Scientist"/>
    <n v="1"/>
    <n v="3537"/>
    <n v="4"/>
    <n v="3"/>
    <x v="1"/>
    <s v="Active"/>
  </r>
  <r>
    <x v="1208"/>
    <n v="34"/>
    <x v="1"/>
    <s v="Laboratory Technician"/>
    <n v="2"/>
    <n v="3986"/>
    <n v="15"/>
    <n v="4"/>
    <x v="1"/>
    <s v="Active"/>
  </r>
  <r>
    <x v="1209"/>
    <n v="60"/>
    <x v="1"/>
    <s v="Healthcare Representative"/>
    <n v="3"/>
    <n v="10883"/>
    <n v="1"/>
    <n v="4"/>
    <x v="1"/>
    <s v="Active"/>
  </r>
  <r>
    <x v="1210"/>
    <n v="33"/>
    <x v="1"/>
    <s v="Laboratory Technician"/>
    <n v="1"/>
    <n v="2028"/>
    <n v="14"/>
    <n v="3"/>
    <x v="1"/>
    <s v="Active"/>
  </r>
  <r>
    <x v="1211"/>
    <n v="37"/>
    <x v="0"/>
    <s v="Sales Executive"/>
    <n v="2"/>
    <n v="9525"/>
    <n v="6"/>
    <n v="2"/>
    <x v="1"/>
    <s v="Active"/>
  </r>
  <r>
    <x v="1212"/>
    <n v="34"/>
    <x v="1"/>
    <s v="Research Scientist"/>
    <n v="1"/>
    <n v="2929"/>
    <n v="10"/>
    <n v="3"/>
    <x v="1"/>
    <s v="Active"/>
  </r>
  <r>
    <x v="1213"/>
    <n v="23"/>
    <x v="0"/>
    <s v="Sales Representative"/>
    <n v="1"/>
    <n v="2275"/>
    <n v="3"/>
    <n v="3"/>
    <x v="0"/>
    <s v="Resigned"/>
  </r>
  <r>
    <x v="1214"/>
    <n v="44"/>
    <x v="1"/>
    <s v="Healthcare Representative"/>
    <n v="3"/>
    <n v="7879"/>
    <n v="8"/>
    <n v="3"/>
    <x v="1"/>
    <s v="Active"/>
  </r>
  <r>
    <x v="1215"/>
    <n v="35"/>
    <x v="1"/>
    <s v="Research Scientist"/>
    <n v="1"/>
    <n v="4930"/>
    <n v="5"/>
    <n v="4"/>
    <x v="1"/>
    <s v="Active"/>
  </r>
  <r>
    <x v="1216"/>
    <n v="43"/>
    <x v="0"/>
    <s v="Sales Executive"/>
    <n v="2"/>
    <n v="7847"/>
    <n v="10"/>
    <n v="3"/>
    <x v="1"/>
    <s v="Active"/>
  </r>
  <r>
    <x v="1217"/>
    <n v="24"/>
    <x v="1"/>
    <s v="Research Scientist"/>
    <n v="1"/>
    <n v="4401"/>
    <n v="5"/>
    <n v="3"/>
    <x v="1"/>
    <s v="Active"/>
  </r>
  <r>
    <x v="1218"/>
    <n v="41"/>
    <x v="0"/>
    <s v="Sales Executive"/>
    <n v="3"/>
    <n v="9241"/>
    <n v="10"/>
    <n v="3"/>
    <x v="1"/>
    <s v="Active"/>
  </r>
  <r>
    <x v="1219"/>
    <n v="29"/>
    <x v="1"/>
    <s v="Laboratory Technician"/>
    <n v="1"/>
    <n v="2974"/>
    <n v="5"/>
    <n v="3"/>
    <x v="1"/>
    <s v="Active"/>
  </r>
  <r>
    <x v="1220"/>
    <n v="36"/>
    <x v="0"/>
    <s v="Sales Representative"/>
    <n v="2"/>
    <n v="4502"/>
    <n v="13"/>
    <n v="2"/>
    <x v="1"/>
    <s v="Active"/>
  </r>
  <r>
    <x v="1221"/>
    <n v="45"/>
    <x v="1"/>
    <s v="Healthcare Representative"/>
    <n v="3"/>
    <n v="10748"/>
    <n v="23"/>
    <n v="2"/>
    <x v="1"/>
    <s v="Active"/>
  </r>
  <r>
    <x v="1222"/>
    <n v="24"/>
    <x v="2"/>
    <s v="Human Resources"/>
    <n v="1"/>
    <n v="1555"/>
    <n v="1"/>
    <n v="3"/>
    <x v="0"/>
    <s v="Resigned"/>
  </r>
  <r>
    <x v="1223"/>
    <n v="47"/>
    <x v="0"/>
    <s v="Sales Executive"/>
    <n v="4"/>
    <n v="12936"/>
    <n v="23"/>
    <n v="1"/>
    <x v="0"/>
    <s v="Resigned"/>
  </r>
  <r>
    <x v="1224"/>
    <n v="26"/>
    <x v="1"/>
    <s v="Laboratory Technician"/>
    <n v="1"/>
    <n v="2305"/>
    <n v="3"/>
    <n v="4"/>
    <x v="1"/>
    <s v="Active"/>
  </r>
  <r>
    <x v="1225"/>
    <n v="45"/>
    <x v="1"/>
    <s v="Research Director"/>
    <n v="4"/>
    <n v="16704"/>
    <n v="21"/>
    <n v="3"/>
    <x v="1"/>
    <s v="Active"/>
  </r>
  <r>
    <x v="1226"/>
    <n v="32"/>
    <x v="1"/>
    <s v="Research Scientist"/>
    <n v="1"/>
    <n v="3433"/>
    <n v="5"/>
    <n v="2"/>
    <x v="1"/>
    <s v="Active"/>
  </r>
  <r>
    <x v="1227"/>
    <n v="31"/>
    <x v="1"/>
    <s v="Laboratory Technician"/>
    <n v="1"/>
    <n v="3477"/>
    <n v="5"/>
    <n v="4"/>
    <x v="1"/>
    <s v="Active"/>
  </r>
  <r>
    <x v="1228"/>
    <n v="41"/>
    <x v="2"/>
    <s v="Human Resources"/>
    <n v="2"/>
    <n v="6430"/>
    <n v="3"/>
    <n v="3"/>
    <x v="1"/>
    <s v="Active"/>
  </r>
  <r>
    <x v="1229"/>
    <n v="40"/>
    <x v="1"/>
    <s v="Manufacturing Director"/>
    <n v="2"/>
    <n v="6516"/>
    <n v="1"/>
    <n v="3"/>
    <x v="1"/>
    <s v="Active"/>
  </r>
  <r>
    <x v="1230"/>
    <n v="24"/>
    <x v="1"/>
    <s v="Laboratory Technician"/>
    <n v="1"/>
    <n v="3907"/>
    <n v="6"/>
    <n v="4"/>
    <x v="1"/>
    <s v="Active"/>
  </r>
  <r>
    <x v="1231"/>
    <n v="46"/>
    <x v="1"/>
    <s v="Healthcare Representative"/>
    <n v="2"/>
    <n v="5562"/>
    <n v="10"/>
    <n v="3"/>
    <x v="1"/>
    <s v="Active"/>
  </r>
  <r>
    <x v="1232"/>
    <n v="35"/>
    <x v="1"/>
    <s v="Manufacturing Director"/>
    <n v="2"/>
    <n v="6883"/>
    <n v="7"/>
    <n v="3"/>
    <x v="1"/>
    <s v="Active"/>
  </r>
  <r>
    <x v="1233"/>
    <n v="30"/>
    <x v="1"/>
    <s v="Research Scientist"/>
    <n v="1"/>
    <n v="2862"/>
    <n v="10"/>
    <n v="2"/>
    <x v="1"/>
    <s v="Active"/>
  </r>
  <r>
    <x v="1234"/>
    <n v="47"/>
    <x v="0"/>
    <s v="Sales Executive"/>
    <n v="2"/>
    <n v="4978"/>
    <n v="1"/>
    <n v="1"/>
    <x v="1"/>
    <s v="Active"/>
  </r>
  <r>
    <x v="1235"/>
    <n v="46"/>
    <x v="0"/>
    <s v="Sales Executive"/>
    <n v="3"/>
    <n v="10368"/>
    <n v="10"/>
    <n v="2"/>
    <x v="1"/>
    <s v="Active"/>
  </r>
  <r>
    <x v="1236"/>
    <n v="36"/>
    <x v="0"/>
    <s v="Sales Executive"/>
    <n v="2"/>
    <n v="6134"/>
    <n v="2"/>
    <n v="3"/>
    <x v="0"/>
    <s v="Resigned"/>
  </r>
  <r>
    <x v="1237"/>
    <n v="32"/>
    <x v="0"/>
    <s v="Sales Executive"/>
    <n v="2"/>
    <n v="6735"/>
    <n v="0"/>
    <n v="3"/>
    <x v="0"/>
    <s v="Resigned"/>
  </r>
  <r>
    <x v="1238"/>
    <n v="23"/>
    <x v="1"/>
    <s v="Laboratory Technician"/>
    <n v="1"/>
    <n v="3295"/>
    <n v="3"/>
    <n v="1"/>
    <x v="1"/>
    <s v="Active"/>
  </r>
  <r>
    <x v="1239"/>
    <n v="31"/>
    <x v="1"/>
    <s v="Manufacturing Director"/>
    <n v="2"/>
    <n v="5238"/>
    <n v="5"/>
    <n v="2"/>
    <x v="1"/>
    <s v="Active"/>
  </r>
  <r>
    <x v="1240"/>
    <n v="39"/>
    <x v="1"/>
    <s v="Laboratory Technician"/>
    <n v="2"/>
    <n v="6472"/>
    <n v="9"/>
    <n v="3"/>
    <x v="1"/>
    <s v="Active"/>
  </r>
  <r>
    <x v="1241"/>
    <n v="32"/>
    <x v="0"/>
    <s v="Sales Executive"/>
    <n v="3"/>
    <n v="9610"/>
    <n v="4"/>
    <n v="1"/>
    <x v="1"/>
    <s v="Active"/>
  </r>
  <r>
    <x v="1242"/>
    <n v="40"/>
    <x v="0"/>
    <s v="Manager"/>
    <n v="5"/>
    <n v="19833"/>
    <n v="21"/>
    <n v="2"/>
    <x v="1"/>
    <s v="Active"/>
  </r>
  <r>
    <x v="1243"/>
    <n v="45"/>
    <x v="2"/>
    <s v="Human Resources"/>
    <n v="3"/>
    <n v="9756"/>
    <n v="5"/>
    <n v="4"/>
    <x v="1"/>
    <s v="Active"/>
  </r>
  <r>
    <x v="1244"/>
    <n v="30"/>
    <x v="1"/>
    <s v="Research Scientist"/>
    <n v="1"/>
    <n v="4968"/>
    <n v="9"/>
    <n v="3"/>
    <x v="1"/>
    <s v="Active"/>
  </r>
  <r>
    <x v="1245"/>
    <n v="24"/>
    <x v="2"/>
    <s v="Human Resources"/>
    <n v="1"/>
    <n v="2145"/>
    <n v="2"/>
    <n v="3"/>
    <x v="1"/>
    <s v="Active"/>
  </r>
  <r>
    <x v="1246"/>
    <n v="30"/>
    <x v="2"/>
    <s v="Human Resources"/>
    <n v="1"/>
    <n v="2180"/>
    <n v="4"/>
    <n v="2"/>
    <x v="0"/>
    <s v="Resigned"/>
  </r>
  <r>
    <x v="1247"/>
    <n v="31"/>
    <x v="0"/>
    <s v="Sales Executive"/>
    <n v="2"/>
    <n v="8346"/>
    <n v="5"/>
    <n v="3"/>
    <x v="1"/>
    <s v="Active"/>
  </r>
  <r>
    <x v="1248"/>
    <n v="27"/>
    <x v="1"/>
    <s v="Research Scientist"/>
    <n v="1"/>
    <n v="3445"/>
    <n v="6"/>
    <n v="2"/>
    <x v="1"/>
    <s v="Active"/>
  </r>
  <r>
    <x v="1249"/>
    <n v="29"/>
    <x v="0"/>
    <s v="Sales Representative"/>
    <n v="1"/>
    <n v="2760"/>
    <n v="2"/>
    <n v="3"/>
    <x v="0"/>
    <s v="Resigned"/>
  </r>
  <r>
    <x v="1250"/>
    <n v="29"/>
    <x v="1"/>
    <s v="Healthcare Representative"/>
    <n v="2"/>
    <n v="6294"/>
    <n v="3"/>
    <n v="4"/>
    <x v="1"/>
    <s v="Active"/>
  </r>
  <r>
    <x v="1251"/>
    <n v="30"/>
    <x v="0"/>
    <s v="Sales Executive"/>
    <n v="3"/>
    <n v="7140"/>
    <n v="7"/>
    <n v="3"/>
    <x v="1"/>
    <s v="Active"/>
  </r>
  <r>
    <x v="1252"/>
    <n v="34"/>
    <x v="1"/>
    <s v="Research Scientist"/>
    <n v="1"/>
    <n v="2932"/>
    <n v="5"/>
    <n v="3"/>
    <x v="1"/>
    <s v="Active"/>
  </r>
  <r>
    <x v="1253"/>
    <n v="33"/>
    <x v="0"/>
    <s v="Sales Executive"/>
    <n v="2"/>
    <n v="5147"/>
    <n v="11"/>
    <n v="2"/>
    <x v="1"/>
    <s v="Active"/>
  </r>
  <r>
    <x v="1254"/>
    <n v="49"/>
    <x v="0"/>
    <s v="Sales Executive"/>
    <n v="2"/>
    <n v="4507"/>
    <n v="5"/>
    <n v="4"/>
    <x v="1"/>
    <s v="Active"/>
  </r>
  <r>
    <x v="1255"/>
    <n v="33"/>
    <x v="0"/>
    <s v="Sales Executive"/>
    <n v="3"/>
    <n v="8564"/>
    <n v="0"/>
    <n v="2"/>
    <x v="0"/>
    <s v="Resigned"/>
  </r>
  <r>
    <x v="1256"/>
    <n v="38"/>
    <x v="1"/>
    <s v="Laboratory Technician"/>
    <n v="1"/>
    <n v="2468"/>
    <n v="6"/>
    <n v="2"/>
    <x v="1"/>
    <s v="Active"/>
  </r>
  <r>
    <x v="1257"/>
    <n v="31"/>
    <x v="0"/>
    <s v="Sales Executive"/>
    <n v="3"/>
    <n v="8161"/>
    <n v="1"/>
    <n v="3"/>
    <x v="0"/>
    <s v="Resigned"/>
  </r>
  <r>
    <x v="1258"/>
    <n v="29"/>
    <x v="1"/>
    <s v="Research Scientist"/>
    <n v="1"/>
    <n v="2109"/>
    <n v="1"/>
    <n v="3"/>
    <x v="1"/>
    <s v="Active"/>
  </r>
  <r>
    <x v="1259"/>
    <n v="30"/>
    <x v="1"/>
    <s v="Healthcare Representative"/>
    <n v="2"/>
    <n v="5294"/>
    <n v="7"/>
    <n v="3"/>
    <x v="1"/>
    <s v="Active"/>
  </r>
  <r>
    <x v="1260"/>
    <n v="32"/>
    <x v="1"/>
    <s v="Research Scientist"/>
    <n v="1"/>
    <n v="2718"/>
    <n v="7"/>
    <n v="3"/>
    <x v="1"/>
    <s v="Active"/>
  </r>
  <r>
    <x v="1261"/>
    <n v="38"/>
    <x v="1"/>
    <s v="Healthcare Representative"/>
    <n v="2"/>
    <n v="5811"/>
    <n v="1"/>
    <n v="3"/>
    <x v="1"/>
    <s v="Active"/>
  </r>
  <r>
    <x v="1262"/>
    <n v="43"/>
    <x v="1"/>
    <s v="Research Scientist"/>
    <n v="1"/>
    <n v="2437"/>
    <n v="1"/>
    <n v="3"/>
    <x v="0"/>
    <s v="Resigned"/>
  </r>
  <r>
    <x v="1263"/>
    <n v="42"/>
    <x v="1"/>
    <s v="Laboratory Technician"/>
    <n v="1"/>
    <n v="2766"/>
    <n v="5"/>
    <n v="2"/>
    <x v="1"/>
    <s v="Active"/>
  </r>
  <r>
    <x v="1264"/>
    <n v="55"/>
    <x v="1"/>
    <s v="Research Director"/>
    <n v="5"/>
    <n v="19038"/>
    <n v="1"/>
    <n v="3"/>
    <x v="1"/>
    <s v="Active"/>
  </r>
  <r>
    <x v="1265"/>
    <n v="33"/>
    <x v="1"/>
    <s v="Research Scientist"/>
    <n v="2"/>
    <n v="3055"/>
    <n v="9"/>
    <n v="2"/>
    <x v="1"/>
    <s v="Active"/>
  </r>
  <r>
    <x v="1266"/>
    <n v="41"/>
    <x v="1"/>
    <s v="Laboratory Technician"/>
    <n v="1"/>
    <n v="2289"/>
    <n v="5"/>
    <n v="3"/>
    <x v="1"/>
    <s v="Active"/>
  </r>
  <r>
    <x v="1267"/>
    <n v="34"/>
    <x v="0"/>
    <s v="Sales Executive"/>
    <n v="2"/>
    <n v="4001"/>
    <n v="15"/>
    <n v="3"/>
    <x v="1"/>
    <s v="Active"/>
  </r>
  <r>
    <x v="1268"/>
    <n v="53"/>
    <x v="1"/>
    <s v="Manufacturing Director"/>
    <n v="4"/>
    <n v="12965"/>
    <n v="3"/>
    <n v="2"/>
    <x v="1"/>
    <s v="Active"/>
  </r>
  <r>
    <x v="1269"/>
    <n v="43"/>
    <x v="2"/>
    <s v="Human Resources"/>
    <n v="1"/>
    <n v="3539"/>
    <n v="9"/>
    <n v="3"/>
    <x v="1"/>
    <s v="Active"/>
  </r>
  <r>
    <x v="1270"/>
    <n v="34"/>
    <x v="0"/>
    <s v="Sales Executive"/>
    <n v="2"/>
    <n v="6029"/>
    <n v="2"/>
    <n v="3"/>
    <x v="1"/>
    <s v="Active"/>
  </r>
  <r>
    <x v="1271"/>
    <n v="21"/>
    <x v="0"/>
    <s v="Sales Representative"/>
    <n v="1"/>
    <n v="2679"/>
    <n v="1"/>
    <n v="3"/>
    <x v="0"/>
    <s v="Resigned"/>
  </r>
  <r>
    <x v="1272"/>
    <n v="38"/>
    <x v="1"/>
    <s v="Laboratory Technician"/>
    <n v="1"/>
    <n v="3702"/>
    <n v="5"/>
    <n v="3"/>
    <x v="1"/>
    <s v="Active"/>
  </r>
  <r>
    <x v="1273"/>
    <n v="22"/>
    <x v="1"/>
    <s v="Laboratory Technician"/>
    <n v="1"/>
    <n v="2398"/>
    <n v="1"/>
    <n v="3"/>
    <x v="0"/>
    <s v="Resigned"/>
  </r>
  <r>
    <x v="1274"/>
    <n v="31"/>
    <x v="0"/>
    <s v="Sales Executive"/>
    <n v="2"/>
    <n v="5468"/>
    <n v="12"/>
    <n v="3"/>
    <x v="1"/>
    <s v="Active"/>
  </r>
  <r>
    <x v="1275"/>
    <n v="51"/>
    <x v="1"/>
    <s v="Manager"/>
    <n v="3"/>
    <n v="13116"/>
    <n v="2"/>
    <n v="3"/>
    <x v="1"/>
    <s v="Active"/>
  </r>
  <r>
    <x v="1276"/>
    <n v="37"/>
    <x v="0"/>
    <s v="Sales Executive"/>
    <n v="2"/>
    <n v="4189"/>
    <n v="5"/>
    <n v="3"/>
    <x v="1"/>
    <s v="Active"/>
  </r>
  <r>
    <x v="1277"/>
    <n v="46"/>
    <x v="1"/>
    <s v="Research Director"/>
    <n v="5"/>
    <n v="19328"/>
    <n v="2"/>
    <n v="3"/>
    <x v="1"/>
    <s v="Active"/>
  </r>
  <r>
    <x v="1278"/>
    <n v="36"/>
    <x v="1"/>
    <s v="Healthcare Representative"/>
    <n v="3"/>
    <n v="8321"/>
    <n v="12"/>
    <n v="3"/>
    <x v="1"/>
    <s v="Active"/>
  </r>
  <r>
    <x v="1279"/>
    <n v="44"/>
    <x v="1"/>
    <s v="Research Scientist"/>
    <n v="1"/>
    <n v="2342"/>
    <n v="5"/>
    <n v="2"/>
    <x v="0"/>
    <s v="Resigned"/>
  </r>
  <r>
    <x v="1280"/>
    <n v="37"/>
    <x v="2"/>
    <s v="Human Resources"/>
    <n v="2"/>
    <n v="4071"/>
    <n v="10"/>
    <n v="2"/>
    <x v="1"/>
    <s v="Active"/>
  </r>
  <r>
    <x v="1281"/>
    <n v="35"/>
    <x v="0"/>
    <s v="Sales Executive"/>
    <n v="2"/>
    <n v="5813"/>
    <n v="10"/>
    <n v="3"/>
    <x v="0"/>
    <s v="Resigned"/>
  </r>
  <r>
    <x v="1282"/>
    <n v="33"/>
    <x v="1"/>
    <s v="Research Scientist"/>
    <n v="1"/>
    <n v="3143"/>
    <n v="10"/>
    <n v="3"/>
    <x v="1"/>
    <s v="Active"/>
  </r>
  <r>
    <x v="1283"/>
    <n v="28"/>
    <x v="1"/>
    <s v="Research Scientist"/>
    <n v="1"/>
    <n v="2044"/>
    <n v="5"/>
    <n v="4"/>
    <x v="1"/>
    <s v="Active"/>
  </r>
  <r>
    <x v="1284"/>
    <n v="39"/>
    <x v="1"/>
    <s v="Research Director"/>
    <n v="3"/>
    <n v="13464"/>
    <n v="4"/>
    <n v="3"/>
    <x v="1"/>
    <s v="Active"/>
  </r>
  <r>
    <x v="1285"/>
    <n v="46"/>
    <x v="0"/>
    <s v="Sales Executive"/>
    <n v="2"/>
    <n v="7991"/>
    <n v="2"/>
    <n v="3"/>
    <x v="1"/>
    <s v="Active"/>
  </r>
  <r>
    <x v="1286"/>
    <n v="40"/>
    <x v="1"/>
    <s v="Laboratory Technician"/>
    <n v="1"/>
    <n v="3377"/>
    <n v="4"/>
    <n v="2"/>
    <x v="1"/>
    <s v="Active"/>
  </r>
  <r>
    <x v="1287"/>
    <n v="42"/>
    <x v="1"/>
    <s v="Healthcare Representative"/>
    <n v="2"/>
    <n v="5538"/>
    <n v="0"/>
    <n v="2"/>
    <x v="1"/>
    <s v="Active"/>
  </r>
  <r>
    <x v="1288"/>
    <n v="35"/>
    <x v="1"/>
    <s v="Manufacturing Director"/>
    <n v="2"/>
    <n v="5762"/>
    <n v="7"/>
    <n v="3"/>
    <x v="1"/>
    <s v="Active"/>
  </r>
  <r>
    <x v="1289"/>
    <n v="38"/>
    <x v="2"/>
    <s v="Human Resources"/>
    <n v="1"/>
    <n v="2592"/>
    <n v="11"/>
    <n v="3"/>
    <x v="1"/>
    <s v="Active"/>
  </r>
  <r>
    <x v="1290"/>
    <n v="34"/>
    <x v="1"/>
    <s v="Laboratory Technician"/>
    <n v="2"/>
    <n v="5346"/>
    <n v="7"/>
    <n v="2"/>
    <x v="0"/>
    <s v="Resigned"/>
  </r>
  <r>
    <x v="1291"/>
    <n v="37"/>
    <x v="1"/>
    <s v="Manufacturing Director"/>
    <n v="2"/>
    <n v="4213"/>
    <n v="10"/>
    <n v="1"/>
    <x v="0"/>
    <s v="Resigned"/>
  </r>
  <r>
    <x v="1292"/>
    <n v="39"/>
    <x v="0"/>
    <s v="Sales Executive"/>
    <n v="2"/>
    <n v="4127"/>
    <n v="2"/>
    <n v="3"/>
    <x v="1"/>
    <s v="Active"/>
  </r>
  <r>
    <x v="1293"/>
    <n v="43"/>
    <x v="1"/>
    <s v="Research Scientist"/>
    <n v="1"/>
    <n v="2438"/>
    <n v="3"/>
    <n v="2"/>
    <x v="1"/>
    <s v="Active"/>
  </r>
  <r>
    <x v="1294"/>
    <n v="41"/>
    <x v="1"/>
    <s v="Healthcare Representative"/>
    <n v="2"/>
    <n v="6870"/>
    <n v="3"/>
    <n v="1"/>
    <x v="1"/>
    <s v="Active"/>
  </r>
  <r>
    <x v="1295"/>
    <n v="41"/>
    <x v="0"/>
    <s v="Sales Executive"/>
    <n v="3"/>
    <n v="10447"/>
    <n v="22"/>
    <n v="4"/>
    <x v="1"/>
    <s v="Active"/>
  </r>
  <r>
    <x v="1296"/>
    <n v="30"/>
    <x v="1"/>
    <s v="Manufacturing Director"/>
    <n v="3"/>
    <n v="9667"/>
    <n v="7"/>
    <n v="3"/>
    <x v="1"/>
    <s v="Active"/>
  </r>
  <r>
    <x v="1297"/>
    <n v="26"/>
    <x v="2"/>
    <s v="Human Resources"/>
    <n v="1"/>
    <n v="2148"/>
    <n v="5"/>
    <n v="3"/>
    <x v="0"/>
    <s v="Resigned"/>
  </r>
  <r>
    <x v="1298"/>
    <n v="46"/>
    <x v="1"/>
    <s v="Healthcare Representative"/>
    <n v="2"/>
    <n v="8926"/>
    <n v="9"/>
    <n v="4"/>
    <x v="0"/>
    <s v="Resigned"/>
  </r>
  <r>
    <x v="1299"/>
    <n v="40"/>
    <x v="1"/>
    <s v="Healthcare Representative"/>
    <n v="2"/>
    <n v="6513"/>
    <n v="5"/>
    <n v="3"/>
    <x v="1"/>
    <s v="Active"/>
  </r>
  <r>
    <x v="1300"/>
    <n v="34"/>
    <x v="0"/>
    <s v="Sales Executive"/>
    <n v="2"/>
    <n v="6799"/>
    <n v="10"/>
    <n v="3"/>
    <x v="1"/>
    <s v="Active"/>
  </r>
  <r>
    <x v="1301"/>
    <n v="58"/>
    <x v="0"/>
    <s v="Manager"/>
    <n v="4"/>
    <n v="16291"/>
    <n v="16"/>
    <n v="2"/>
    <x v="1"/>
    <s v="Active"/>
  </r>
  <r>
    <x v="1302"/>
    <n v="35"/>
    <x v="1"/>
    <s v="Laboratory Technician"/>
    <n v="1"/>
    <n v="2705"/>
    <n v="5"/>
    <n v="4"/>
    <x v="1"/>
    <s v="Active"/>
  </r>
  <r>
    <x v="1303"/>
    <n v="47"/>
    <x v="1"/>
    <s v="Manufacturing Director"/>
    <n v="3"/>
    <n v="10333"/>
    <n v="22"/>
    <n v="3"/>
    <x v="1"/>
    <s v="Active"/>
  </r>
  <r>
    <x v="1304"/>
    <n v="40"/>
    <x v="1"/>
    <s v="Healthcare Representative"/>
    <n v="2"/>
    <n v="4448"/>
    <n v="7"/>
    <n v="3"/>
    <x v="1"/>
    <s v="Active"/>
  </r>
  <r>
    <x v="1305"/>
    <n v="54"/>
    <x v="1"/>
    <s v="Research Scientist"/>
    <n v="2"/>
    <n v="6854"/>
    <n v="7"/>
    <n v="2"/>
    <x v="1"/>
    <s v="Active"/>
  </r>
  <r>
    <x v="1306"/>
    <n v="31"/>
    <x v="0"/>
    <s v="Sales Executive"/>
    <n v="3"/>
    <n v="9637"/>
    <n v="3"/>
    <n v="3"/>
    <x v="1"/>
    <s v="Active"/>
  </r>
  <r>
    <x v="1307"/>
    <n v="28"/>
    <x v="1"/>
    <s v="Research Scientist"/>
    <n v="1"/>
    <n v="3591"/>
    <n v="3"/>
    <n v="3"/>
    <x v="1"/>
    <s v="Active"/>
  </r>
  <r>
    <x v="1308"/>
    <n v="38"/>
    <x v="0"/>
    <s v="Sales Representative"/>
    <n v="2"/>
    <n v="5405"/>
    <n v="4"/>
    <n v="2"/>
    <x v="1"/>
    <s v="Active"/>
  </r>
  <r>
    <x v="1309"/>
    <n v="26"/>
    <x v="0"/>
    <s v="Sales Executive"/>
    <n v="2"/>
    <n v="4684"/>
    <n v="5"/>
    <n v="3"/>
    <x v="1"/>
    <s v="Active"/>
  </r>
  <r>
    <x v="1310"/>
    <n v="58"/>
    <x v="1"/>
    <s v="Research Director"/>
    <n v="4"/>
    <n v="15787"/>
    <n v="2"/>
    <n v="3"/>
    <x v="1"/>
    <s v="Active"/>
  </r>
  <r>
    <x v="1311"/>
    <n v="18"/>
    <x v="1"/>
    <s v="Research Scientist"/>
    <n v="1"/>
    <n v="1514"/>
    <n v="0"/>
    <n v="1"/>
    <x v="1"/>
    <s v="Active"/>
  </r>
  <r>
    <x v="1312"/>
    <n v="31"/>
    <x v="2"/>
    <s v="Human Resources"/>
    <n v="1"/>
    <n v="2956"/>
    <n v="1"/>
    <n v="3"/>
    <x v="0"/>
    <s v="Resigned"/>
  </r>
  <r>
    <x v="1313"/>
    <n v="29"/>
    <x v="2"/>
    <s v="Human Resources"/>
    <n v="1"/>
    <n v="2335"/>
    <n v="2"/>
    <n v="3"/>
    <x v="0"/>
    <s v="Resigned"/>
  </r>
  <r>
    <x v="1314"/>
    <n v="45"/>
    <x v="0"/>
    <s v="Sales Executive"/>
    <n v="2"/>
    <n v="5154"/>
    <n v="8"/>
    <n v="4"/>
    <x v="1"/>
    <s v="Active"/>
  </r>
  <r>
    <x v="1315"/>
    <n v="36"/>
    <x v="1"/>
    <s v="Research Scientist"/>
    <n v="2"/>
    <n v="6962"/>
    <n v="1"/>
    <n v="3"/>
    <x v="1"/>
    <s v="Active"/>
  </r>
  <r>
    <x v="1316"/>
    <n v="43"/>
    <x v="0"/>
    <s v="Sales Executive"/>
    <n v="2"/>
    <n v="5675"/>
    <n v="7"/>
    <n v="3"/>
    <x v="1"/>
    <s v="Active"/>
  </r>
  <r>
    <x v="1317"/>
    <n v="27"/>
    <x v="1"/>
    <s v="Laboratory Technician"/>
    <n v="1"/>
    <n v="2379"/>
    <n v="5"/>
    <n v="2"/>
    <x v="1"/>
    <s v="Active"/>
  </r>
  <r>
    <x v="1318"/>
    <n v="29"/>
    <x v="1"/>
    <s v="Laboratory Technician"/>
    <n v="1"/>
    <n v="3812"/>
    <n v="11"/>
    <n v="4"/>
    <x v="1"/>
    <s v="Active"/>
  </r>
  <r>
    <x v="1319"/>
    <n v="32"/>
    <x v="0"/>
    <s v="Sales Executive"/>
    <n v="2"/>
    <n v="4648"/>
    <n v="0"/>
    <n v="4"/>
    <x v="1"/>
    <s v="Active"/>
  </r>
  <r>
    <x v="1320"/>
    <n v="42"/>
    <x v="1"/>
    <s v="Research Scientist"/>
    <n v="1"/>
    <n v="2936"/>
    <n v="6"/>
    <n v="2"/>
    <x v="1"/>
    <s v="Active"/>
  </r>
  <r>
    <x v="1321"/>
    <n v="47"/>
    <x v="1"/>
    <s v="Laboratory Technician"/>
    <n v="1"/>
    <n v="2105"/>
    <n v="2"/>
    <n v="3"/>
    <x v="1"/>
    <s v="Active"/>
  </r>
  <r>
    <x v="1322"/>
    <n v="46"/>
    <x v="1"/>
    <s v="Manufacturing Director"/>
    <n v="3"/>
    <n v="8578"/>
    <n v="9"/>
    <n v="2"/>
    <x v="1"/>
    <s v="Active"/>
  </r>
  <r>
    <x v="1323"/>
    <n v="28"/>
    <x v="2"/>
    <s v="Human Resources"/>
    <n v="1"/>
    <n v="2706"/>
    <n v="3"/>
    <n v="3"/>
    <x v="1"/>
    <s v="Active"/>
  </r>
  <r>
    <x v="1324"/>
    <n v="29"/>
    <x v="1"/>
    <s v="Healthcare Representative"/>
    <n v="2"/>
    <n v="6384"/>
    <n v="7"/>
    <n v="3"/>
    <x v="1"/>
    <s v="Active"/>
  </r>
  <r>
    <x v="1325"/>
    <n v="42"/>
    <x v="1"/>
    <s v="Laboratory Technician"/>
    <n v="1"/>
    <n v="3968"/>
    <n v="0"/>
    <n v="3"/>
    <x v="1"/>
    <s v="Active"/>
  </r>
  <r>
    <x v="1326"/>
    <n v="32"/>
    <x v="0"/>
    <s v="Sales Executive"/>
    <n v="2"/>
    <n v="9907"/>
    <n v="2"/>
    <n v="2"/>
    <x v="0"/>
    <s v="Resigned"/>
  </r>
  <r>
    <x v="1327"/>
    <n v="46"/>
    <x v="0"/>
    <s v="Sales Executive"/>
    <n v="4"/>
    <n v="13225"/>
    <n v="19"/>
    <n v="3"/>
    <x v="1"/>
    <s v="Active"/>
  </r>
  <r>
    <x v="1328"/>
    <n v="27"/>
    <x v="0"/>
    <s v="Sales Representative"/>
    <n v="2"/>
    <n v="3540"/>
    <n v="9"/>
    <n v="3"/>
    <x v="1"/>
    <s v="Active"/>
  </r>
  <r>
    <x v="1329"/>
    <n v="29"/>
    <x v="2"/>
    <s v="Human Resources"/>
    <n v="1"/>
    <n v="2804"/>
    <n v="1"/>
    <n v="3"/>
    <x v="1"/>
    <s v="Active"/>
  </r>
  <r>
    <x v="1330"/>
    <n v="43"/>
    <x v="1"/>
    <s v="Manager"/>
    <n v="5"/>
    <n v="19392"/>
    <n v="16"/>
    <n v="3"/>
    <x v="1"/>
    <s v="Active"/>
  </r>
  <r>
    <x v="1331"/>
    <n v="48"/>
    <x v="1"/>
    <s v="Research Director"/>
    <n v="5"/>
    <n v="19665"/>
    <n v="22"/>
    <n v="3"/>
    <x v="1"/>
    <s v="Active"/>
  </r>
  <r>
    <x v="1332"/>
    <n v="29"/>
    <x v="1"/>
    <s v="Research Scientist"/>
    <n v="1"/>
    <n v="2439"/>
    <n v="1"/>
    <n v="2"/>
    <x v="0"/>
    <s v="Resigned"/>
  </r>
  <r>
    <x v="1333"/>
    <n v="46"/>
    <x v="0"/>
    <s v="Sales Executive"/>
    <n v="3"/>
    <n v="7314"/>
    <n v="8"/>
    <n v="3"/>
    <x v="0"/>
    <s v="Resigned"/>
  </r>
  <r>
    <x v="1334"/>
    <n v="27"/>
    <x v="1"/>
    <s v="Research Scientist"/>
    <n v="1"/>
    <n v="4774"/>
    <n v="7"/>
    <n v="2"/>
    <x v="1"/>
    <s v="Active"/>
  </r>
  <r>
    <x v="1335"/>
    <n v="39"/>
    <x v="1"/>
    <s v="Research Scientist"/>
    <n v="2"/>
    <n v="3902"/>
    <n v="2"/>
    <n v="3"/>
    <x v="1"/>
    <s v="Active"/>
  </r>
  <r>
    <x v="1336"/>
    <n v="55"/>
    <x v="1"/>
    <s v="Research Scientist"/>
    <n v="1"/>
    <n v="2662"/>
    <n v="5"/>
    <n v="4"/>
    <x v="1"/>
    <s v="Active"/>
  </r>
  <r>
    <x v="1337"/>
    <n v="28"/>
    <x v="0"/>
    <s v="Sales Representative"/>
    <n v="1"/>
    <n v="2856"/>
    <n v="1"/>
    <n v="3"/>
    <x v="1"/>
    <s v="Active"/>
  </r>
  <r>
    <x v="1338"/>
    <n v="30"/>
    <x v="0"/>
    <s v="Sales Representative"/>
    <n v="1"/>
    <n v="1081"/>
    <n v="1"/>
    <n v="2"/>
    <x v="0"/>
    <s v="Resigned"/>
  </r>
  <r>
    <x v="1339"/>
    <n v="22"/>
    <x v="1"/>
    <s v="Research Scientist"/>
    <n v="1"/>
    <n v="2472"/>
    <n v="1"/>
    <n v="3"/>
    <x v="0"/>
    <s v="Resigned"/>
  </r>
  <r>
    <x v="1340"/>
    <n v="36"/>
    <x v="0"/>
    <s v="Sales Executive"/>
    <n v="2"/>
    <n v="5673"/>
    <n v="10"/>
    <n v="3"/>
    <x v="1"/>
    <s v="Active"/>
  </r>
  <r>
    <x v="1341"/>
    <n v="31"/>
    <x v="1"/>
    <s v="Laboratory Technician"/>
    <n v="2"/>
    <n v="4197"/>
    <n v="10"/>
    <n v="3"/>
    <x v="1"/>
    <s v="Active"/>
  </r>
  <r>
    <x v="1342"/>
    <n v="34"/>
    <x v="0"/>
    <s v="Sales Executive"/>
    <n v="3"/>
    <n v="9713"/>
    <n v="5"/>
    <n v="3"/>
    <x v="1"/>
    <s v="Active"/>
  </r>
  <r>
    <x v="1343"/>
    <n v="29"/>
    <x v="1"/>
    <s v="Laboratory Technician"/>
    <n v="1"/>
    <n v="2062"/>
    <n v="3"/>
    <n v="3"/>
    <x v="1"/>
    <s v="Active"/>
  </r>
  <r>
    <x v="1344"/>
    <n v="37"/>
    <x v="1"/>
    <s v="Research Scientist"/>
    <n v="2"/>
    <n v="4284"/>
    <n v="5"/>
    <n v="3"/>
    <x v="1"/>
    <s v="Active"/>
  </r>
  <r>
    <x v="1345"/>
    <n v="35"/>
    <x v="1"/>
    <s v="Manufacturing Director"/>
    <n v="2"/>
    <n v="4788"/>
    <n v="3"/>
    <n v="3"/>
    <x v="1"/>
    <s v="Active"/>
  </r>
  <r>
    <x v="1346"/>
    <n v="45"/>
    <x v="1"/>
    <s v="Manufacturing Director"/>
    <n v="2"/>
    <n v="5906"/>
    <n v="9"/>
    <n v="2"/>
    <x v="1"/>
    <s v="Active"/>
  </r>
  <r>
    <x v="1347"/>
    <n v="36"/>
    <x v="2"/>
    <s v="Human Resources"/>
    <n v="2"/>
    <n v="3886"/>
    <n v="10"/>
    <n v="2"/>
    <x v="1"/>
    <s v="Active"/>
  </r>
  <r>
    <x v="1348"/>
    <n v="40"/>
    <x v="1"/>
    <s v="Manager"/>
    <n v="4"/>
    <n v="16823"/>
    <n v="19"/>
    <n v="3"/>
    <x v="1"/>
    <s v="Active"/>
  </r>
  <r>
    <x v="1349"/>
    <n v="26"/>
    <x v="1"/>
    <s v="Research Scientist"/>
    <n v="1"/>
    <n v="2933"/>
    <n v="1"/>
    <n v="2"/>
    <x v="1"/>
    <s v="Active"/>
  </r>
  <r>
    <x v="1350"/>
    <n v="27"/>
    <x v="0"/>
    <s v="Sales Executive"/>
    <n v="2"/>
    <n v="6500"/>
    <n v="8"/>
    <n v="2"/>
    <x v="1"/>
    <s v="Active"/>
  </r>
  <r>
    <x v="1351"/>
    <n v="48"/>
    <x v="1"/>
    <s v="Manager"/>
    <n v="4"/>
    <n v="17174"/>
    <n v="22"/>
    <n v="3"/>
    <x v="1"/>
    <s v="Active"/>
  </r>
  <r>
    <x v="1352"/>
    <n v="44"/>
    <x v="1"/>
    <s v="Healthcare Representative"/>
    <n v="2"/>
    <n v="5033"/>
    <n v="2"/>
    <n v="3"/>
    <x v="1"/>
    <s v="Active"/>
  </r>
  <r>
    <x v="1353"/>
    <n v="34"/>
    <x v="1"/>
    <s v="Research Scientist"/>
    <n v="1"/>
    <n v="2307"/>
    <n v="5"/>
    <n v="3"/>
    <x v="0"/>
    <s v="Resigned"/>
  </r>
  <r>
    <x v="1354"/>
    <n v="56"/>
    <x v="1"/>
    <s v="Laboratory Technician"/>
    <n v="1"/>
    <n v="2587"/>
    <n v="4"/>
    <n v="3"/>
    <x v="0"/>
    <s v="Resigned"/>
  </r>
  <r>
    <x v="1355"/>
    <n v="36"/>
    <x v="0"/>
    <s v="Sales Executive"/>
    <n v="2"/>
    <n v="5507"/>
    <n v="4"/>
    <n v="1"/>
    <x v="1"/>
    <s v="Active"/>
  </r>
  <r>
    <x v="1356"/>
    <n v="41"/>
    <x v="0"/>
    <s v="Sales Executive"/>
    <n v="2"/>
    <n v="4393"/>
    <n v="5"/>
    <n v="3"/>
    <x v="1"/>
    <s v="Active"/>
  </r>
  <r>
    <x v="1357"/>
    <n v="42"/>
    <x v="1"/>
    <s v="Research Director"/>
    <n v="3"/>
    <n v="13348"/>
    <n v="13"/>
    <n v="4"/>
    <x v="1"/>
    <s v="Active"/>
  </r>
  <r>
    <x v="1358"/>
    <n v="31"/>
    <x v="0"/>
    <s v="Sales Executive"/>
    <n v="2"/>
    <n v="6583"/>
    <n v="5"/>
    <n v="3"/>
    <x v="1"/>
    <s v="Active"/>
  </r>
  <r>
    <x v="1359"/>
    <n v="34"/>
    <x v="0"/>
    <s v="Sales Executive"/>
    <n v="2"/>
    <n v="8103"/>
    <n v="4"/>
    <n v="2"/>
    <x v="1"/>
    <s v="Active"/>
  </r>
  <r>
    <x v="1360"/>
    <n v="31"/>
    <x v="1"/>
    <s v="Laboratory Technician"/>
    <n v="1"/>
    <n v="3978"/>
    <n v="2"/>
    <n v="2"/>
    <x v="1"/>
    <s v="Active"/>
  </r>
  <r>
    <x v="1361"/>
    <n v="26"/>
    <x v="1"/>
    <s v="Laboratory Technician"/>
    <n v="1"/>
    <n v="2544"/>
    <n v="7"/>
    <n v="3"/>
    <x v="1"/>
    <s v="Active"/>
  </r>
  <r>
    <x v="1362"/>
    <n v="45"/>
    <x v="1"/>
    <s v="Healthcare Representative"/>
    <n v="2"/>
    <n v="5399"/>
    <n v="4"/>
    <n v="3"/>
    <x v="1"/>
    <s v="Active"/>
  </r>
  <r>
    <x v="1363"/>
    <n v="33"/>
    <x v="0"/>
    <s v="Sales Executive"/>
    <n v="2"/>
    <n v="5487"/>
    <n v="10"/>
    <n v="2"/>
    <x v="1"/>
    <s v="Active"/>
  </r>
  <r>
    <x v="1364"/>
    <n v="28"/>
    <x v="0"/>
    <s v="Sales Executive"/>
    <n v="2"/>
    <n v="6834"/>
    <n v="7"/>
    <n v="3"/>
    <x v="1"/>
    <s v="Active"/>
  </r>
  <r>
    <x v="1365"/>
    <n v="29"/>
    <x v="0"/>
    <s v="Sales Representative"/>
    <n v="1"/>
    <n v="1091"/>
    <n v="1"/>
    <n v="3"/>
    <x v="0"/>
    <s v="Resigned"/>
  </r>
  <r>
    <x v="1366"/>
    <n v="39"/>
    <x v="0"/>
    <s v="Sales Executive"/>
    <n v="2"/>
    <n v="5736"/>
    <n v="3"/>
    <n v="3"/>
    <x v="1"/>
    <s v="Active"/>
  </r>
  <r>
    <x v="1367"/>
    <n v="27"/>
    <x v="1"/>
    <s v="Research Scientist"/>
    <n v="1"/>
    <n v="2226"/>
    <n v="5"/>
    <n v="2"/>
    <x v="1"/>
    <s v="Active"/>
  </r>
  <r>
    <x v="1368"/>
    <n v="34"/>
    <x v="1"/>
    <s v="Research Scientist"/>
    <n v="2"/>
    <n v="5747"/>
    <n v="15"/>
    <n v="3"/>
    <x v="1"/>
    <s v="Active"/>
  </r>
  <r>
    <x v="1369"/>
    <n v="28"/>
    <x v="0"/>
    <s v="Sales Executive"/>
    <n v="2"/>
    <n v="9854"/>
    <n v="2"/>
    <n v="3"/>
    <x v="0"/>
    <s v="Resigned"/>
  </r>
  <r>
    <x v="1370"/>
    <n v="47"/>
    <x v="1"/>
    <s v="Research Scientist"/>
    <n v="2"/>
    <n v="5467"/>
    <n v="8"/>
    <n v="4"/>
    <x v="1"/>
    <s v="Active"/>
  </r>
  <r>
    <x v="1371"/>
    <n v="56"/>
    <x v="0"/>
    <s v="Sales Executive"/>
    <n v="2"/>
    <n v="5380"/>
    <n v="0"/>
    <n v="3"/>
    <x v="1"/>
    <s v="Active"/>
  </r>
  <r>
    <x v="1372"/>
    <n v="39"/>
    <x v="1"/>
    <s v="Manufacturing Director"/>
    <n v="2"/>
    <n v="5151"/>
    <n v="10"/>
    <n v="3"/>
    <x v="1"/>
    <s v="Active"/>
  </r>
  <r>
    <x v="1373"/>
    <n v="38"/>
    <x v="1"/>
    <s v="Research Scientist"/>
    <n v="2"/>
    <n v="2133"/>
    <n v="20"/>
    <n v="3"/>
    <x v="1"/>
    <s v="Active"/>
  </r>
  <r>
    <x v="1374"/>
    <n v="58"/>
    <x v="0"/>
    <s v="Manager"/>
    <n v="4"/>
    <n v="17875"/>
    <n v="1"/>
    <n v="2"/>
    <x v="1"/>
    <s v="Active"/>
  </r>
  <r>
    <x v="1375"/>
    <n v="32"/>
    <x v="1"/>
    <s v="Research Scientist"/>
    <n v="1"/>
    <n v="2432"/>
    <n v="4"/>
    <n v="3"/>
    <x v="0"/>
    <s v="Resigned"/>
  </r>
  <r>
    <x v="1376"/>
    <n v="38"/>
    <x v="1"/>
    <s v="Research Scientist"/>
    <n v="1"/>
    <n v="4771"/>
    <n v="5"/>
    <n v="4"/>
    <x v="1"/>
    <s v="Active"/>
  </r>
  <r>
    <x v="1377"/>
    <n v="49"/>
    <x v="1"/>
    <s v="Research Director"/>
    <n v="5"/>
    <n v="19161"/>
    <n v="5"/>
    <n v="3"/>
    <x v="1"/>
    <s v="Active"/>
  </r>
  <r>
    <x v="1378"/>
    <n v="42"/>
    <x v="0"/>
    <s v="Sales Executive"/>
    <n v="2"/>
    <n v="5087"/>
    <n v="0"/>
    <n v="3"/>
    <x v="1"/>
    <s v="Active"/>
  </r>
  <r>
    <x v="1379"/>
    <n v="27"/>
    <x v="2"/>
    <s v="Human Resources"/>
    <n v="1"/>
    <n v="2863"/>
    <n v="1"/>
    <n v="3"/>
    <x v="0"/>
    <s v="Resigned"/>
  </r>
  <r>
    <x v="1380"/>
    <n v="35"/>
    <x v="0"/>
    <s v="Sales Executive"/>
    <n v="2"/>
    <n v="5561"/>
    <n v="5"/>
    <n v="1"/>
    <x v="1"/>
    <s v="Active"/>
  </r>
  <r>
    <x v="1381"/>
    <n v="28"/>
    <x v="1"/>
    <s v="Research Scientist"/>
    <n v="1"/>
    <n v="2144"/>
    <n v="5"/>
    <n v="2"/>
    <x v="1"/>
    <s v="Active"/>
  </r>
  <r>
    <x v="1382"/>
    <n v="31"/>
    <x v="1"/>
    <s v="Research Scientist"/>
    <n v="1"/>
    <n v="3065"/>
    <n v="4"/>
    <n v="4"/>
    <x v="1"/>
    <s v="Active"/>
  </r>
  <r>
    <x v="1383"/>
    <n v="36"/>
    <x v="1"/>
    <s v="Laboratory Technician"/>
    <n v="1"/>
    <n v="2810"/>
    <n v="5"/>
    <n v="3"/>
    <x v="1"/>
    <s v="Active"/>
  </r>
  <r>
    <x v="1384"/>
    <n v="34"/>
    <x v="0"/>
    <s v="Sales Executive"/>
    <n v="3"/>
    <n v="9888"/>
    <n v="14"/>
    <n v="2"/>
    <x v="1"/>
    <s v="Active"/>
  </r>
  <r>
    <x v="1385"/>
    <n v="34"/>
    <x v="0"/>
    <s v="Sales Executive"/>
    <n v="3"/>
    <n v="8628"/>
    <n v="8"/>
    <n v="2"/>
    <x v="1"/>
    <s v="Active"/>
  </r>
  <r>
    <x v="1386"/>
    <n v="26"/>
    <x v="1"/>
    <s v="Laboratory Technician"/>
    <n v="1"/>
    <n v="2867"/>
    <n v="7"/>
    <n v="2"/>
    <x v="1"/>
    <s v="Active"/>
  </r>
  <r>
    <x v="1387"/>
    <n v="29"/>
    <x v="1"/>
    <s v="Healthcare Representative"/>
    <n v="2"/>
    <n v="5373"/>
    <n v="5"/>
    <n v="2"/>
    <x v="1"/>
    <s v="Active"/>
  </r>
  <r>
    <x v="1388"/>
    <n v="32"/>
    <x v="1"/>
    <s v="Healthcare Representative"/>
    <n v="2"/>
    <n v="6667"/>
    <n v="5"/>
    <n v="3"/>
    <x v="1"/>
    <s v="Active"/>
  </r>
  <r>
    <x v="1389"/>
    <n v="31"/>
    <x v="1"/>
    <s v="Research Scientist"/>
    <n v="2"/>
    <n v="5003"/>
    <n v="10"/>
    <n v="3"/>
    <x v="1"/>
    <s v="Active"/>
  </r>
  <r>
    <x v="1390"/>
    <n v="28"/>
    <x v="1"/>
    <s v="Laboratory Technician"/>
    <n v="1"/>
    <n v="2367"/>
    <n v="4"/>
    <n v="2"/>
    <x v="0"/>
    <s v="Resigned"/>
  </r>
  <r>
    <x v="1391"/>
    <n v="38"/>
    <x v="0"/>
    <s v="Sales Representative"/>
    <n v="1"/>
    <n v="2858"/>
    <n v="1"/>
    <n v="2"/>
    <x v="1"/>
    <s v="Active"/>
  </r>
  <r>
    <x v="1392"/>
    <n v="35"/>
    <x v="0"/>
    <s v="Sales Executive"/>
    <n v="2"/>
    <n v="5204"/>
    <n v="10"/>
    <n v="3"/>
    <x v="1"/>
    <s v="Active"/>
  </r>
  <r>
    <x v="1393"/>
    <n v="27"/>
    <x v="0"/>
    <s v="Sales Executive"/>
    <n v="2"/>
    <n v="4105"/>
    <n v="7"/>
    <n v="3"/>
    <x v="1"/>
    <s v="Active"/>
  </r>
  <r>
    <x v="1394"/>
    <n v="32"/>
    <x v="1"/>
    <s v="Manufacturing Director"/>
    <n v="2"/>
    <n v="9679"/>
    <n v="1"/>
    <n v="3"/>
    <x v="1"/>
    <s v="Active"/>
  </r>
  <r>
    <x v="1395"/>
    <n v="31"/>
    <x v="0"/>
    <s v="Sales Executive"/>
    <n v="2"/>
    <n v="5617"/>
    <n v="10"/>
    <n v="3"/>
    <x v="0"/>
    <s v="Resigned"/>
  </r>
  <r>
    <x v="1396"/>
    <n v="53"/>
    <x v="0"/>
    <s v="Sales Executive"/>
    <n v="3"/>
    <n v="10448"/>
    <n v="2"/>
    <n v="2"/>
    <x v="0"/>
    <s v="Resigned"/>
  </r>
  <r>
    <x v="1397"/>
    <n v="54"/>
    <x v="1"/>
    <s v="Research Scientist"/>
    <n v="2"/>
    <n v="2897"/>
    <n v="4"/>
    <n v="2"/>
    <x v="1"/>
    <s v="Active"/>
  </r>
  <r>
    <x v="1398"/>
    <n v="33"/>
    <x v="1"/>
    <s v="Healthcare Representative"/>
    <n v="2"/>
    <n v="5968"/>
    <n v="9"/>
    <n v="3"/>
    <x v="1"/>
    <s v="Active"/>
  </r>
  <r>
    <x v="1399"/>
    <n v="43"/>
    <x v="1"/>
    <s v="Healthcare Representative"/>
    <n v="3"/>
    <n v="7510"/>
    <n v="10"/>
    <n v="3"/>
    <x v="1"/>
    <s v="Active"/>
  </r>
  <r>
    <x v="1400"/>
    <n v="38"/>
    <x v="2"/>
    <s v="Human Resources"/>
    <n v="1"/>
    <n v="2991"/>
    <n v="6"/>
    <n v="3"/>
    <x v="1"/>
    <s v="Active"/>
  </r>
  <r>
    <x v="1401"/>
    <n v="55"/>
    <x v="2"/>
    <s v="Manager"/>
    <n v="5"/>
    <n v="19636"/>
    <n v="10"/>
    <n v="3"/>
    <x v="1"/>
    <s v="Active"/>
  </r>
  <r>
    <x v="1402"/>
    <n v="31"/>
    <x v="1"/>
    <s v="Laboratory Technician"/>
    <n v="1"/>
    <n v="1129"/>
    <n v="1"/>
    <n v="3"/>
    <x v="1"/>
    <s v="Active"/>
  </r>
  <r>
    <x v="1403"/>
    <n v="39"/>
    <x v="0"/>
    <s v="Sales Executive"/>
    <n v="4"/>
    <n v="13341"/>
    <n v="20"/>
    <n v="3"/>
    <x v="1"/>
    <s v="Active"/>
  </r>
  <r>
    <x v="1404"/>
    <n v="42"/>
    <x v="1"/>
    <s v="Research Scientist"/>
    <n v="2"/>
    <n v="4332"/>
    <n v="20"/>
    <n v="3"/>
    <x v="1"/>
    <s v="Active"/>
  </r>
  <r>
    <x v="1405"/>
    <n v="31"/>
    <x v="1"/>
    <s v="Research Director"/>
    <n v="3"/>
    <n v="11031"/>
    <n v="11"/>
    <n v="4"/>
    <x v="1"/>
    <s v="Active"/>
  </r>
  <r>
    <x v="1406"/>
    <n v="54"/>
    <x v="1"/>
    <s v="Manufacturing Director"/>
    <n v="2"/>
    <n v="4440"/>
    <n v="5"/>
    <n v="3"/>
    <x v="1"/>
    <s v="Active"/>
  </r>
  <r>
    <x v="1407"/>
    <n v="24"/>
    <x v="1"/>
    <s v="Healthcare Representative"/>
    <n v="2"/>
    <n v="4617"/>
    <n v="4"/>
    <n v="2"/>
    <x v="1"/>
    <s v="Active"/>
  </r>
  <r>
    <x v="1408"/>
    <n v="23"/>
    <x v="1"/>
    <s v="Laboratory Technician"/>
    <n v="1"/>
    <n v="2647"/>
    <n v="5"/>
    <n v="4"/>
    <x v="1"/>
    <s v="Active"/>
  </r>
  <r>
    <x v="1409"/>
    <n v="40"/>
    <x v="1"/>
    <s v="Laboratory Technician"/>
    <n v="2"/>
    <n v="6323"/>
    <n v="10"/>
    <n v="4"/>
    <x v="1"/>
    <s v="Active"/>
  </r>
  <r>
    <x v="1410"/>
    <n v="40"/>
    <x v="0"/>
    <s v="Sales Executive"/>
    <n v="2"/>
    <n v="5677"/>
    <n v="11"/>
    <n v="3"/>
    <x v="1"/>
    <s v="Active"/>
  </r>
  <r>
    <x v="1411"/>
    <n v="25"/>
    <x v="2"/>
    <s v="Human Resources"/>
    <n v="1"/>
    <n v="2187"/>
    <n v="2"/>
    <n v="3"/>
    <x v="1"/>
    <s v="Active"/>
  </r>
  <r>
    <x v="1412"/>
    <n v="30"/>
    <x v="1"/>
    <s v="Laboratory Technician"/>
    <n v="1"/>
    <n v="3748"/>
    <n v="12"/>
    <n v="2"/>
    <x v="1"/>
    <s v="Active"/>
  </r>
  <r>
    <x v="1413"/>
    <n v="25"/>
    <x v="1"/>
    <s v="Laboratory Technician"/>
    <n v="1"/>
    <n v="3977"/>
    <n v="2"/>
    <n v="2"/>
    <x v="1"/>
    <s v="Active"/>
  </r>
  <r>
    <x v="1414"/>
    <n v="47"/>
    <x v="1"/>
    <s v="Healthcare Representative"/>
    <n v="3"/>
    <n v="8633"/>
    <n v="17"/>
    <n v="3"/>
    <x v="1"/>
    <s v="Active"/>
  </r>
  <r>
    <x v="1415"/>
    <n v="33"/>
    <x v="1"/>
    <s v="Laboratory Technician"/>
    <n v="1"/>
    <n v="2008"/>
    <n v="1"/>
    <n v="2"/>
    <x v="1"/>
    <s v="Active"/>
  </r>
  <r>
    <x v="1416"/>
    <n v="38"/>
    <x v="0"/>
    <s v="Sales Executive"/>
    <n v="2"/>
    <n v="4440"/>
    <n v="15"/>
    <n v="3"/>
    <x v="1"/>
    <s v="Active"/>
  </r>
  <r>
    <x v="1417"/>
    <n v="31"/>
    <x v="0"/>
    <s v="Sales Representative"/>
    <n v="1"/>
    <n v="3067"/>
    <n v="2"/>
    <n v="3"/>
    <x v="1"/>
    <s v="Active"/>
  </r>
  <r>
    <x v="1418"/>
    <n v="38"/>
    <x v="1"/>
    <s v="Manufacturing Director"/>
    <n v="2"/>
    <n v="5321"/>
    <n v="8"/>
    <n v="3"/>
    <x v="1"/>
    <s v="Active"/>
  </r>
  <r>
    <x v="1419"/>
    <n v="42"/>
    <x v="1"/>
    <s v="Research Scientist"/>
    <n v="2"/>
    <n v="5410"/>
    <n v="4"/>
    <n v="2"/>
    <x v="1"/>
    <s v="Active"/>
  </r>
  <r>
    <x v="1420"/>
    <n v="41"/>
    <x v="1"/>
    <s v="Research Scientist"/>
    <n v="1"/>
    <n v="2782"/>
    <n v="5"/>
    <n v="3"/>
    <x v="1"/>
    <s v="Active"/>
  </r>
  <r>
    <x v="1421"/>
    <n v="47"/>
    <x v="1"/>
    <s v="Research Director"/>
    <n v="3"/>
    <n v="11957"/>
    <n v="13"/>
    <n v="1"/>
    <x v="1"/>
    <s v="Active"/>
  </r>
  <r>
    <x v="1422"/>
    <n v="35"/>
    <x v="1"/>
    <s v="Laboratory Technician"/>
    <n v="1"/>
    <n v="2660"/>
    <n v="2"/>
    <n v="3"/>
    <x v="1"/>
    <s v="Active"/>
  </r>
  <r>
    <x v="1423"/>
    <n v="22"/>
    <x v="1"/>
    <s v="Research Scientist"/>
    <n v="1"/>
    <n v="3375"/>
    <n v="3"/>
    <n v="4"/>
    <x v="1"/>
    <s v="Active"/>
  </r>
  <r>
    <x v="1424"/>
    <n v="35"/>
    <x v="1"/>
    <s v="Research Scientist"/>
    <n v="2"/>
    <n v="5098"/>
    <n v="10"/>
    <n v="3"/>
    <x v="1"/>
    <s v="Active"/>
  </r>
  <r>
    <x v="1425"/>
    <n v="33"/>
    <x v="1"/>
    <s v="Healthcare Representative"/>
    <n v="2"/>
    <n v="4878"/>
    <n v="9"/>
    <n v="3"/>
    <x v="1"/>
    <s v="Active"/>
  </r>
  <r>
    <x v="1426"/>
    <n v="32"/>
    <x v="1"/>
    <s v="Laboratory Technician"/>
    <n v="1"/>
    <n v="2837"/>
    <n v="6"/>
    <n v="3"/>
    <x v="1"/>
    <s v="Active"/>
  </r>
  <r>
    <x v="1427"/>
    <n v="40"/>
    <x v="1"/>
    <s v="Laboratory Technician"/>
    <n v="1"/>
    <n v="2406"/>
    <n v="1"/>
    <n v="2"/>
    <x v="1"/>
    <s v="Active"/>
  </r>
  <r>
    <x v="1428"/>
    <n v="32"/>
    <x v="0"/>
    <s v="Sales Representative"/>
    <n v="1"/>
    <n v="2269"/>
    <n v="2"/>
    <n v="3"/>
    <x v="1"/>
    <s v="Active"/>
  </r>
  <r>
    <x v="1429"/>
    <n v="39"/>
    <x v="1"/>
    <s v="Research Scientist"/>
    <n v="2"/>
    <n v="4108"/>
    <n v="7"/>
    <n v="3"/>
    <x v="1"/>
    <s v="Active"/>
  </r>
  <r>
    <x v="1430"/>
    <n v="38"/>
    <x v="1"/>
    <s v="Research Director"/>
    <n v="3"/>
    <n v="13206"/>
    <n v="18"/>
    <n v="3"/>
    <x v="1"/>
    <s v="Active"/>
  </r>
  <r>
    <x v="1431"/>
    <n v="32"/>
    <x v="0"/>
    <s v="Sales Executive"/>
    <n v="3"/>
    <n v="10422"/>
    <n v="14"/>
    <n v="3"/>
    <x v="1"/>
    <s v="Active"/>
  </r>
  <r>
    <x v="1432"/>
    <n v="37"/>
    <x v="1"/>
    <s v="Research Director"/>
    <n v="3"/>
    <n v="13744"/>
    <n v="16"/>
    <n v="3"/>
    <x v="1"/>
    <s v="Active"/>
  </r>
  <r>
    <x v="1433"/>
    <n v="25"/>
    <x v="0"/>
    <s v="Sales Executive"/>
    <n v="2"/>
    <n v="4907"/>
    <n v="5"/>
    <n v="2"/>
    <x v="1"/>
    <s v="Active"/>
  </r>
  <r>
    <x v="1434"/>
    <n v="52"/>
    <x v="0"/>
    <s v="Sales Representative"/>
    <n v="1"/>
    <n v="3482"/>
    <n v="9"/>
    <n v="2"/>
    <x v="1"/>
    <s v="Active"/>
  </r>
  <r>
    <x v="1435"/>
    <n v="44"/>
    <x v="1"/>
    <s v="Research Scientist"/>
    <n v="1"/>
    <n v="2436"/>
    <n v="4"/>
    <n v="3"/>
    <x v="1"/>
    <s v="Active"/>
  </r>
  <r>
    <x v="1436"/>
    <n v="21"/>
    <x v="0"/>
    <s v="Sales Representative"/>
    <n v="1"/>
    <n v="2380"/>
    <n v="2"/>
    <n v="3"/>
    <x v="1"/>
    <s v="Active"/>
  </r>
  <r>
    <x v="1437"/>
    <n v="39"/>
    <x v="1"/>
    <s v="Manager"/>
    <n v="5"/>
    <n v="19431"/>
    <n v="6"/>
    <n v="2"/>
    <x v="1"/>
    <s v="Active"/>
  </r>
  <r>
    <x v="1438"/>
    <n v="23"/>
    <x v="0"/>
    <s v="Sales Representative"/>
    <n v="1"/>
    <n v="1790"/>
    <n v="1"/>
    <n v="2"/>
    <x v="0"/>
    <s v="Resigned"/>
  </r>
  <r>
    <x v="1439"/>
    <n v="36"/>
    <x v="0"/>
    <s v="Sales Executive"/>
    <n v="3"/>
    <n v="7644"/>
    <n v="9"/>
    <n v="3"/>
    <x v="1"/>
    <s v="Active"/>
  </r>
  <r>
    <x v="1440"/>
    <n v="36"/>
    <x v="1"/>
    <s v="Manufacturing Director"/>
    <n v="2"/>
    <n v="5131"/>
    <n v="4"/>
    <n v="3"/>
    <x v="1"/>
    <s v="Active"/>
  </r>
  <r>
    <x v="1441"/>
    <n v="56"/>
    <x v="1"/>
    <s v="Healthcare Representative"/>
    <n v="2"/>
    <n v="6306"/>
    <n v="13"/>
    <n v="2"/>
    <x v="1"/>
    <s v="Active"/>
  </r>
  <r>
    <x v="1442"/>
    <n v="29"/>
    <x v="1"/>
    <s v="Research Scientist"/>
    <n v="1"/>
    <n v="4787"/>
    <n v="2"/>
    <n v="4"/>
    <x v="0"/>
    <s v="Resigned"/>
  </r>
  <r>
    <x v="1443"/>
    <n v="42"/>
    <x v="1"/>
    <s v="Manager"/>
    <n v="5"/>
    <n v="18880"/>
    <n v="22"/>
    <n v="2"/>
    <x v="1"/>
    <s v="Active"/>
  </r>
  <r>
    <x v="1444"/>
    <n v="56"/>
    <x v="1"/>
    <s v="Laboratory Technician"/>
    <n v="1"/>
    <n v="2339"/>
    <n v="10"/>
    <n v="1"/>
    <x v="0"/>
    <s v="Resigned"/>
  </r>
  <r>
    <x v="1445"/>
    <n v="41"/>
    <x v="1"/>
    <s v="Manufacturing Director"/>
    <n v="4"/>
    <n v="13570"/>
    <n v="20"/>
    <n v="3"/>
    <x v="1"/>
    <s v="Active"/>
  </r>
  <r>
    <x v="1446"/>
    <n v="34"/>
    <x v="0"/>
    <s v="Sales Executive"/>
    <n v="2"/>
    <n v="6712"/>
    <n v="8"/>
    <n v="3"/>
    <x v="1"/>
    <s v="Active"/>
  </r>
  <r>
    <x v="1447"/>
    <n v="36"/>
    <x v="0"/>
    <s v="Sales Executive"/>
    <n v="2"/>
    <n v="5406"/>
    <n v="15"/>
    <n v="2"/>
    <x v="1"/>
    <s v="Active"/>
  </r>
  <r>
    <x v="1448"/>
    <n v="41"/>
    <x v="0"/>
    <s v="Sales Executive"/>
    <n v="2"/>
    <n v="8938"/>
    <n v="5"/>
    <n v="3"/>
    <x v="1"/>
    <s v="Active"/>
  </r>
  <r>
    <x v="1449"/>
    <n v="32"/>
    <x v="1"/>
    <s v="Research Scientist"/>
    <n v="1"/>
    <n v="2439"/>
    <n v="4"/>
    <n v="3"/>
    <x v="1"/>
    <s v="Active"/>
  </r>
  <r>
    <x v="1450"/>
    <n v="35"/>
    <x v="2"/>
    <s v="Human Resources"/>
    <n v="3"/>
    <n v="8837"/>
    <n v="9"/>
    <n v="3"/>
    <x v="1"/>
    <s v="Active"/>
  </r>
  <r>
    <x v="1451"/>
    <n v="38"/>
    <x v="0"/>
    <s v="Sales Executive"/>
    <n v="2"/>
    <n v="5343"/>
    <n v="10"/>
    <n v="3"/>
    <x v="1"/>
    <s v="Active"/>
  </r>
  <r>
    <x v="1452"/>
    <n v="50"/>
    <x v="0"/>
    <s v="Sales Executive"/>
    <n v="2"/>
    <n v="6728"/>
    <n v="6"/>
    <n v="3"/>
    <x v="0"/>
    <s v="Resigned"/>
  </r>
  <r>
    <x v="1453"/>
    <n v="36"/>
    <x v="0"/>
    <s v="Sales Executive"/>
    <n v="2"/>
    <n v="6652"/>
    <n v="6"/>
    <n v="2"/>
    <x v="1"/>
    <s v="Active"/>
  </r>
  <r>
    <x v="1454"/>
    <n v="45"/>
    <x v="0"/>
    <s v="Sales Executive"/>
    <n v="2"/>
    <n v="4850"/>
    <n v="5"/>
    <n v="3"/>
    <x v="1"/>
    <s v="Active"/>
  </r>
  <r>
    <x v="1455"/>
    <n v="40"/>
    <x v="1"/>
    <s v="Research Scientist"/>
    <n v="1"/>
    <n v="2809"/>
    <n v="2"/>
    <n v="3"/>
    <x v="1"/>
    <s v="Active"/>
  </r>
  <r>
    <x v="1456"/>
    <n v="35"/>
    <x v="1"/>
    <s v="Healthcare Representative"/>
    <n v="2"/>
    <n v="5689"/>
    <n v="10"/>
    <n v="4"/>
    <x v="1"/>
    <s v="Active"/>
  </r>
  <r>
    <x v="1457"/>
    <n v="40"/>
    <x v="1"/>
    <s v="Research Scientist"/>
    <n v="1"/>
    <n v="2001"/>
    <n v="5"/>
    <n v="3"/>
    <x v="1"/>
    <s v="Active"/>
  </r>
  <r>
    <x v="1458"/>
    <n v="35"/>
    <x v="1"/>
    <s v="Research Scientist"/>
    <n v="1"/>
    <n v="2977"/>
    <n v="4"/>
    <n v="3"/>
    <x v="1"/>
    <s v="Active"/>
  </r>
  <r>
    <x v="1459"/>
    <n v="29"/>
    <x v="1"/>
    <s v="Laboratory Technician"/>
    <n v="2"/>
    <n v="4025"/>
    <n v="4"/>
    <n v="3"/>
    <x v="1"/>
    <s v="Active"/>
  </r>
  <r>
    <x v="1460"/>
    <n v="29"/>
    <x v="1"/>
    <s v="Research Scientist"/>
    <n v="1"/>
    <n v="3785"/>
    <n v="5"/>
    <n v="1"/>
    <x v="1"/>
    <s v="Active"/>
  </r>
  <r>
    <x v="1461"/>
    <n v="50"/>
    <x v="0"/>
    <s v="Sales Executive"/>
    <n v="3"/>
    <n v="10854"/>
    <n v="3"/>
    <n v="3"/>
    <x v="0"/>
    <s v="Resigned"/>
  </r>
  <r>
    <x v="1462"/>
    <n v="39"/>
    <x v="0"/>
    <s v="Sales Executive"/>
    <n v="4"/>
    <n v="12031"/>
    <n v="20"/>
    <n v="2"/>
    <x v="1"/>
    <s v="Active"/>
  </r>
  <r>
    <x v="1463"/>
    <n v="31"/>
    <x v="1"/>
    <s v="Manufacturing Director"/>
    <n v="2"/>
    <n v="9936"/>
    <n v="9"/>
    <n v="3"/>
    <x v="1"/>
    <s v="Active"/>
  </r>
  <r>
    <x v="1464"/>
    <n v="26"/>
    <x v="0"/>
    <s v="Sales Representative"/>
    <n v="1"/>
    <n v="2966"/>
    <n v="4"/>
    <n v="3"/>
    <x v="1"/>
    <s v="Active"/>
  </r>
  <r>
    <x v="1465"/>
    <n v="36"/>
    <x v="1"/>
    <s v="Laboratory Technician"/>
    <n v="2"/>
    <n v="2571"/>
    <n v="5"/>
    <n v="3"/>
    <x v="1"/>
    <s v="Active"/>
  </r>
  <r>
    <x v="1466"/>
    <n v="39"/>
    <x v="1"/>
    <s v="Healthcare Representative"/>
    <n v="3"/>
    <n v="9991"/>
    <n v="7"/>
    <n v="3"/>
    <x v="1"/>
    <s v="Active"/>
  </r>
  <r>
    <x v="1467"/>
    <n v="27"/>
    <x v="1"/>
    <s v="Manufacturing Director"/>
    <n v="2"/>
    <n v="6142"/>
    <n v="6"/>
    <n v="3"/>
    <x v="1"/>
    <s v="Active"/>
  </r>
  <r>
    <x v="1468"/>
    <n v="49"/>
    <x v="0"/>
    <s v="Sales Executive"/>
    <n v="2"/>
    <n v="5390"/>
    <n v="9"/>
    <n v="2"/>
    <x v="1"/>
    <s v="Active"/>
  </r>
  <r>
    <x v="1469"/>
    <n v="34"/>
    <x v="1"/>
    <s v="Laboratory Technician"/>
    <n v="2"/>
    <n v="4404"/>
    <n v="4"/>
    <n v="4"/>
    <x v="1"/>
    <s v="Activ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x v="0"/>
    <n v="5993"/>
    <n v="1198.6000000000001"/>
    <n v="719.16"/>
    <n v="599.30000000000007"/>
    <n v="7191.6"/>
    <n v="1318.46"/>
    <n v="5873.14"/>
  </r>
  <r>
    <n v="2"/>
    <x v="1"/>
    <n v="5130"/>
    <n v="1026"/>
    <n v="615.6"/>
    <n v="513"/>
    <n v="6156"/>
    <n v="1128.5999999999999"/>
    <n v="5027.3999999999996"/>
  </r>
  <r>
    <n v="4"/>
    <x v="1"/>
    <n v="2090"/>
    <n v="418"/>
    <n v="250.79999999999998"/>
    <n v="209"/>
    <n v="2508"/>
    <n v="459.79999999999995"/>
    <n v="2048.1999999999998"/>
  </r>
  <r>
    <n v="5"/>
    <x v="1"/>
    <n v="2909"/>
    <n v="581.80000000000007"/>
    <n v="349.08"/>
    <n v="290.90000000000003"/>
    <n v="3490.8"/>
    <n v="639.98"/>
    <n v="2850.82"/>
  </r>
  <r>
    <n v="7"/>
    <x v="1"/>
    <n v="3468"/>
    <n v="693.6"/>
    <n v="416.15999999999997"/>
    <n v="346.8"/>
    <n v="4161.6000000000004"/>
    <n v="762.96"/>
    <n v="3398.6400000000003"/>
  </r>
  <r>
    <n v="8"/>
    <x v="1"/>
    <n v="3068"/>
    <n v="613.6"/>
    <n v="368.15999999999997"/>
    <n v="306.8"/>
    <n v="3681.6"/>
    <n v="674.96"/>
    <n v="3006.64"/>
  </r>
  <r>
    <n v="10"/>
    <x v="1"/>
    <n v="2670"/>
    <n v="534"/>
    <n v="320.39999999999998"/>
    <n v="267"/>
    <n v="3204"/>
    <n v="587.4"/>
    <n v="2616.6"/>
  </r>
  <r>
    <n v="11"/>
    <x v="1"/>
    <n v="2693"/>
    <n v="538.6"/>
    <n v="323.15999999999997"/>
    <n v="269.3"/>
    <n v="3231.6"/>
    <n v="592.46"/>
    <n v="2639.14"/>
  </r>
  <r>
    <n v="12"/>
    <x v="1"/>
    <n v="9526"/>
    <n v="1905.2"/>
    <n v="1143.1199999999999"/>
    <n v="952.6"/>
    <n v="11431.2"/>
    <n v="2095.7199999999998"/>
    <n v="9335.4800000000014"/>
  </r>
  <r>
    <n v="13"/>
    <x v="1"/>
    <n v="5237"/>
    <n v="1047.4000000000001"/>
    <n v="628.43999999999994"/>
    <n v="523.70000000000005"/>
    <n v="6284.4"/>
    <n v="1152.1399999999999"/>
    <n v="5132.26"/>
  </r>
  <r>
    <n v="14"/>
    <x v="1"/>
    <n v="2426"/>
    <n v="485.20000000000005"/>
    <n v="291.12"/>
    <n v="242.60000000000002"/>
    <n v="2911.2"/>
    <n v="533.72"/>
    <n v="2377.4799999999996"/>
  </r>
  <r>
    <n v="15"/>
    <x v="1"/>
    <n v="4193"/>
    <n v="838.6"/>
    <n v="503.15999999999997"/>
    <n v="419.3"/>
    <n v="5031.6000000000004"/>
    <n v="922.46"/>
    <n v="4109.1400000000003"/>
  </r>
  <r>
    <n v="16"/>
    <x v="1"/>
    <n v="2911"/>
    <n v="582.20000000000005"/>
    <n v="349.32"/>
    <n v="291.10000000000002"/>
    <n v="3493.2"/>
    <n v="640.42000000000007"/>
    <n v="2852.7799999999997"/>
  </r>
  <r>
    <n v="18"/>
    <x v="1"/>
    <n v="2661"/>
    <n v="532.20000000000005"/>
    <n v="319.32"/>
    <n v="266.10000000000002"/>
    <n v="3193.2"/>
    <n v="585.42000000000007"/>
    <n v="2607.7799999999997"/>
  </r>
  <r>
    <n v="19"/>
    <x v="1"/>
    <n v="2028"/>
    <n v="405.6"/>
    <n v="243.35999999999999"/>
    <n v="202.8"/>
    <n v="2433.6"/>
    <n v="446.15999999999997"/>
    <n v="1987.44"/>
  </r>
  <r>
    <n v="20"/>
    <x v="1"/>
    <n v="9980"/>
    <n v="1996"/>
    <n v="1197.5999999999999"/>
    <n v="998"/>
    <n v="11976"/>
    <n v="2195.6"/>
    <n v="9780.4"/>
  </r>
  <r>
    <n v="21"/>
    <x v="1"/>
    <n v="3298"/>
    <n v="659.6"/>
    <n v="395.76"/>
    <n v="329.8"/>
    <n v="3957.6"/>
    <n v="725.56"/>
    <n v="3232.04"/>
  </r>
  <r>
    <n v="22"/>
    <x v="1"/>
    <n v="2935"/>
    <n v="587"/>
    <n v="352.2"/>
    <n v="293.5"/>
    <n v="3522"/>
    <n v="645.70000000000005"/>
    <n v="2876.3"/>
  </r>
  <r>
    <n v="23"/>
    <x v="0"/>
    <n v="15427"/>
    <n v="3085.4"/>
    <n v="1851.24"/>
    <n v="1542.7"/>
    <n v="18512.400000000001"/>
    <n v="3393.94"/>
    <n v="15118.460000000001"/>
  </r>
  <r>
    <n v="24"/>
    <x v="1"/>
    <n v="3944"/>
    <n v="788.80000000000007"/>
    <n v="473.28"/>
    <n v="394.40000000000003"/>
    <n v="4732.8"/>
    <n v="867.68000000000006"/>
    <n v="3865.12"/>
  </r>
  <r>
    <n v="26"/>
    <x v="1"/>
    <n v="4011"/>
    <n v="802.2"/>
    <n v="481.32"/>
    <n v="401.1"/>
    <n v="4813.2"/>
    <n v="882.42000000000007"/>
    <n v="3930.7799999999997"/>
  </r>
  <r>
    <n v="27"/>
    <x v="0"/>
    <n v="3407"/>
    <n v="681.40000000000009"/>
    <n v="408.84"/>
    <n v="340.70000000000005"/>
    <n v="4088.4"/>
    <n v="749.54"/>
    <n v="3338.86"/>
  </r>
  <r>
    <n v="28"/>
    <x v="1"/>
    <n v="11994"/>
    <n v="2398.8000000000002"/>
    <n v="1439.28"/>
    <n v="1199.4000000000001"/>
    <n v="14392.8"/>
    <n v="2638.6800000000003"/>
    <n v="11754.119999999999"/>
  </r>
  <r>
    <n v="30"/>
    <x v="1"/>
    <n v="1232"/>
    <n v="246.4"/>
    <n v="147.84"/>
    <n v="123.2"/>
    <n v="1478.4"/>
    <n v="271.04000000000002"/>
    <n v="1207.3600000000001"/>
  </r>
  <r>
    <n v="31"/>
    <x v="1"/>
    <n v="2960"/>
    <n v="592"/>
    <n v="355.2"/>
    <n v="296"/>
    <n v="3552"/>
    <n v="651.20000000000005"/>
    <n v="2900.8"/>
  </r>
  <r>
    <n v="32"/>
    <x v="1"/>
    <n v="19094"/>
    <n v="3818.8"/>
    <n v="2291.2799999999997"/>
    <n v="1909.4"/>
    <n v="22912.799999999999"/>
    <n v="4200.68"/>
    <n v="18712.12"/>
  </r>
  <r>
    <n v="33"/>
    <x v="1"/>
    <n v="3919"/>
    <n v="783.80000000000007"/>
    <n v="470.28"/>
    <n v="391.90000000000003"/>
    <n v="4702.8"/>
    <n v="862.18000000000006"/>
    <n v="3840.62"/>
  </r>
  <r>
    <n v="35"/>
    <x v="0"/>
    <n v="6825"/>
    <n v="1365"/>
    <n v="819"/>
    <n v="682.5"/>
    <n v="8190"/>
    <n v="1501.5"/>
    <n v="6688.5"/>
  </r>
  <r>
    <n v="36"/>
    <x v="1"/>
    <n v="10248"/>
    <n v="2049.6"/>
    <n v="1229.76"/>
    <n v="1024.8"/>
    <n v="12297.6"/>
    <n v="2254.56"/>
    <n v="10043.040000000001"/>
  </r>
  <r>
    <n v="38"/>
    <x v="0"/>
    <n v="18947"/>
    <n v="3789.4"/>
    <n v="2273.64"/>
    <n v="1894.7"/>
    <n v="22736.400000000001"/>
    <n v="4168.34"/>
    <n v="18568.060000000001"/>
  </r>
  <r>
    <n v="39"/>
    <x v="1"/>
    <n v="2496"/>
    <n v="499.20000000000005"/>
    <n v="299.52"/>
    <n v="249.60000000000002"/>
    <n v="2995.2"/>
    <n v="549.12"/>
    <n v="2446.08"/>
  </r>
  <r>
    <n v="40"/>
    <x v="1"/>
    <n v="6465"/>
    <n v="1293"/>
    <n v="775.8"/>
    <n v="646.5"/>
    <n v="7758"/>
    <n v="1422.3"/>
    <n v="6335.7"/>
  </r>
  <r>
    <n v="41"/>
    <x v="1"/>
    <n v="2206"/>
    <n v="441.20000000000005"/>
    <n v="264.71999999999997"/>
    <n v="220.60000000000002"/>
    <n v="2647.2"/>
    <n v="485.32"/>
    <n v="2161.8799999999997"/>
  </r>
  <r>
    <n v="42"/>
    <x v="0"/>
    <n v="2086"/>
    <n v="417.20000000000005"/>
    <n v="250.32"/>
    <n v="208.60000000000002"/>
    <n v="2503.1999999999998"/>
    <n v="458.92"/>
    <n v="2044.2799999999997"/>
  </r>
  <r>
    <n v="45"/>
    <x v="1"/>
    <n v="2293"/>
    <n v="458.6"/>
    <n v="275.15999999999997"/>
    <n v="229.3"/>
    <n v="2751.6"/>
    <n v="504.46"/>
    <n v="2247.14"/>
  </r>
  <r>
    <n v="46"/>
    <x v="1"/>
    <n v="2645"/>
    <n v="529"/>
    <n v="317.39999999999998"/>
    <n v="264.5"/>
    <n v="3174"/>
    <n v="581.9"/>
    <n v="2592.1"/>
  </r>
  <r>
    <n v="47"/>
    <x v="0"/>
    <n v="2683"/>
    <n v="536.6"/>
    <n v="321.95999999999998"/>
    <n v="268.3"/>
    <n v="3219.6"/>
    <n v="590.26"/>
    <n v="2629.34"/>
  </r>
  <r>
    <n v="49"/>
    <x v="0"/>
    <n v="2014"/>
    <n v="402.8"/>
    <n v="241.67999999999998"/>
    <n v="201.4"/>
    <n v="2416.8000000000002"/>
    <n v="443.08"/>
    <n v="1973.7200000000003"/>
  </r>
  <r>
    <n v="51"/>
    <x v="1"/>
    <n v="3419"/>
    <n v="683.80000000000007"/>
    <n v="410.28"/>
    <n v="341.90000000000003"/>
    <n v="4102.8"/>
    <n v="752.18000000000006"/>
    <n v="3350.62"/>
  </r>
  <r>
    <n v="52"/>
    <x v="0"/>
    <n v="5376"/>
    <n v="1075.2"/>
    <n v="645.12"/>
    <n v="537.6"/>
    <n v="6451.2"/>
    <n v="1182.72"/>
    <n v="5268.48"/>
  </r>
  <r>
    <n v="53"/>
    <x v="1"/>
    <n v="1951"/>
    <n v="390.20000000000005"/>
    <n v="234.12"/>
    <n v="195.10000000000002"/>
    <n v="2341.1999999999998"/>
    <n v="429.22"/>
    <n v="1911.9799999999998"/>
  </r>
  <r>
    <n v="54"/>
    <x v="1"/>
    <n v="2341"/>
    <n v="468.20000000000005"/>
    <n v="280.92"/>
    <n v="234.10000000000002"/>
    <n v="2809.2"/>
    <n v="515.02"/>
    <n v="2294.1799999999998"/>
  </r>
  <r>
    <n v="55"/>
    <x v="1"/>
    <n v="2293"/>
    <n v="458.6"/>
    <n v="275.15999999999997"/>
    <n v="229.3"/>
    <n v="2751.6"/>
    <n v="504.46"/>
    <n v="2247.14"/>
  </r>
  <r>
    <n v="56"/>
    <x v="0"/>
    <n v="8726"/>
    <n v="1745.2"/>
    <n v="1047.1199999999999"/>
    <n v="872.6"/>
    <n v="10471.200000000001"/>
    <n v="1919.7199999999998"/>
    <n v="8551.4800000000014"/>
  </r>
  <r>
    <n v="57"/>
    <x v="1"/>
    <n v="4011"/>
    <n v="802.2"/>
    <n v="481.32"/>
    <n v="401.1"/>
    <n v="4813.2"/>
    <n v="882.42000000000007"/>
    <n v="3930.7799999999997"/>
  </r>
  <r>
    <n v="58"/>
    <x v="1"/>
    <n v="19545"/>
    <n v="3909"/>
    <n v="2345.4"/>
    <n v="1954.5"/>
    <n v="23454"/>
    <n v="4299.8999999999996"/>
    <n v="19154.099999999999"/>
  </r>
  <r>
    <n v="60"/>
    <x v="0"/>
    <n v="4568"/>
    <n v="913.6"/>
    <n v="548.16"/>
    <n v="456.8"/>
    <n v="5481.6"/>
    <n v="1004.96"/>
    <n v="4476.6400000000003"/>
  </r>
  <r>
    <n v="61"/>
    <x v="1"/>
    <n v="3022"/>
    <n v="604.4"/>
    <n v="362.64"/>
    <n v="302.2"/>
    <n v="3626.4"/>
    <n v="664.83999999999992"/>
    <n v="2961.5600000000004"/>
  </r>
  <r>
    <n v="62"/>
    <x v="0"/>
    <n v="5772"/>
    <n v="1154.4000000000001"/>
    <n v="692.64"/>
    <n v="577.20000000000005"/>
    <n v="6926.4"/>
    <n v="1269.8400000000001"/>
    <n v="5656.5599999999995"/>
  </r>
  <r>
    <n v="63"/>
    <x v="1"/>
    <n v="2269"/>
    <n v="453.8"/>
    <n v="272.27999999999997"/>
    <n v="226.9"/>
    <n v="2722.8"/>
    <n v="499.17999999999995"/>
    <n v="2223.6200000000003"/>
  </r>
  <r>
    <n v="64"/>
    <x v="1"/>
    <n v="5381"/>
    <n v="1076.2"/>
    <n v="645.72"/>
    <n v="538.1"/>
    <n v="6457.2"/>
    <n v="1183.8200000000002"/>
    <n v="5273.3799999999992"/>
  </r>
  <r>
    <n v="65"/>
    <x v="1"/>
    <n v="3441"/>
    <n v="688.2"/>
    <n v="412.91999999999996"/>
    <n v="344.1"/>
    <n v="4129.2"/>
    <n v="757.02"/>
    <n v="3372.18"/>
  </r>
  <r>
    <n v="68"/>
    <x v="0"/>
    <n v="5454"/>
    <n v="1090.8"/>
    <n v="654.48"/>
    <n v="545.4"/>
    <n v="6544.8"/>
    <n v="1199.8800000000001"/>
    <n v="5344.92"/>
  </r>
  <r>
    <n v="70"/>
    <x v="1"/>
    <n v="9884"/>
    <n v="1976.8000000000002"/>
    <n v="1186.08"/>
    <n v="988.40000000000009"/>
    <n v="11860.8"/>
    <n v="2174.48"/>
    <n v="9686.32"/>
  </r>
  <r>
    <n v="72"/>
    <x v="0"/>
    <n v="4157"/>
    <n v="831.40000000000009"/>
    <n v="498.84"/>
    <n v="415.70000000000005"/>
    <n v="4988.3999999999996"/>
    <n v="914.54"/>
    <n v="4073.8599999999997"/>
  </r>
  <r>
    <n v="73"/>
    <x v="1"/>
    <n v="13458"/>
    <n v="2691.6000000000004"/>
    <n v="1614.96"/>
    <n v="1345.8000000000002"/>
    <n v="16149.6"/>
    <n v="2960.76"/>
    <n v="13188.84"/>
  </r>
  <r>
    <n v="74"/>
    <x v="0"/>
    <n v="9069"/>
    <n v="1813.8000000000002"/>
    <n v="1088.28"/>
    <n v="906.90000000000009"/>
    <n v="10882.8"/>
    <n v="1995.18"/>
    <n v="8887.619999999999"/>
  </r>
  <r>
    <n v="75"/>
    <x v="1"/>
    <n v="4014"/>
    <n v="802.80000000000007"/>
    <n v="481.68"/>
    <n v="401.40000000000003"/>
    <n v="4816.8"/>
    <n v="883.08"/>
    <n v="3933.7200000000003"/>
  </r>
  <r>
    <n v="76"/>
    <x v="1"/>
    <n v="5915"/>
    <n v="1183"/>
    <n v="709.8"/>
    <n v="591.5"/>
    <n v="7098"/>
    <n v="1301.3"/>
    <n v="5796.7"/>
  </r>
  <r>
    <n v="77"/>
    <x v="1"/>
    <n v="5993"/>
    <n v="1198.6000000000001"/>
    <n v="719.16"/>
    <n v="599.30000000000007"/>
    <n v="7191.6"/>
    <n v="1318.46"/>
    <n v="5873.14"/>
  </r>
  <r>
    <n v="78"/>
    <x v="1"/>
    <n v="6162"/>
    <n v="1232.4000000000001"/>
    <n v="739.43999999999994"/>
    <n v="616.20000000000005"/>
    <n v="7394.4"/>
    <n v="1355.6399999999999"/>
    <n v="6038.76"/>
  </r>
  <r>
    <n v="79"/>
    <x v="1"/>
    <n v="2406"/>
    <n v="481.20000000000005"/>
    <n v="288.71999999999997"/>
    <n v="240.60000000000002"/>
    <n v="2887.2"/>
    <n v="529.31999999999994"/>
    <n v="2357.88"/>
  </r>
  <r>
    <n v="80"/>
    <x v="1"/>
    <n v="18740"/>
    <n v="3748"/>
    <n v="2248.7999999999997"/>
    <n v="1874"/>
    <n v="22488"/>
    <n v="4122.7999999999993"/>
    <n v="18365.2"/>
  </r>
  <r>
    <n v="81"/>
    <x v="0"/>
    <n v="7637"/>
    <n v="1527.4"/>
    <n v="916.43999999999994"/>
    <n v="763.7"/>
    <n v="9164.4"/>
    <n v="1680.1399999999999"/>
    <n v="7484.26"/>
  </r>
  <r>
    <n v="83"/>
    <x v="1"/>
    <n v="10096"/>
    <n v="2019.2"/>
    <n v="1211.52"/>
    <n v="1009.6"/>
    <n v="12115.2"/>
    <n v="2221.12"/>
    <n v="9894.0800000000017"/>
  </r>
  <r>
    <n v="84"/>
    <x v="1"/>
    <n v="14756"/>
    <n v="2951.2000000000003"/>
    <n v="1770.72"/>
    <n v="1475.6000000000001"/>
    <n v="17707.2"/>
    <n v="3246.32"/>
    <n v="14460.880000000001"/>
  </r>
  <r>
    <n v="85"/>
    <x v="1"/>
    <n v="6499"/>
    <n v="1299.8000000000002"/>
    <n v="779.88"/>
    <n v="649.90000000000009"/>
    <n v="7798.8"/>
    <n v="1429.7800000000002"/>
    <n v="6369.02"/>
  </r>
  <r>
    <n v="86"/>
    <x v="1"/>
    <n v="9724"/>
    <n v="1944.8000000000002"/>
    <n v="1166.8799999999999"/>
    <n v="972.40000000000009"/>
    <n v="11668.8"/>
    <n v="2139.2799999999997"/>
    <n v="9529.52"/>
  </r>
  <r>
    <n v="88"/>
    <x v="1"/>
    <n v="2194"/>
    <n v="438.8"/>
    <n v="263.27999999999997"/>
    <n v="219.4"/>
    <n v="2632.8"/>
    <n v="482.67999999999995"/>
    <n v="2150.1200000000003"/>
  </r>
  <r>
    <n v="90"/>
    <x v="1"/>
    <n v="3388"/>
    <n v="677.6"/>
    <n v="406.56"/>
    <n v="338.8"/>
    <n v="4065.6"/>
    <n v="745.36"/>
    <n v="3320.24"/>
  </r>
  <r>
    <n v="91"/>
    <x v="0"/>
    <n v="5473"/>
    <n v="1094.6000000000001"/>
    <n v="656.76"/>
    <n v="547.30000000000007"/>
    <n v="6567.6"/>
    <n v="1204.06"/>
    <n v="5363.5400000000009"/>
  </r>
  <r>
    <n v="94"/>
    <x v="1"/>
    <n v="2703"/>
    <n v="540.6"/>
    <n v="324.36"/>
    <n v="270.3"/>
    <n v="3243.6"/>
    <n v="594.66000000000008"/>
    <n v="2648.9399999999996"/>
  </r>
  <r>
    <n v="95"/>
    <x v="1"/>
    <n v="2501"/>
    <n v="500.20000000000005"/>
    <n v="300.12"/>
    <n v="250.10000000000002"/>
    <n v="3001.2"/>
    <n v="550.22"/>
    <n v="2450.9799999999996"/>
  </r>
  <r>
    <n v="96"/>
    <x v="1"/>
    <n v="6220"/>
    <n v="1244"/>
    <n v="746.4"/>
    <n v="622"/>
    <n v="7464"/>
    <n v="1368.4"/>
    <n v="6095.6"/>
  </r>
  <r>
    <n v="97"/>
    <x v="1"/>
    <n v="3038"/>
    <n v="607.6"/>
    <n v="364.56"/>
    <n v="303.8"/>
    <n v="3645.6"/>
    <n v="668.36"/>
    <n v="2977.24"/>
  </r>
  <r>
    <n v="98"/>
    <x v="1"/>
    <n v="4424"/>
    <n v="884.80000000000007"/>
    <n v="530.88"/>
    <n v="442.40000000000003"/>
    <n v="5308.8"/>
    <n v="973.28"/>
    <n v="4335.5200000000004"/>
  </r>
  <r>
    <n v="100"/>
    <x v="0"/>
    <n v="4312"/>
    <n v="862.40000000000009"/>
    <n v="517.43999999999994"/>
    <n v="431.20000000000005"/>
    <n v="5174.3999999999996"/>
    <n v="948.64"/>
    <n v="4225.7599999999993"/>
  </r>
  <r>
    <n v="101"/>
    <x v="1"/>
    <n v="13245"/>
    <n v="2649"/>
    <n v="1589.3999999999999"/>
    <n v="1324.5"/>
    <n v="15894"/>
    <n v="2913.8999999999996"/>
    <n v="12980.1"/>
  </r>
  <r>
    <n v="102"/>
    <x v="1"/>
    <n v="13664"/>
    <n v="2732.8"/>
    <n v="1639.6799999999998"/>
    <n v="1366.4"/>
    <n v="16396.8"/>
    <n v="3006.08"/>
    <n v="13390.72"/>
  </r>
  <r>
    <n v="103"/>
    <x v="2"/>
    <n v="5021"/>
    <n v="1004.2"/>
    <n v="602.52"/>
    <n v="502.1"/>
    <n v="6025.2"/>
    <n v="1104.6199999999999"/>
    <n v="4920.58"/>
  </r>
  <r>
    <n v="104"/>
    <x v="1"/>
    <n v="5126"/>
    <n v="1025.2"/>
    <n v="615.12"/>
    <n v="512.6"/>
    <n v="6151.2"/>
    <n v="1127.72"/>
    <n v="5023.4799999999996"/>
  </r>
  <r>
    <n v="105"/>
    <x v="1"/>
    <n v="2859"/>
    <n v="571.80000000000007"/>
    <n v="343.08"/>
    <n v="285.90000000000003"/>
    <n v="3430.8"/>
    <n v="628.98"/>
    <n v="2801.82"/>
  </r>
  <r>
    <n v="106"/>
    <x v="0"/>
    <n v="10239"/>
    <n v="2047.8000000000002"/>
    <n v="1228.68"/>
    <n v="1023.9000000000001"/>
    <n v="12286.8"/>
    <n v="2252.58"/>
    <n v="10034.219999999999"/>
  </r>
  <r>
    <n v="107"/>
    <x v="1"/>
    <n v="5329"/>
    <n v="1065.8"/>
    <n v="639.48"/>
    <n v="532.9"/>
    <n v="6394.8"/>
    <n v="1172.3800000000001"/>
    <n v="5222.42"/>
  </r>
  <r>
    <n v="110"/>
    <x v="1"/>
    <n v="4325"/>
    <n v="865"/>
    <n v="519"/>
    <n v="432.5"/>
    <n v="5190"/>
    <n v="951.5"/>
    <n v="4238.5"/>
  </r>
  <r>
    <n v="112"/>
    <x v="1"/>
    <n v="7260"/>
    <n v="1452"/>
    <n v="871.19999999999993"/>
    <n v="726"/>
    <n v="8712"/>
    <n v="1597.1999999999998"/>
    <n v="7114.8"/>
  </r>
  <r>
    <n v="113"/>
    <x v="0"/>
    <n v="2322"/>
    <n v="464.40000000000003"/>
    <n v="278.64"/>
    <n v="232.20000000000002"/>
    <n v="2786.4"/>
    <n v="510.84000000000003"/>
    <n v="2275.56"/>
  </r>
  <r>
    <n v="116"/>
    <x v="1"/>
    <n v="2075"/>
    <n v="415"/>
    <n v="249"/>
    <n v="207.5"/>
    <n v="2490"/>
    <n v="456.5"/>
    <n v="2033.5"/>
  </r>
  <r>
    <n v="117"/>
    <x v="1"/>
    <n v="4152"/>
    <n v="830.40000000000009"/>
    <n v="498.24"/>
    <n v="415.20000000000005"/>
    <n v="4982.3999999999996"/>
    <n v="913.44"/>
    <n v="4068.9599999999996"/>
  </r>
  <r>
    <n v="118"/>
    <x v="0"/>
    <n v="9619"/>
    <n v="1923.8000000000002"/>
    <n v="1154.28"/>
    <n v="961.90000000000009"/>
    <n v="11542.8"/>
    <n v="2116.1800000000003"/>
    <n v="9426.619999999999"/>
  </r>
  <r>
    <n v="119"/>
    <x v="1"/>
    <n v="13503"/>
    <n v="2700.6000000000004"/>
    <n v="1620.36"/>
    <n v="1350.3000000000002"/>
    <n v="16203.6"/>
    <n v="2970.66"/>
    <n v="13232.94"/>
  </r>
  <r>
    <n v="120"/>
    <x v="0"/>
    <n v="5441"/>
    <n v="1088.2"/>
    <n v="652.91999999999996"/>
    <n v="544.1"/>
    <n v="6529.2"/>
    <n v="1197.02"/>
    <n v="5332.18"/>
  </r>
  <r>
    <n v="121"/>
    <x v="0"/>
    <n v="5209"/>
    <n v="1041.8"/>
    <n v="625.07999999999993"/>
    <n v="520.9"/>
    <n v="6250.8"/>
    <n v="1145.98"/>
    <n v="5104.82"/>
  </r>
  <r>
    <n v="124"/>
    <x v="1"/>
    <n v="10673"/>
    <n v="2134.6"/>
    <n v="1280.76"/>
    <n v="1067.3"/>
    <n v="12807.6"/>
    <n v="2348.06"/>
    <n v="10459.540000000001"/>
  </r>
  <r>
    <n v="125"/>
    <x v="0"/>
    <n v="5010"/>
    <n v="1002"/>
    <n v="601.19999999999993"/>
    <n v="501"/>
    <n v="6012"/>
    <n v="1102.1999999999998"/>
    <n v="4909.8"/>
  </r>
  <r>
    <n v="126"/>
    <x v="1"/>
    <n v="13549"/>
    <n v="2709.8"/>
    <n v="1625.8799999999999"/>
    <n v="1354.9"/>
    <n v="16258.8"/>
    <n v="2980.7799999999997"/>
    <n v="13278.02"/>
  </r>
  <r>
    <n v="128"/>
    <x v="0"/>
    <n v="4999"/>
    <n v="999.80000000000007"/>
    <n v="599.88"/>
    <n v="499.90000000000003"/>
    <n v="5998.8"/>
    <n v="1099.78"/>
    <n v="4899.0200000000004"/>
  </r>
  <r>
    <n v="129"/>
    <x v="0"/>
    <n v="4221"/>
    <n v="844.2"/>
    <n v="506.52"/>
    <n v="422.1"/>
    <n v="5065.2"/>
    <n v="928.62"/>
    <n v="4136.58"/>
  </r>
  <r>
    <n v="131"/>
    <x v="0"/>
    <n v="13872"/>
    <n v="2774.4"/>
    <n v="1664.6399999999999"/>
    <n v="1387.2"/>
    <n v="16646.400000000001"/>
    <n v="3051.84"/>
    <n v="13594.560000000001"/>
  </r>
  <r>
    <n v="132"/>
    <x v="1"/>
    <n v="2042"/>
    <n v="408.40000000000003"/>
    <n v="245.04"/>
    <n v="204.20000000000002"/>
    <n v="2450.4"/>
    <n v="449.24"/>
    <n v="2001.16"/>
  </r>
  <r>
    <n v="133"/>
    <x v="2"/>
    <n v="2073"/>
    <n v="414.6"/>
    <n v="248.76"/>
    <n v="207.3"/>
    <n v="2487.6"/>
    <n v="456.06"/>
    <n v="2031.54"/>
  </r>
  <r>
    <n v="134"/>
    <x v="1"/>
    <n v="2956"/>
    <n v="591.20000000000005"/>
    <n v="354.71999999999997"/>
    <n v="295.60000000000002"/>
    <n v="3547.2"/>
    <n v="650.31999999999994"/>
    <n v="2896.88"/>
  </r>
  <r>
    <n v="137"/>
    <x v="1"/>
    <n v="2926"/>
    <n v="585.20000000000005"/>
    <n v="351.12"/>
    <n v="292.60000000000002"/>
    <n v="3511.2"/>
    <n v="643.72"/>
    <n v="2867.4799999999996"/>
  </r>
  <r>
    <n v="138"/>
    <x v="1"/>
    <n v="4809"/>
    <n v="961.80000000000007"/>
    <n v="577.07999999999993"/>
    <n v="480.90000000000003"/>
    <n v="5770.8"/>
    <n v="1057.98"/>
    <n v="4712.82"/>
  </r>
  <r>
    <n v="139"/>
    <x v="1"/>
    <n v="5163"/>
    <n v="1032.6000000000001"/>
    <n v="619.55999999999995"/>
    <n v="516.30000000000007"/>
    <n v="6195.6"/>
    <n v="1135.8600000000001"/>
    <n v="5059.74"/>
  </r>
  <r>
    <n v="140"/>
    <x v="2"/>
    <n v="18844"/>
    <n v="3768.8"/>
    <n v="2261.2799999999997"/>
    <n v="1884.4"/>
    <n v="22612.799999999999"/>
    <n v="4145.68"/>
    <n v="18467.12"/>
  </r>
  <r>
    <n v="141"/>
    <x v="1"/>
    <n v="18172"/>
    <n v="3634.4"/>
    <n v="2180.64"/>
    <n v="1817.2"/>
    <n v="21806.400000000001"/>
    <n v="3997.84"/>
    <n v="17808.560000000001"/>
  </r>
  <r>
    <n v="142"/>
    <x v="0"/>
    <n v="5744"/>
    <n v="1148.8"/>
    <n v="689.28"/>
    <n v="574.4"/>
    <n v="6892.8"/>
    <n v="1263.6799999999998"/>
    <n v="5629.1200000000008"/>
  </r>
  <r>
    <n v="143"/>
    <x v="1"/>
    <n v="2889"/>
    <n v="577.80000000000007"/>
    <n v="346.68"/>
    <n v="288.90000000000003"/>
    <n v="3466.8"/>
    <n v="635.58000000000004"/>
    <n v="2831.2200000000003"/>
  </r>
  <r>
    <n v="144"/>
    <x v="1"/>
    <n v="2871"/>
    <n v="574.20000000000005"/>
    <n v="344.52"/>
    <n v="287.10000000000002"/>
    <n v="3445.2"/>
    <n v="631.62"/>
    <n v="2813.58"/>
  </r>
  <r>
    <n v="145"/>
    <x v="1"/>
    <n v="7484"/>
    <n v="1496.8000000000002"/>
    <n v="898.07999999999993"/>
    <n v="748.40000000000009"/>
    <n v="8980.7999999999993"/>
    <n v="1646.48"/>
    <n v="7334.32"/>
  </r>
  <r>
    <n v="147"/>
    <x v="1"/>
    <n v="6074"/>
    <n v="1214.8"/>
    <n v="728.88"/>
    <n v="607.4"/>
    <n v="7288.8"/>
    <n v="1336.28"/>
    <n v="5952.52"/>
  </r>
  <r>
    <n v="148"/>
    <x v="2"/>
    <n v="17328"/>
    <n v="3465.6000000000004"/>
    <n v="2079.36"/>
    <n v="1732.8000000000002"/>
    <n v="20793.599999999999"/>
    <n v="3812.1600000000003"/>
    <n v="16981.439999999999"/>
  </r>
  <r>
    <n v="150"/>
    <x v="1"/>
    <n v="2774"/>
    <n v="554.80000000000007"/>
    <n v="332.88"/>
    <n v="277.40000000000003"/>
    <n v="3328.8"/>
    <n v="610.28"/>
    <n v="2718.5200000000004"/>
  </r>
  <r>
    <n v="151"/>
    <x v="1"/>
    <n v="4505"/>
    <n v="901"/>
    <n v="540.6"/>
    <n v="450.5"/>
    <n v="5406"/>
    <n v="991.1"/>
    <n v="4414.8999999999996"/>
  </r>
  <r>
    <n v="152"/>
    <x v="0"/>
    <n v="7428"/>
    <n v="1485.6000000000001"/>
    <n v="891.36"/>
    <n v="742.80000000000007"/>
    <n v="8913.6"/>
    <n v="1634.16"/>
    <n v="7279.4400000000005"/>
  </r>
  <r>
    <n v="153"/>
    <x v="1"/>
    <n v="11631"/>
    <n v="2326.2000000000003"/>
    <n v="1395.72"/>
    <n v="1163.1000000000001"/>
    <n v="13957.2"/>
    <n v="2558.8200000000002"/>
    <n v="11398.380000000001"/>
  </r>
  <r>
    <n v="154"/>
    <x v="0"/>
    <n v="9738"/>
    <n v="1947.6000000000001"/>
    <n v="1168.56"/>
    <n v="973.80000000000007"/>
    <n v="11685.6"/>
    <n v="2142.36"/>
    <n v="9543.24"/>
  </r>
  <r>
    <n v="155"/>
    <x v="1"/>
    <n v="2835"/>
    <n v="567"/>
    <n v="340.2"/>
    <n v="283.5"/>
    <n v="3402"/>
    <n v="623.70000000000005"/>
    <n v="2778.3"/>
  </r>
  <r>
    <n v="158"/>
    <x v="0"/>
    <n v="16959"/>
    <n v="3391.8"/>
    <n v="2035.08"/>
    <n v="1695.9"/>
    <n v="20350.8"/>
    <n v="3730.98"/>
    <n v="16619.82"/>
  </r>
  <r>
    <n v="159"/>
    <x v="1"/>
    <n v="2613"/>
    <n v="522.6"/>
    <n v="313.56"/>
    <n v="261.3"/>
    <n v="3135.6"/>
    <n v="574.86"/>
    <n v="2560.7399999999998"/>
  </r>
  <r>
    <n v="160"/>
    <x v="0"/>
    <n v="6146"/>
    <n v="1229.2"/>
    <n v="737.52"/>
    <n v="614.6"/>
    <n v="7375.2"/>
    <n v="1352.12"/>
    <n v="6023.08"/>
  </r>
  <r>
    <n v="161"/>
    <x v="1"/>
    <n v="4963"/>
    <n v="992.6"/>
    <n v="595.55999999999995"/>
    <n v="496.3"/>
    <n v="5955.6"/>
    <n v="1091.8599999999999"/>
    <n v="4863.7400000000007"/>
  </r>
  <r>
    <n v="162"/>
    <x v="1"/>
    <n v="19537"/>
    <n v="3907.4"/>
    <n v="2344.44"/>
    <n v="1953.7"/>
    <n v="23444.400000000001"/>
    <n v="4298.1400000000003"/>
    <n v="19146.260000000002"/>
  </r>
  <r>
    <n v="163"/>
    <x v="0"/>
    <n v="6172"/>
    <n v="1234.4000000000001"/>
    <n v="740.64"/>
    <n v="617.20000000000005"/>
    <n v="7406.4"/>
    <n v="1357.8400000000001"/>
    <n v="6048.5599999999995"/>
  </r>
  <r>
    <n v="164"/>
    <x v="1"/>
    <n v="2368"/>
    <n v="473.6"/>
    <n v="284.15999999999997"/>
    <n v="236.8"/>
    <n v="2841.6"/>
    <n v="520.96"/>
    <n v="2320.64"/>
  </r>
  <r>
    <n v="165"/>
    <x v="1"/>
    <n v="10312"/>
    <n v="2062.4"/>
    <n v="1237.44"/>
    <n v="1031.2"/>
    <n v="12374.4"/>
    <n v="2268.6400000000003"/>
    <n v="10105.759999999998"/>
  </r>
  <r>
    <n v="167"/>
    <x v="0"/>
    <n v="1675"/>
    <n v="335"/>
    <n v="201"/>
    <n v="167.5"/>
    <n v="2010"/>
    <n v="368.5"/>
    <n v="1641.5"/>
  </r>
  <r>
    <n v="169"/>
    <x v="1"/>
    <n v="2523"/>
    <n v="504.6"/>
    <n v="302.76"/>
    <n v="252.3"/>
    <n v="3027.6"/>
    <n v="555.05999999999995"/>
    <n v="2472.54"/>
  </r>
  <r>
    <n v="170"/>
    <x v="1"/>
    <n v="6567"/>
    <n v="1313.4"/>
    <n v="788.04"/>
    <n v="656.7"/>
    <n v="7880.4"/>
    <n v="1444.74"/>
    <n v="6435.66"/>
  </r>
  <r>
    <n v="171"/>
    <x v="1"/>
    <n v="4739"/>
    <n v="947.80000000000007"/>
    <n v="568.67999999999995"/>
    <n v="473.90000000000003"/>
    <n v="5686.8"/>
    <n v="1042.58"/>
    <n v="4644.22"/>
  </r>
  <r>
    <n v="174"/>
    <x v="0"/>
    <n v="9208"/>
    <n v="1841.6000000000001"/>
    <n v="1104.96"/>
    <n v="920.80000000000007"/>
    <n v="11049.6"/>
    <n v="2025.7600000000002"/>
    <n v="9023.84"/>
  </r>
  <r>
    <n v="175"/>
    <x v="0"/>
    <n v="4559"/>
    <n v="911.80000000000007"/>
    <n v="547.07999999999993"/>
    <n v="455.90000000000003"/>
    <n v="5470.8"/>
    <n v="1002.98"/>
    <n v="4467.82"/>
  </r>
  <r>
    <n v="176"/>
    <x v="0"/>
    <n v="8189"/>
    <n v="1637.8000000000002"/>
    <n v="982.68"/>
    <n v="818.90000000000009"/>
    <n v="9826.7999999999993"/>
    <n v="1801.58"/>
    <n v="8025.2199999999993"/>
  </r>
  <r>
    <n v="177"/>
    <x v="2"/>
    <n v="2942"/>
    <n v="588.4"/>
    <n v="353.03999999999996"/>
    <n v="294.2"/>
    <n v="3530.4"/>
    <n v="647.24"/>
    <n v="2883.16"/>
  </r>
  <r>
    <n v="178"/>
    <x v="1"/>
    <n v="4941"/>
    <n v="988.2"/>
    <n v="592.91999999999996"/>
    <n v="494.1"/>
    <n v="5929.2"/>
    <n v="1087.02"/>
    <n v="4842.18"/>
  </r>
  <r>
    <n v="179"/>
    <x v="1"/>
    <n v="10650"/>
    <n v="2130"/>
    <n v="1278"/>
    <n v="1065"/>
    <n v="12780"/>
    <n v="2343"/>
    <n v="10437"/>
  </r>
  <r>
    <n v="182"/>
    <x v="0"/>
    <n v="5902"/>
    <n v="1180.4000000000001"/>
    <n v="708.24"/>
    <n v="590.20000000000005"/>
    <n v="7082.4"/>
    <n v="1298.44"/>
    <n v="5783.9599999999991"/>
  </r>
  <r>
    <n v="183"/>
    <x v="0"/>
    <n v="8639"/>
    <n v="1727.8000000000002"/>
    <n v="1036.68"/>
    <n v="863.90000000000009"/>
    <n v="10366.799999999999"/>
    <n v="1900.5800000000002"/>
    <n v="8466.2199999999993"/>
  </r>
  <r>
    <n v="184"/>
    <x v="2"/>
    <n v="6347"/>
    <n v="1269.4000000000001"/>
    <n v="761.64"/>
    <n v="634.70000000000005"/>
    <n v="7616.4"/>
    <n v="1396.3400000000001"/>
    <n v="6220.0599999999995"/>
  </r>
  <r>
    <n v="190"/>
    <x v="1"/>
    <n v="4200"/>
    <n v="840"/>
    <n v="504"/>
    <n v="420"/>
    <n v="5040"/>
    <n v="924"/>
    <n v="4116"/>
  </r>
  <r>
    <n v="192"/>
    <x v="1"/>
    <n v="3452"/>
    <n v="690.40000000000009"/>
    <n v="414.24"/>
    <n v="345.20000000000005"/>
    <n v="4142.3999999999996"/>
    <n v="759.44"/>
    <n v="3382.9599999999996"/>
  </r>
  <r>
    <n v="193"/>
    <x v="1"/>
    <n v="4317"/>
    <n v="863.40000000000009"/>
    <n v="518.04"/>
    <n v="431.70000000000005"/>
    <n v="5180.3999999999996"/>
    <n v="949.74"/>
    <n v="4230.66"/>
  </r>
  <r>
    <n v="194"/>
    <x v="1"/>
    <n v="2632"/>
    <n v="526.4"/>
    <n v="315.83999999999997"/>
    <n v="263.2"/>
    <n v="3158.4"/>
    <n v="579.04"/>
    <n v="2579.36"/>
  </r>
  <r>
    <n v="195"/>
    <x v="0"/>
    <n v="4668"/>
    <n v="933.6"/>
    <n v="560.16"/>
    <n v="466.8"/>
    <n v="5601.6"/>
    <n v="1026.96"/>
    <n v="4574.6400000000003"/>
  </r>
  <r>
    <n v="197"/>
    <x v="1"/>
    <n v="3204"/>
    <n v="640.80000000000007"/>
    <n v="384.47999999999996"/>
    <n v="320.40000000000003"/>
    <n v="3844.8"/>
    <n v="704.88"/>
    <n v="3139.92"/>
  </r>
  <r>
    <n v="198"/>
    <x v="1"/>
    <n v="2720"/>
    <n v="544"/>
    <n v="326.39999999999998"/>
    <n v="272"/>
    <n v="3264"/>
    <n v="598.4"/>
    <n v="2665.6"/>
  </r>
  <r>
    <n v="199"/>
    <x v="1"/>
    <n v="17181"/>
    <n v="3436.2000000000003"/>
    <n v="2061.7199999999998"/>
    <n v="1718.1000000000001"/>
    <n v="20617.2"/>
    <n v="3779.8199999999997"/>
    <n v="16837.38"/>
  </r>
  <r>
    <n v="200"/>
    <x v="1"/>
    <n v="2238"/>
    <n v="447.6"/>
    <n v="268.56"/>
    <n v="223.8"/>
    <n v="2685.6"/>
    <n v="492.36"/>
    <n v="2193.2399999999998"/>
  </r>
  <r>
    <n v="201"/>
    <x v="1"/>
    <n v="1483"/>
    <n v="296.60000000000002"/>
    <n v="177.95999999999998"/>
    <n v="148.30000000000001"/>
    <n v="1779.6"/>
    <n v="326.26"/>
    <n v="1453.34"/>
  </r>
  <r>
    <n v="202"/>
    <x v="1"/>
    <n v="5605"/>
    <n v="1121"/>
    <n v="672.6"/>
    <n v="560.5"/>
    <n v="6726"/>
    <n v="1233.0999999999999"/>
    <n v="5492.9"/>
  </r>
  <r>
    <n v="204"/>
    <x v="0"/>
    <n v="7295"/>
    <n v="1459"/>
    <n v="875.4"/>
    <n v="729.5"/>
    <n v="8754"/>
    <n v="1604.9"/>
    <n v="7149.1"/>
  </r>
  <r>
    <n v="205"/>
    <x v="0"/>
    <n v="2306"/>
    <n v="461.20000000000005"/>
    <n v="276.71999999999997"/>
    <n v="230.60000000000002"/>
    <n v="2767.2"/>
    <n v="507.32"/>
    <n v="2259.8799999999997"/>
  </r>
  <r>
    <n v="206"/>
    <x v="1"/>
    <n v="2348"/>
    <n v="469.6"/>
    <n v="281.76"/>
    <n v="234.8"/>
    <n v="2817.6"/>
    <n v="516.55999999999995"/>
    <n v="2301.04"/>
  </r>
  <r>
    <n v="207"/>
    <x v="0"/>
    <n v="8998"/>
    <n v="1799.6000000000001"/>
    <n v="1079.76"/>
    <n v="899.80000000000007"/>
    <n v="10797.6"/>
    <n v="1979.56"/>
    <n v="8818.0400000000009"/>
  </r>
  <r>
    <n v="208"/>
    <x v="1"/>
    <n v="4319"/>
    <n v="863.80000000000007"/>
    <n v="518.28"/>
    <n v="431.90000000000003"/>
    <n v="5182.8"/>
    <n v="950.18000000000006"/>
    <n v="4232.62"/>
  </r>
  <r>
    <n v="211"/>
    <x v="1"/>
    <n v="6132"/>
    <n v="1226.4000000000001"/>
    <n v="735.83999999999992"/>
    <n v="613.20000000000005"/>
    <n v="7358.4"/>
    <n v="1349.04"/>
    <n v="6009.36"/>
  </r>
  <r>
    <n v="214"/>
    <x v="1"/>
    <n v="3346"/>
    <n v="669.2"/>
    <n v="401.52"/>
    <n v="334.6"/>
    <n v="4015.2"/>
    <n v="736.12"/>
    <n v="3279.08"/>
  </r>
  <r>
    <n v="215"/>
    <x v="0"/>
    <n v="10855"/>
    <n v="2171"/>
    <n v="1302.5999999999999"/>
    <n v="1085.5"/>
    <n v="13026"/>
    <n v="2388.1"/>
    <n v="10637.9"/>
  </r>
  <r>
    <n v="216"/>
    <x v="0"/>
    <n v="2231"/>
    <n v="446.20000000000005"/>
    <n v="267.71999999999997"/>
    <n v="223.10000000000002"/>
    <n v="2677.2"/>
    <n v="490.82"/>
    <n v="2186.3799999999997"/>
  </r>
  <r>
    <n v="217"/>
    <x v="1"/>
    <n v="2323"/>
    <n v="464.6"/>
    <n v="278.76"/>
    <n v="232.3"/>
    <n v="2787.6"/>
    <n v="511.06"/>
    <n v="2276.54"/>
  </r>
  <r>
    <n v="218"/>
    <x v="1"/>
    <n v="2024"/>
    <n v="404.8"/>
    <n v="242.88"/>
    <n v="202.4"/>
    <n v="2428.8000000000002"/>
    <n v="445.28"/>
    <n v="1983.5200000000002"/>
  </r>
  <r>
    <n v="221"/>
    <x v="1"/>
    <n v="2713"/>
    <n v="542.6"/>
    <n v="325.56"/>
    <n v="271.3"/>
    <n v="3255.6"/>
    <n v="596.86"/>
    <n v="2658.74"/>
  </r>
  <r>
    <n v="223"/>
    <x v="1"/>
    <n v="9439"/>
    <n v="1887.8000000000002"/>
    <n v="1132.68"/>
    <n v="943.90000000000009"/>
    <n v="11326.8"/>
    <n v="2076.58"/>
    <n v="9250.2199999999993"/>
  </r>
  <r>
    <n v="224"/>
    <x v="1"/>
    <n v="2566"/>
    <n v="513.20000000000005"/>
    <n v="307.92"/>
    <n v="256.60000000000002"/>
    <n v="3079.2"/>
    <n v="564.52"/>
    <n v="2514.6799999999998"/>
  </r>
  <r>
    <n v="226"/>
    <x v="1"/>
    <n v="19926"/>
    <n v="3985.2000000000003"/>
    <n v="2391.12"/>
    <n v="1992.6000000000001"/>
    <n v="23911.200000000001"/>
    <n v="4383.72"/>
    <n v="19527.48"/>
  </r>
  <r>
    <n v="227"/>
    <x v="1"/>
    <n v="2451"/>
    <n v="490.20000000000005"/>
    <n v="294.12"/>
    <n v="245.10000000000002"/>
    <n v="2941.2"/>
    <n v="539.22"/>
    <n v="2401.9799999999996"/>
  </r>
  <r>
    <n v="228"/>
    <x v="0"/>
    <n v="9419"/>
    <n v="1883.8000000000002"/>
    <n v="1130.28"/>
    <n v="941.90000000000009"/>
    <n v="11302.8"/>
    <n v="2072.1800000000003"/>
    <n v="9230.619999999999"/>
  </r>
  <r>
    <n v="230"/>
    <x v="0"/>
    <n v="8686"/>
    <n v="1737.2"/>
    <n v="1042.32"/>
    <n v="868.6"/>
    <n v="10423.200000000001"/>
    <n v="1910.92"/>
    <n v="8512.2800000000007"/>
  </r>
  <r>
    <n v="231"/>
    <x v="1"/>
    <n v="3038"/>
    <n v="607.6"/>
    <n v="364.56"/>
    <n v="303.8"/>
    <n v="3645.6"/>
    <n v="668.36"/>
    <n v="2977.24"/>
  </r>
  <r>
    <n v="233"/>
    <x v="1"/>
    <n v="3058"/>
    <n v="611.6"/>
    <n v="366.96"/>
    <n v="305.8"/>
    <n v="3669.6"/>
    <n v="672.76"/>
    <n v="2996.84"/>
  </r>
  <r>
    <n v="235"/>
    <x v="0"/>
    <n v="2325"/>
    <n v="465"/>
    <n v="279"/>
    <n v="232.5"/>
    <n v="2790"/>
    <n v="511.5"/>
    <n v="2278.5"/>
  </r>
  <r>
    <n v="238"/>
    <x v="1"/>
    <n v="2088"/>
    <n v="417.6"/>
    <n v="250.56"/>
    <n v="208.8"/>
    <n v="2505.6"/>
    <n v="459.36"/>
    <n v="2046.2399999999998"/>
  </r>
  <r>
    <n v="239"/>
    <x v="1"/>
    <n v="3072"/>
    <n v="614.40000000000009"/>
    <n v="368.64"/>
    <n v="307.20000000000005"/>
    <n v="3686.4"/>
    <n v="675.84"/>
    <n v="3010.56"/>
  </r>
  <r>
    <n v="240"/>
    <x v="0"/>
    <n v="5006"/>
    <n v="1001.2"/>
    <n v="600.72"/>
    <n v="500.6"/>
    <n v="6007.2"/>
    <n v="1101.3200000000002"/>
    <n v="4905.8799999999992"/>
  </r>
  <r>
    <n v="241"/>
    <x v="1"/>
    <n v="4257"/>
    <n v="851.40000000000009"/>
    <n v="510.84"/>
    <n v="425.70000000000005"/>
    <n v="5108.3999999999996"/>
    <n v="936.54"/>
    <n v="4171.8599999999997"/>
  </r>
  <r>
    <n v="242"/>
    <x v="1"/>
    <n v="2500"/>
    <n v="500"/>
    <n v="300"/>
    <n v="250"/>
    <n v="3000"/>
    <n v="550"/>
    <n v="2450"/>
  </r>
  <r>
    <n v="243"/>
    <x v="1"/>
    <n v="1102"/>
    <n v="220.4"/>
    <n v="132.24"/>
    <n v="110.2"/>
    <n v="1322.4"/>
    <n v="242.44"/>
    <n v="1079.96"/>
  </r>
  <r>
    <n v="244"/>
    <x v="0"/>
    <n v="10453"/>
    <n v="2090.6"/>
    <n v="1254.3599999999999"/>
    <n v="1045.3"/>
    <n v="12543.6"/>
    <n v="2299.66"/>
    <n v="10243.94"/>
  </r>
  <r>
    <n v="245"/>
    <x v="1"/>
    <n v="2288"/>
    <n v="457.6"/>
    <n v="274.56"/>
    <n v="228.8"/>
    <n v="2745.6"/>
    <n v="503.36"/>
    <n v="2242.2399999999998"/>
  </r>
  <r>
    <n v="246"/>
    <x v="1"/>
    <n v="3929"/>
    <n v="785.80000000000007"/>
    <n v="471.47999999999996"/>
    <n v="392.90000000000003"/>
    <n v="4714.8"/>
    <n v="864.38"/>
    <n v="3850.42"/>
  </r>
  <r>
    <n v="247"/>
    <x v="1"/>
    <n v="2311"/>
    <n v="462.20000000000005"/>
    <n v="277.32"/>
    <n v="231.10000000000002"/>
    <n v="2773.2"/>
    <n v="508.42"/>
    <n v="2264.7799999999997"/>
  </r>
  <r>
    <n v="248"/>
    <x v="0"/>
    <n v="3140"/>
    <n v="628"/>
    <n v="376.8"/>
    <n v="314"/>
    <n v="3768"/>
    <n v="690.8"/>
    <n v="3077.2"/>
  </r>
  <r>
    <n v="249"/>
    <x v="1"/>
    <n v="3690"/>
    <n v="738"/>
    <n v="442.8"/>
    <n v="369"/>
    <n v="4428"/>
    <n v="811.8"/>
    <n v="3616.2"/>
  </r>
  <r>
    <n v="250"/>
    <x v="1"/>
    <n v="4450"/>
    <n v="890"/>
    <n v="534"/>
    <n v="445"/>
    <n v="5340"/>
    <n v="979"/>
    <n v="4361"/>
  </r>
  <r>
    <n v="252"/>
    <x v="1"/>
    <n v="2756"/>
    <n v="551.20000000000005"/>
    <n v="330.71999999999997"/>
    <n v="275.60000000000002"/>
    <n v="3307.2"/>
    <n v="606.31999999999994"/>
    <n v="2700.88"/>
  </r>
  <r>
    <n v="253"/>
    <x v="1"/>
    <n v="19033"/>
    <n v="3806.6000000000004"/>
    <n v="2283.96"/>
    <n v="1903.3000000000002"/>
    <n v="22839.599999999999"/>
    <n v="4187.26"/>
    <n v="18652.339999999997"/>
  </r>
  <r>
    <n v="254"/>
    <x v="1"/>
    <n v="18722"/>
    <n v="3744.4"/>
    <n v="2246.64"/>
    <n v="1872.2"/>
    <n v="22466.400000000001"/>
    <n v="4118.84"/>
    <n v="18347.560000000001"/>
  </r>
  <r>
    <n v="256"/>
    <x v="1"/>
    <n v="9547"/>
    <n v="1909.4"/>
    <n v="1145.6399999999999"/>
    <n v="954.7"/>
    <n v="11456.4"/>
    <n v="2100.34"/>
    <n v="9356.06"/>
  </r>
  <r>
    <n v="258"/>
    <x v="1"/>
    <n v="13734"/>
    <n v="2746.8"/>
    <n v="1648.08"/>
    <n v="1373.4"/>
    <n v="16480.8"/>
    <n v="3021.48"/>
    <n v="13459.32"/>
  </r>
  <r>
    <n v="259"/>
    <x v="1"/>
    <n v="19999"/>
    <n v="3999.8"/>
    <n v="2399.88"/>
    <n v="1999.9"/>
    <n v="23998.799999999999"/>
    <n v="4399.7800000000007"/>
    <n v="19599.019999999997"/>
  </r>
  <r>
    <n v="260"/>
    <x v="1"/>
    <n v="2279"/>
    <n v="455.8"/>
    <n v="273.48"/>
    <n v="227.9"/>
    <n v="2734.8"/>
    <n v="501.38"/>
    <n v="2233.42"/>
  </r>
  <r>
    <n v="261"/>
    <x v="1"/>
    <n v="5916"/>
    <n v="1183.2"/>
    <n v="709.92"/>
    <n v="591.6"/>
    <n v="7099.2"/>
    <n v="1301.52"/>
    <n v="5797.68"/>
  </r>
  <r>
    <n v="262"/>
    <x v="1"/>
    <n v="2089"/>
    <n v="417.8"/>
    <n v="250.67999999999998"/>
    <n v="208.9"/>
    <n v="2506.8000000000002"/>
    <n v="459.58"/>
    <n v="2047.2200000000003"/>
  </r>
  <r>
    <n v="264"/>
    <x v="1"/>
    <n v="16792"/>
    <n v="3358.4"/>
    <n v="2015.04"/>
    <n v="1679.2"/>
    <n v="20150.400000000001"/>
    <n v="3694.24"/>
    <n v="16456.160000000003"/>
  </r>
  <r>
    <n v="267"/>
    <x v="1"/>
    <n v="3564"/>
    <n v="712.80000000000007"/>
    <n v="427.68"/>
    <n v="356.40000000000003"/>
    <n v="4276.8"/>
    <n v="784.08"/>
    <n v="3492.7200000000003"/>
  </r>
  <r>
    <n v="269"/>
    <x v="1"/>
    <n v="4425"/>
    <n v="885"/>
    <n v="531"/>
    <n v="442.5"/>
    <n v="5310"/>
    <n v="973.5"/>
    <n v="4336.5"/>
  </r>
  <r>
    <n v="270"/>
    <x v="1"/>
    <n v="5265"/>
    <n v="1053"/>
    <n v="631.79999999999995"/>
    <n v="526.5"/>
    <n v="6318"/>
    <n v="1158.3"/>
    <n v="5159.7"/>
  </r>
  <r>
    <n v="271"/>
    <x v="1"/>
    <n v="6553"/>
    <n v="1310.6000000000001"/>
    <n v="786.36"/>
    <n v="655.30000000000007"/>
    <n v="7863.6"/>
    <n v="1441.66"/>
    <n v="6421.9400000000005"/>
  </r>
  <r>
    <n v="273"/>
    <x v="1"/>
    <n v="6261"/>
    <n v="1252.2"/>
    <n v="751.31999999999994"/>
    <n v="626.1"/>
    <n v="7513.2"/>
    <n v="1377.42"/>
    <n v="6135.78"/>
  </r>
  <r>
    <n v="274"/>
    <x v="1"/>
    <n v="4298"/>
    <n v="859.6"/>
    <n v="515.76"/>
    <n v="429.8"/>
    <n v="5157.6000000000004"/>
    <n v="945.56"/>
    <n v="4212.0400000000009"/>
  </r>
  <r>
    <n v="275"/>
    <x v="1"/>
    <n v="6804"/>
    <n v="1360.8000000000002"/>
    <n v="816.48"/>
    <n v="680.40000000000009"/>
    <n v="8164.8"/>
    <n v="1496.88"/>
    <n v="6667.92"/>
  </r>
  <r>
    <n v="277"/>
    <x v="1"/>
    <n v="3815"/>
    <n v="763"/>
    <n v="457.8"/>
    <n v="381.5"/>
    <n v="4578"/>
    <n v="839.3"/>
    <n v="3738.7"/>
  </r>
  <r>
    <n v="281"/>
    <x v="1"/>
    <n v="2741"/>
    <n v="548.20000000000005"/>
    <n v="328.92"/>
    <n v="274.10000000000002"/>
    <n v="3289.2"/>
    <n v="603.02"/>
    <n v="2686.18"/>
  </r>
  <r>
    <n v="282"/>
    <x v="1"/>
    <n v="6673"/>
    <n v="1334.6000000000001"/>
    <n v="800.76"/>
    <n v="667.30000000000007"/>
    <n v="8007.6"/>
    <n v="1468.06"/>
    <n v="6539.5400000000009"/>
  </r>
  <r>
    <n v="283"/>
    <x v="0"/>
    <n v="7639"/>
    <n v="1527.8000000000002"/>
    <n v="916.68"/>
    <n v="763.90000000000009"/>
    <n v="9166.7999999999993"/>
    <n v="1680.58"/>
    <n v="7486.2199999999993"/>
  </r>
  <r>
    <n v="284"/>
    <x v="1"/>
    <n v="2328"/>
    <n v="465.6"/>
    <n v="279.36"/>
    <n v="232.8"/>
    <n v="2793.6"/>
    <n v="512.16000000000008"/>
    <n v="2281.4399999999996"/>
  </r>
  <r>
    <n v="286"/>
    <x v="1"/>
    <n v="2153"/>
    <n v="430.6"/>
    <n v="258.36"/>
    <n v="215.3"/>
    <n v="2583.6"/>
    <n v="473.66"/>
    <n v="2109.94"/>
  </r>
  <r>
    <n v="287"/>
    <x v="1"/>
    <n v="4876"/>
    <n v="975.2"/>
    <n v="585.12"/>
    <n v="487.6"/>
    <n v="5851.2"/>
    <n v="1072.72"/>
    <n v="4778.4799999999996"/>
  </r>
  <r>
    <n v="288"/>
    <x v="1"/>
    <n v="9396"/>
    <n v="1879.2"/>
    <n v="1127.52"/>
    <n v="939.6"/>
    <n v="11275.2"/>
    <n v="2067.12"/>
    <n v="9208.0800000000017"/>
  </r>
  <r>
    <n v="291"/>
    <x v="0"/>
    <n v="10400"/>
    <n v="2080"/>
    <n v="1248"/>
    <n v="1040"/>
    <n v="12480"/>
    <n v="2288"/>
    <n v="10192"/>
  </r>
  <r>
    <n v="292"/>
    <x v="1"/>
    <n v="8474"/>
    <n v="1694.8000000000002"/>
    <n v="1016.88"/>
    <n v="847.40000000000009"/>
    <n v="10168.799999999999"/>
    <n v="1864.2800000000002"/>
    <n v="8304.5199999999986"/>
  </r>
  <r>
    <n v="293"/>
    <x v="0"/>
    <n v="9981"/>
    <n v="1996.2"/>
    <n v="1197.72"/>
    <n v="998.1"/>
    <n v="11977.2"/>
    <n v="2195.8200000000002"/>
    <n v="9781.380000000001"/>
  </r>
  <r>
    <n v="296"/>
    <x v="1"/>
    <n v="12490"/>
    <n v="2498"/>
    <n v="1498.8"/>
    <n v="1249"/>
    <n v="14988"/>
    <n v="2747.8"/>
    <n v="12240.2"/>
  </r>
  <r>
    <n v="297"/>
    <x v="1"/>
    <n v="2657"/>
    <n v="531.4"/>
    <n v="318.83999999999997"/>
    <n v="265.7"/>
    <n v="3188.4"/>
    <n v="584.54"/>
    <n v="2603.86"/>
  </r>
  <r>
    <n v="298"/>
    <x v="0"/>
    <n v="13591"/>
    <n v="2718.2000000000003"/>
    <n v="1630.9199999999998"/>
    <n v="1359.1000000000001"/>
    <n v="16309.2"/>
    <n v="2990.02"/>
    <n v="13319.18"/>
  </r>
  <r>
    <n v="299"/>
    <x v="0"/>
    <n v="6696"/>
    <n v="1339.2"/>
    <n v="803.52"/>
    <n v="669.6"/>
    <n v="8035.2"/>
    <n v="1473.12"/>
    <n v="6562.08"/>
  </r>
  <r>
    <n v="300"/>
    <x v="1"/>
    <n v="2058"/>
    <n v="411.6"/>
    <n v="246.95999999999998"/>
    <n v="205.8"/>
    <n v="2469.6"/>
    <n v="452.76"/>
    <n v="2016.84"/>
  </r>
  <r>
    <n v="302"/>
    <x v="0"/>
    <n v="8865"/>
    <n v="1773"/>
    <n v="1063.8"/>
    <n v="886.5"/>
    <n v="10638"/>
    <n v="1950.3"/>
    <n v="8687.7000000000007"/>
  </r>
  <r>
    <n v="303"/>
    <x v="0"/>
    <n v="5940"/>
    <n v="1188"/>
    <n v="712.8"/>
    <n v="594"/>
    <n v="7128"/>
    <n v="1306.8"/>
    <n v="5821.2"/>
  </r>
  <r>
    <n v="304"/>
    <x v="1"/>
    <n v="5914"/>
    <n v="1182.8"/>
    <n v="709.68"/>
    <n v="591.4"/>
    <n v="7096.8"/>
    <n v="1301.08"/>
    <n v="5795.72"/>
  </r>
  <r>
    <n v="305"/>
    <x v="1"/>
    <n v="2622"/>
    <n v="524.4"/>
    <n v="314.64"/>
    <n v="262.2"/>
    <n v="3146.4"/>
    <n v="576.83999999999992"/>
    <n v="2569.5600000000004"/>
  </r>
  <r>
    <n v="306"/>
    <x v="1"/>
    <n v="12185"/>
    <n v="2437"/>
    <n v="1462.2"/>
    <n v="1218.5"/>
    <n v="14622"/>
    <n v="2680.7"/>
    <n v="11941.3"/>
  </r>
  <r>
    <n v="307"/>
    <x v="0"/>
    <n v="10609"/>
    <n v="2121.8000000000002"/>
    <n v="1273.08"/>
    <n v="1060.9000000000001"/>
    <n v="12730.8"/>
    <n v="2333.98"/>
    <n v="10396.82"/>
  </r>
  <r>
    <n v="308"/>
    <x v="1"/>
    <n v="4345"/>
    <n v="869"/>
    <n v="521.4"/>
    <n v="434.5"/>
    <n v="5214"/>
    <n v="955.9"/>
    <n v="4258.1000000000004"/>
  </r>
  <r>
    <n v="309"/>
    <x v="1"/>
    <n v="2177"/>
    <n v="435.40000000000003"/>
    <n v="261.24"/>
    <n v="217.70000000000002"/>
    <n v="2612.4"/>
    <n v="478.94000000000005"/>
    <n v="2133.46"/>
  </r>
  <r>
    <n v="311"/>
    <x v="0"/>
    <n v="2793"/>
    <n v="558.6"/>
    <n v="335.15999999999997"/>
    <n v="279.3"/>
    <n v="3351.6"/>
    <n v="614.46"/>
    <n v="2737.14"/>
  </r>
  <r>
    <n v="312"/>
    <x v="0"/>
    <n v="7918"/>
    <n v="1583.6000000000001"/>
    <n v="950.16"/>
    <n v="791.80000000000007"/>
    <n v="9501.6"/>
    <n v="1741.96"/>
    <n v="7759.64"/>
  </r>
  <r>
    <n v="314"/>
    <x v="0"/>
    <n v="8789"/>
    <n v="1757.8000000000002"/>
    <n v="1054.68"/>
    <n v="878.90000000000009"/>
    <n v="10546.8"/>
    <n v="1933.5800000000002"/>
    <n v="8613.2199999999993"/>
  </r>
  <r>
    <n v="315"/>
    <x v="1"/>
    <n v="2389"/>
    <n v="477.8"/>
    <n v="286.68"/>
    <n v="238.9"/>
    <n v="2866.8"/>
    <n v="525.58000000000004"/>
    <n v="2341.2200000000003"/>
  </r>
  <r>
    <n v="316"/>
    <x v="1"/>
    <n v="3212"/>
    <n v="642.40000000000009"/>
    <n v="385.44"/>
    <n v="321.20000000000005"/>
    <n v="3854.4"/>
    <n v="706.6400000000001"/>
    <n v="3147.76"/>
  </r>
  <r>
    <n v="319"/>
    <x v="1"/>
    <n v="19232"/>
    <n v="3846.4"/>
    <n v="2307.8399999999997"/>
    <n v="1923.2"/>
    <n v="23078.400000000001"/>
    <n v="4231.04"/>
    <n v="18847.36"/>
  </r>
  <r>
    <n v="321"/>
    <x v="2"/>
    <n v="2267"/>
    <n v="453.40000000000003"/>
    <n v="272.03999999999996"/>
    <n v="226.70000000000002"/>
    <n v="2720.4"/>
    <n v="498.74"/>
    <n v="2221.66"/>
  </r>
  <r>
    <n v="323"/>
    <x v="0"/>
    <n v="19517"/>
    <n v="3903.4"/>
    <n v="2342.04"/>
    <n v="1951.7"/>
    <n v="23420.400000000001"/>
    <n v="4293.74"/>
    <n v="19126.660000000003"/>
  </r>
  <r>
    <n v="325"/>
    <x v="1"/>
    <n v="2436"/>
    <n v="487.20000000000005"/>
    <n v="292.32"/>
    <n v="243.60000000000002"/>
    <n v="2923.2"/>
    <n v="535.92000000000007"/>
    <n v="2387.2799999999997"/>
  </r>
  <r>
    <n v="327"/>
    <x v="0"/>
    <n v="16064"/>
    <n v="3212.8"/>
    <n v="1927.6799999999998"/>
    <n v="1606.4"/>
    <n v="19276.8"/>
    <n v="3534.08"/>
    <n v="15742.72"/>
  </r>
  <r>
    <n v="328"/>
    <x v="1"/>
    <n v="2707"/>
    <n v="541.4"/>
    <n v="324.83999999999997"/>
    <n v="270.7"/>
    <n v="3248.4"/>
    <n v="595.54"/>
    <n v="2652.86"/>
  </r>
  <r>
    <n v="329"/>
    <x v="0"/>
    <n v="19068"/>
    <n v="3813.6000000000004"/>
    <n v="2288.16"/>
    <n v="1906.8000000000002"/>
    <n v="22881.599999999999"/>
    <n v="4194.96"/>
    <n v="18686.64"/>
  </r>
  <r>
    <n v="330"/>
    <x v="0"/>
    <n v="3931"/>
    <n v="786.2"/>
    <n v="471.71999999999997"/>
    <n v="393.1"/>
    <n v="4717.2"/>
    <n v="864.81999999999994"/>
    <n v="3852.38"/>
  </r>
  <r>
    <n v="331"/>
    <x v="1"/>
    <n v="3730"/>
    <n v="746"/>
    <n v="447.59999999999997"/>
    <n v="373"/>
    <n v="4476"/>
    <n v="820.59999999999991"/>
    <n v="3655.4"/>
  </r>
  <r>
    <n v="332"/>
    <x v="1"/>
    <n v="2232"/>
    <n v="446.40000000000003"/>
    <n v="267.83999999999997"/>
    <n v="223.20000000000002"/>
    <n v="2678.4"/>
    <n v="491.03999999999996"/>
    <n v="2187.36"/>
  </r>
  <r>
    <n v="333"/>
    <x v="0"/>
    <n v="4465"/>
    <n v="893"/>
    <n v="535.79999999999995"/>
    <n v="446.5"/>
    <n v="5358"/>
    <n v="982.3"/>
    <n v="4375.7"/>
  </r>
  <r>
    <n v="334"/>
    <x v="1"/>
    <n v="3072"/>
    <n v="614.40000000000009"/>
    <n v="368.64"/>
    <n v="307.20000000000005"/>
    <n v="3686.4"/>
    <n v="675.84"/>
    <n v="3010.56"/>
  </r>
  <r>
    <n v="335"/>
    <x v="1"/>
    <n v="3319"/>
    <n v="663.80000000000007"/>
    <n v="398.28"/>
    <n v="331.90000000000003"/>
    <n v="3982.8"/>
    <n v="730.18000000000006"/>
    <n v="3252.62"/>
  </r>
  <r>
    <n v="336"/>
    <x v="1"/>
    <n v="19202"/>
    <n v="3840.4"/>
    <n v="2304.2399999999998"/>
    <n v="1920.2"/>
    <n v="23042.400000000001"/>
    <n v="4224.4399999999996"/>
    <n v="18817.960000000003"/>
  </r>
  <r>
    <n v="337"/>
    <x v="1"/>
    <n v="13675"/>
    <n v="2735"/>
    <n v="1641"/>
    <n v="1367.5"/>
    <n v="16410"/>
    <n v="3008.5"/>
    <n v="13401.5"/>
  </r>
  <r>
    <n v="338"/>
    <x v="1"/>
    <n v="2911"/>
    <n v="582.20000000000005"/>
    <n v="349.32"/>
    <n v="291.10000000000002"/>
    <n v="3493.2"/>
    <n v="640.42000000000007"/>
    <n v="2852.7799999999997"/>
  </r>
  <r>
    <n v="339"/>
    <x v="1"/>
    <n v="5957"/>
    <n v="1191.4000000000001"/>
    <n v="714.83999999999992"/>
    <n v="595.70000000000005"/>
    <n v="7148.4"/>
    <n v="1310.54"/>
    <n v="5837.86"/>
  </r>
  <r>
    <n v="340"/>
    <x v="1"/>
    <n v="3920"/>
    <n v="784"/>
    <n v="470.4"/>
    <n v="392"/>
    <n v="4704"/>
    <n v="862.4"/>
    <n v="3841.6"/>
  </r>
  <r>
    <n v="341"/>
    <x v="1"/>
    <n v="6434"/>
    <n v="1286.8000000000002"/>
    <n v="772.07999999999993"/>
    <n v="643.40000000000009"/>
    <n v="7720.8"/>
    <n v="1415.48"/>
    <n v="6305.32"/>
  </r>
  <r>
    <n v="342"/>
    <x v="1"/>
    <n v="10048"/>
    <n v="2009.6000000000001"/>
    <n v="1205.76"/>
    <n v="1004.8000000000001"/>
    <n v="12057.6"/>
    <n v="2210.56"/>
    <n v="9847.0400000000009"/>
  </r>
  <r>
    <n v="343"/>
    <x v="1"/>
    <n v="10938"/>
    <n v="2187.6"/>
    <n v="1312.56"/>
    <n v="1093.8"/>
    <n v="13125.6"/>
    <n v="2406.3599999999997"/>
    <n v="10719.240000000002"/>
  </r>
  <r>
    <n v="346"/>
    <x v="1"/>
    <n v="2340"/>
    <n v="468"/>
    <n v="280.8"/>
    <n v="234"/>
    <n v="2808"/>
    <n v="514.79999999999995"/>
    <n v="2293.1999999999998"/>
  </r>
  <r>
    <n v="347"/>
    <x v="1"/>
    <n v="6545"/>
    <n v="1309"/>
    <n v="785.4"/>
    <n v="654.5"/>
    <n v="7854"/>
    <n v="1439.9"/>
    <n v="6414.1"/>
  </r>
  <r>
    <n v="349"/>
    <x v="0"/>
    <n v="6931"/>
    <n v="1386.2"/>
    <n v="831.71999999999991"/>
    <n v="693.1"/>
    <n v="8317.2000000000007"/>
    <n v="1524.82"/>
    <n v="6792.380000000001"/>
  </r>
  <r>
    <n v="350"/>
    <x v="1"/>
    <n v="4898"/>
    <n v="979.6"/>
    <n v="587.76"/>
    <n v="489.8"/>
    <n v="5877.6"/>
    <n v="1077.56"/>
    <n v="4800.0400000000009"/>
  </r>
  <r>
    <n v="351"/>
    <x v="1"/>
    <n v="2593"/>
    <n v="518.6"/>
    <n v="311.15999999999997"/>
    <n v="259.3"/>
    <n v="3111.6"/>
    <n v="570.46"/>
    <n v="2541.14"/>
  </r>
  <r>
    <n v="352"/>
    <x v="1"/>
    <n v="19436"/>
    <n v="3887.2000000000003"/>
    <n v="2332.3199999999997"/>
    <n v="1943.6000000000001"/>
    <n v="23323.200000000001"/>
    <n v="4275.92"/>
    <n v="19047.28"/>
  </r>
  <r>
    <n v="353"/>
    <x v="1"/>
    <n v="2723"/>
    <n v="544.6"/>
    <n v="326.76"/>
    <n v="272.3"/>
    <n v="3267.6"/>
    <n v="599.05999999999995"/>
    <n v="2668.54"/>
  </r>
  <r>
    <n v="355"/>
    <x v="1"/>
    <n v="3479"/>
    <n v="695.80000000000007"/>
    <n v="417.47999999999996"/>
    <n v="347.90000000000003"/>
    <n v="4174.8"/>
    <n v="765.38"/>
    <n v="3409.42"/>
  </r>
  <r>
    <n v="359"/>
    <x v="1"/>
    <n v="2794"/>
    <n v="558.80000000000007"/>
    <n v="335.28"/>
    <n v="279.40000000000003"/>
    <n v="3352.8"/>
    <n v="614.68000000000006"/>
    <n v="2738.12"/>
  </r>
  <r>
    <n v="361"/>
    <x v="0"/>
    <n v="5249"/>
    <n v="1049.8"/>
    <n v="629.88"/>
    <n v="524.9"/>
    <n v="6298.8"/>
    <n v="1154.78"/>
    <n v="5144.0200000000004"/>
  </r>
  <r>
    <n v="362"/>
    <x v="1"/>
    <n v="2176"/>
    <n v="435.20000000000005"/>
    <n v="261.12"/>
    <n v="217.60000000000002"/>
    <n v="2611.1999999999998"/>
    <n v="478.72"/>
    <n v="2132.4799999999996"/>
  </r>
  <r>
    <n v="363"/>
    <x v="0"/>
    <n v="16872"/>
    <n v="3374.4"/>
    <n v="2024.6399999999999"/>
    <n v="1687.2"/>
    <n v="20246.400000000001"/>
    <n v="3711.84"/>
    <n v="16534.560000000001"/>
  </r>
  <r>
    <n v="364"/>
    <x v="1"/>
    <n v="3485"/>
    <n v="697"/>
    <n v="418.2"/>
    <n v="348.5"/>
    <n v="4182"/>
    <n v="766.7"/>
    <n v="3415.3"/>
  </r>
  <r>
    <n v="366"/>
    <x v="0"/>
    <n v="6644"/>
    <n v="1328.8000000000002"/>
    <n v="797.28"/>
    <n v="664.40000000000009"/>
    <n v="7972.8"/>
    <n v="1461.68"/>
    <n v="6511.12"/>
  </r>
  <r>
    <n v="367"/>
    <x v="1"/>
    <n v="5582"/>
    <n v="1116.4000000000001"/>
    <n v="669.84"/>
    <n v="558.20000000000005"/>
    <n v="6698.4"/>
    <n v="1228.04"/>
    <n v="5470.36"/>
  </r>
  <r>
    <n v="369"/>
    <x v="1"/>
    <n v="4000"/>
    <n v="800"/>
    <n v="480"/>
    <n v="400"/>
    <n v="4800"/>
    <n v="880"/>
    <n v="3920"/>
  </r>
  <r>
    <n v="372"/>
    <x v="1"/>
    <n v="13496"/>
    <n v="2699.2000000000003"/>
    <n v="1619.52"/>
    <n v="1349.6000000000001"/>
    <n v="16195.2"/>
    <n v="2969.12"/>
    <n v="13226.080000000002"/>
  </r>
  <r>
    <n v="373"/>
    <x v="1"/>
    <n v="3210"/>
    <n v="642"/>
    <n v="385.2"/>
    <n v="321"/>
    <n v="3852"/>
    <n v="706.2"/>
    <n v="3145.8"/>
  </r>
  <r>
    <n v="374"/>
    <x v="1"/>
    <n v="19045"/>
    <n v="3809"/>
    <n v="2285.4"/>
    <n v="1904.5"/>
    <n v="22854"/>
    <n v="4189.8999999999996"/>
    <n v="18664.099999999999"/>
  </r>
  <r>
    <n v="376"/>
    <x v="1"/>
    <n v="11849"/>
    <n v="2369.8000000000002"/>
    <n v="1421.8799999999999"/>
    <n v="1184.9000000000001"/>
    <n v="14218.8"/>
    <n v="2606.7799999999997"/>
    <n v="11612.02"/>
  </r>
  <r>
    <n v="377"/>
    <x v="1"/>
    <n v="2070"/>
    <n v="414"/>
    <n v="248.39999999999998"/>
    <n v="207"/>
    <n v="2484"/>
    <n v="455.4"/>
    <n v="2028.6"/>
  </r>
  <r>
    <n v="378"/>
    <x v="0"/>
    <n v="6502"/>
    <n v="1300.4000000000001"/>
    <n v="780.24"/>
    <n v="650.20000000000005"/>
    <n v="7802.4"/>
    <n v="1430.44"/>
    <n v="6371.9599999999991"/>
  </r>
  <r>
    <n v="379"/>
    <x v="1"/>
    <n v="3230"/>
    <n v="646"/>
    <n v="387.59999999999997"/>
    <n v="323"/>
    <n v="3876"/>
    <n v="710.59999999999991"/>
    <n v="3165.4"/>
  </r>
  <r>
    <n v="380"/>
    <x v="1"/>
    <n v="13603"/>
    <n v="2720.6000000000004"/>
    <n v="1632.36"/>
    <n v="1360.3000000000002"/>
    <n v="16323.6"/>
    <n v="2992.66"/>
    <n v="13330.94"/>
  </r>
  <r>
    <n v="381"/>
    <x v="1"/>
    <n v="11996"/>
    <n v="2399.2000000000003"/>
    <n v="1439.52"/>
    <n v="1199.6000000000001"/>
    <n v="14395.2"/>
    <n v="2639.12"/>
    <n v="11756.080000000002"/>
  </r>
  <r>
    <n v="382"/>
    <x v="0"/>
    <n v="5605"/>
    <n v="1121"/>
    <n v="672.6"/>
    <n v="560.5"/>
    <n v="6726"/>
    <n v="1233.0999999999999"/>
    <n v="5492.9"/>
  </r>
  <r>
    <n v="384"/>
    <x v="1"/>
    <n v="6397"/>
    <n v="1279.4000000000001"/>
    <n v="767.64"/>
    <n v="639.70000000000005"/>
    <n v="7676.4"/>
    <n v="1407.3400000000001"/>
    <n v="6269.0599999999995"/>
  </r>
  <r>
    <n v="385"/>
    <x v="1"/>
    <n v="19144"/>
    <n v="3828.8"/>
    <n v="2297.2799999999997"/>
    <n v="1914.4"/>
    <n v="22972.799999999999"/>
    <n v="4211.68"/>
    <n v="18761.12"/>
  </r>
  <r>
    <n v="386"/>
    <x v="1"/>
    <n v="17584"/>
    <n v="3516.8"/>
    <n v="2110.08"/>
    <n v="1758.4"/>
    <n v="21100.799999999999"/>
    <n v="3868.48"/>
    <n v="17232.32"/>
  </r>
  <r>
    <n v="387"/>
    <x v="0"/>
    <n v="4907"/>
    <n v="981.40000000000009"/>
    <n v="588.84"/>
    <n v="490.70000000000005"/>
    <n v="5888.4"/>
    <n v="1079.54"/>
    <n v="4808.8599999999997"/>
  </r>
  <r>
    <n v="388"/>
    <x v="0"/>
    <n v="4554"/>
    <n v="910.80000000000007"/>
    <n v="546.48"/>
    <n v="455.40000000000003"/>
    <n v="5464.8"/>
    <n v="1001.8800000000001"/>
    <n v="4462.92"/>
  </r>
  <r>
    <n v="389"/>
    <x v="1"/>
    <n v="5415"/>
    <n v="1083"/>
    <n v="649.79999999999995"/>
    <n v="541.5"/>
    <n v="6498"/>
    <n v="1191.3"/>
    <n v="5306.7"/>
  </r>
  <r>
    <n v="390"/>
    <x v="1"/>
    <n v="4741"/>
    <n v="948.2"/>
    <n v="568.91999999999996"/>
    <n v="474.1"/>
    <n v="5689.2"/>
    <n v="1043.02"/>
    <n v="4646.18"/>
  </r>
  <r>
    <n v="391"/>
    <x v="1"/>
    <n v="2115"/>
    <n v="423"/>
    <n v="253.79999999999998"/>
    <n v="211.5"/>
    <n v="2538"/>
    <n v="465.29999999999995"/>
    <n v="2072.6999999999998"/>
  </r>
  <r>
    <n v="392"/>
    <x v="1"/>
    <n v="3161"/>
    <n v="632.20000000000005"/>
    <n v="379.32"/>
    <n v="316.10000000000002"/>
    <n v="3793.2"/>
    <n v="695.42000000000007"/>
    <n v="3097.7799999999997"/>
  </r>
  <r>
    <n v="393"/>
    <x v="1"/>
    <n v="5745"/>
    <n v="1149"/>
    <n v="689.4"/>
    <n v="574.5"/>
    <n v="6894"/>
    <n v="1263.9000000000001"/>
    <n v="5630.1"/>
  </r>
  <r>
    <n v="394"/>
    <x v="1"/>
    <n v="2373"/>
    <n v="474.6"/>
    <n v="284.76"/>
    <n v="237.3"/>
    <n v="2847.6"/>
    <n v="522.05999999999995"/>
    <n v="2325.54"/>
  </r>
  <r>
    <n v="395"/>
    <x v="1"/>
    <n v="3310"/>
    <n v="662"/>
    <n v="397.2"/>
    <n v="331"/>
    <n v="3972"/>
    <n v="728.2"/>
    <n v="3243.8"/>
  </r>
  <r>
    <n v="396"/>
    <x v="1"/>
    <n v="18665"/>
    <n v="3733"/>
    <n v="2239.7999999999997"/>
    <n v="1866.5"/>
    <n v="22398"/>
    <n v="4106.2999999999993"/>
    <n v="18291.7"/>
  </r>
  <r>
    <n v="397"/>
    <x v="1"/>
    <n v="4485"/>
    <n v="897"/>
    <n v="538.19999999999993"/>
    <n v="448.5"/>
    <n v="5382"/>
    <n v="986.69999999999993"/>
    <n v="4395.3"/>
  </r>
  <r>
    <n v="399"/>
    <x v="0"/>
    <n v="2789"/>
    <n v="557.80000000000007"/>
    <n v="334.68"/>
    <n v="278.90000000000003"/>
    <n v="3346.8"/>
    <n v="613.58000000000004"/>
    <n v="2733.2200000000003"/>
  </r>
  <r>
    <n v="401"/>
    <x v="0"/>
    <n v="5828"/>
    <n v="1165.6000000000001"/>
    <n v="699.36"/>
    <n v="582.80000000000007"/>
    <n v="6993.6"/>
    <n v="1282.1600000000001"/>
    <n v="5711.4400000000005"/>
  </r>
  <r>
    <n v="403"/>
    <x v="1"/>
    <n v="2326"/>
    <n v="465.20000000000005"/>
    <n v="279.12"/>
    <n v="232.60000000000002"/>
    <n v="2791.2"/>
    <n v="511.72"/>
    <n v="2279.4799999999996"/>
  </r>
  <r>
    <n v="404"/>
    <x v="0"/>
    <n v="13525"/>
    <n v="2705"/>
    <n v="1623"/>
    <n v="1352.5"/>
    <n v="16230"/>
    <n v="2975.5"/>
    <n v="13254.5"/>
  </r>
  <r>
    <n v="405"/>
    <x v="1"/>
    <n v="1420"/>
    <n v="284"/>
    <n v="170.4"/>
    <n v="142"/>
    <n v="1704"/>
    <n v="312.39999999999998"/>
    <n v="1391.6"/>
  </r>
  <r>
    <n v="406"/>
    <x v="0"/>
    <n v="8020"/>
    <n v="1604"/>
    <n v="962.4"/>
    <n v="802"/>
    <n v="9624"/>
    <n v="1764.4"/>
    <n v="7859.6"/>
  </r>
  <r>
    <n v="407"/>
    <x v="1"/>
    <n v="3688"/>
    <n v="737.6"/>
    <n v="442.56"/>
    <n v="368.8"/>
    <n v="4425.6000000000004"/>
    <n v="811.36"/>
    <n v="3614.2400000000002"/>
  </r>
  <r>
    <n v="408"/>
    <x v="1"/>
    <n v="5482"/>
    <n v="1096.4000000000001"/>
    <n v="657.84"/>
    <n v="548.20000000000005"/>
    <n v="6578.4"/>
    <n v="1206.04"/>
    <n v="5372.36"/>
  </r>
  <r>
    <n v="410"/>
    <x v="0"/>
    <n v="16015"/>
    <n v="3203"/>
    <n v="1921.8"/>
    <n v="1601.5"/>
    <n v="19218"/>
    <n v="3523.3"/>
    <n v="15694.7"/>
  </r>
  <r>
    <n v="411"/>
    <x v="0"/>
    <n v="1200"/>
    <n v="240"/>
    <n v="144"/>
    <n v="120"/>
    <n v="1440"/>
    <n v="264"/>
    <n v="1176"/>
  </r>
  <r>
    <n v="412"/>
    <x v="1"/>
    <n v="5661"/>
    <n v="1132.2"/>
    <n v="679.31999999999994"/>
    <n v="566.1"/>
    <n v="6793.2"/>
    <n v="1245.42"/>
    <n v="5547.78"/>
  </r>
  <r>
    <n v="416"/>
    <x v="0"/>
    <n v="6929"/>
    <n v="1385.8000000000002"/>
    <n v="831.48"/>
    <n v="692.90000000000009"/>
    <n v="8314.7999999999993"/>
    <n v="1524.38"/>
    <n v="6790.4199999999992"/>
  </r>
  <r>
    <n v="417"/>
    <x v="1"/>
    <n v="9613"/>
    <n v="1922.6000000000001"/>
    <n v="1153.56"/>
    <n v="961.30000000000007"/>
    <n v="11535.6"/>
    <n v="2114.86"/>
    <n v="9420.74"/>
  </r>
  <r>
    <n v="419"/>
    <x v="1"/>
    <n v="5674"/>
    <n v="1134.8"/>
    <n v="680.88"/>
    <n v="567.4"/>
    <n v="6808.8"/>
    <n v="1248.28"/>
    <n v="5560.52"/>
  </r>
  <r>
    <n v="420"/>
    <x v="0"/>
    <n v="5484"/>
    <n v="1096.8"/>
    <n v="658.07999999999993"/>
    <n v="548.4"/>
    <n v="6580.8"/>
    <n v="1206.48"/>
    <n v="5374.32"/>
  </r>
  <r>
    <n v="421"/>
    <x v="1"/>
    <n v="12061"/>
    <n v="2412.2000000000003"/>
    <n v="1447.32"/>
    <n v="1206.1000000000001"/>
    <n v="14473.2"/>
    <n v="2653.42"/>
    <n v="11819.78"/>
  </r>
  <r>
    <n v="422"/>
    <x v="1"/>
    <n v="5660"/>
    <n v="1132"/>
    <n v="679.19999999999993"/>
    <n v="566"/>
    <n v="6792"/>
    <n v="1245.1999999999998"/>
    <n v="5546.8"/>
  </r>
  <r>
    <n v="423"/>
    <x v="1"/>
    <n v="4821"/>
    <n v="964.2"/>
    <n v="578.52"/>
    <n v="482.1"/>
    <n v="5785.2"/>
    <n v="1060.6199999999999"/>
    <n v="4724.58"/>
  </r>
  <r>
    <n v="424"/>
    <x v="2"/>
    <n v="6410"/>
    <n v="1282"/>
    <n v="769.19999999999993"/>
    <n v="641"/>
    <n v="7692"/>
    <n v="1410.1999999999998"/>
    <n v="6281.8"/>
  </r>
  <r>
    <n v="425"/>
    <x v="1"/>
    <n v="5210"/>
    <n v="1042"/>
    <n v="625.19999999999993"/>
    <n v="521"/>
    <n v="6252"/>
    <n v="1146.1999999999998"/>
    <n v="5105.8"/>
  </r>
  <r>
    <n v="426"/>
    <x v="1"/>
    <n v="2695"/>
    <n v="539"/>
    <n v="323.39999999999998"/>
    <n v="269.5"/>
    <n v="3234"/>
    <n v="592.9"/>
    <n v="2641.1"/>
  </r>
  <r>
    <n v="428"/>
    <x v="1"/>
    <n v="11878"/>
    <n v="2375.6"/>
    <n v="1425.36"/>
    <n v="1187.8"/>
    <n v="14253.6"/>
    <n v="2613.16"/>
    <n v="11640.44"/>
  </r>
  <r>
    <n v="429"/>
    <x v="1"/>
    <n v="17068"/>
    <n v="3413.6000000000004"/>
    <n v="2048.16"/>
    <n v="1706.8000000000002"/>
    <n v="20481.599999999999"/>
    <n v="3754.96"/>
    <n v="16726.64"/>
  </r>
  <r>
    <n v="430"/>
    <x v="1"/>
    <n v="2455"/>
    <n v="491"/>
    <n v="294.59999999999997"/>
    <n v="245.5"/>
    <n v="2946"/>
    <n v="540.09999999999991"/>
    <n v="2405.9"/>
  </r>
  <r>
    <n v="431"/>
    <x v="1"/>
    <n v="13964"/>
    <n v="2792.8"/>
    <n v="1675.6799999999998"/>
    <n v="1396.4"/>
    <n v="16756.8"/>
    <n v="3072.08"/>
    <n v="13684.72"/>
  </r>
  <r>
    <n v="433"/>
    <x v="1"/>
    <n v="4941"/>
    <n v="988.2"/>
    <n v="592.91999999999996"/>
    <n v="494.1"/>
    <n v="5929.2"/>
    <n v="1087.02"/>
    <n v="4842.18"/>
  </r>
  <r>
    <n v="434"/>
    <x v="1"/>
    <n v="2478"/>
    <n v="495.6"/>
    <n v="297.36"/>
    <n v="247.8"/>
    <n v="2973.6"/>
    <n v="545.16000000000008"/>
    <n v="2428.4399999999996"/>
  </r>
  <r>
    <n v="436"/>
    <x v="0"/>
    <n v="5228"/>
    <n v="1045.6000000000001"/>
    <n v="627.36"/>
    <n v="522.80000000000007"/>
    <n v="6273.6"/>
    <n v="1150.1600000000001"/>
    <n v="5123.4400000000005"/>
  </r>
  <r>
    <n v="437"/>
    <x v="0"/>
    <n v="4478"/>
    <n v="895.6"/>
    <n v="537.36"/>
    <n v="447.8"/>
    <n v="5373.6"/>
    <n v="985.16000000000008"/>
    <n v="4388.4400000000005"/>
  </r>
  <r>
    <n v="438"/>
    <x v="0"/>
    <n v="7547"/>
    <n v="1509.4"/>
    <n v="905.64"/>
    <n v="754.7"/>
    <n v="9056.4"/>
    <n v="1660.3400000000001"/>
    <n v="7396.0599999999995"/>
  </r>
  <r>
    <n v="439"/>
    <x v="1"/>
    <n v="5055"/>
    <n v="1011"/>
    <n v="606.6"/>
    <n v="505.5"/>
    <n v="6066"/>
    <n v="1112.0999999999999"/>
    <n v="4953.8999999999996"/>
  </r>
  <r>
    <n v="440"/>
    <x v="1"/>
    <n v="3464"/>
    <n v="692.80000000000007"/>
    <n v="415.68"/>
    <n v="346.40000000000003"/>
    <n v="4156.8"/>
    <n v="762.08"/>
    <n v="3394.7200000000003"/>
  </r>
  <r>
    <n v="441"/>
    <x v="1"/>
    <n v="5775"/>
    <n v="1155"/>
    <n v="693"/>
    <n v="577.5"/>
    <n v="6930"/>
    <n v="1270.5"/>
    <n v="5659.5"/>
  </r>
  <r>
    <n v="442"/>
    <x v="1"/>
    <n v="8943"/>
    <n v="1788.6000000000001"/>
    <n v="1073.1599999999999"/>
    <n v="894.30000000000007"/>
    <n v="10731.6"/>
    <n v="1967.46"/>
    <n v="8764.14"/>
  </r>
  <r>
    <n v="444"/>
    <x v="1"/>
    <n v="19272"/>
    <n v="3854.4"/>
    <n v="2312.64"/>
    <n v="1927.2"/>
    <n v="23126.400000000001"/>
    <n v="4239.84"/>
    <n v="18886.560000000001"/>
  </r>
  <r>
    <n v="445"/>
    <x v="0"/>
    <n v="5238"/>
    <n v="1047.6000000000001"/>
    <n v="628.55999999999995"/>
    <n v="523.80000000000007"/>
    <n v="6285.6"/>
    <n v="1152.3600000000001"/>
    <n v="5133.24"/>
  </r>
  <r>
    <n v="446"/>
    <x v="0"/>
    <n v="4682"/>
    <n v="936.40000000000009"/>
    <n v="561.84"/>
    <n v="468.20000000000005"/>
    <n v="5618.4"/>
    <n v="1030.04"/>
    <n v="4588.3599999999997"/>
  </r>
  <r>
    <n v="447"/>
    <x v="1"/>
    <n v="18300"/>
    <n v="3660"/>
    <n v="2196"/>
    <n v="1830"/>
    <n v="21960"/>
    <n v="4026"/>
    <n v="17934"/>
  </r>
  <r>
    <n v="448"/>
    <x v="1"/>
    <n v="5257"/>
    <n v="1051.4000000000001"/>
    <n v="630.84"/>
    <n v="525.70000000000005"/>
    <n v="6308.4"/>
    <n v="1156.54"/>
    <n v="5151.8599999999997"/>
  </r>
  <r>
    <n v="449"/>
    <x v="0"/>
    <n v="6349"/>
    <n v="1269.8000000000002"/>
    <n v="761.88"/>
    <n v="634.90000000000009"/>
    <n v="7618.8"/>
    <n v="1396.7800000000002"/>
    <n v="6222.02"/>
  </r>
  <r>
    <n v="450"/>
    <x v="1"/>
    <n v="4869"/>
    <n v="973.80000000000007"/>
    <n v="584.28"/>
    <n v="486.90000000000003"/>
    <n v="5842.8"/>
    <n v="1071.18"/>
    <n v="4771.62"/>
  </r>
  <r>
    <n v="451"/>
    <x v="1"/>
    <n v="9985"/>
    <n v="1997"/>
    <n v="1198.2"/>
    <n v="998.5"/>
    <n v="11982"/>
    <n v="2196.6999999999998"/>
    <n v="9785.2999999999993"/>
  </r>
  <r>
    <n v="452"/>
    <x v="1"/>
    <n v="3697"/>
    <n v="739.40000000000009"/>
    <n v="443.64"/>
    <n v="369.70000000000005"/>
    <n v="4436.3999999999996"/>
    <n v="813.34"/>
    <n v="3623.0599999999995"/>
  </r>
  <r>
    <n v="453"/>
    <x v="0"/>
    <n v="7457"/>
    <n v="1491.4"/>
    <n v="894.83999999999992"/>
    <n v="745.7"/>
    <n v="8948.4"/>
    <n v="1640.54"/>
    <n v="7307.86"/>
  </r>
  <r>
    <n v="454"/>
    <x v="1"/>
    <n v="2119"/>
    <n v="423.8"/>
    <n v="254.28"/>
    <n v="211.9"/>
    <n v="2542.8000000000002"/>
    <n v="466.18"/>
    <n v="2076.6200000000003"/>
  </r>
  <r>
    <n v="455"/>
    <x v="1"/>
    <n v="3983"/>
    <n v="796.6"/>
    <n v="477.96"/>
    <n v="398.3"/>
    <n v="4779.6000000000004"/>
    <n v="876.26"/>
    <n v="3903.34"/>
  </r>
  <r>
    <n v="456"/>
    <x v="0"/>
    <n v="6118"/>
    <n v="1223.6000000000001"/>
    <n v="734.16"/>
    <n v="611.80000000000007"/>
    <n v="7341.6"/>
    <n v="1345.96"/>
    <n v="5995.64"/>
  </r>
  <r>
    <n v="458"/>
    <x v="0"/>
    <n v="6214"/>
    <n v="1242.8000000000002"/>
    <n v="745.68"/>
    <n v="621.40000000000009"/>
    <n v="7456.8"/>
    <n v="1367.08"/>
    <n v="6089.72"/>
  </r>
  <r>
    <n v="460"/>
    <x v="1"/>
    <n v="6347"/>
    <n v="1269.4000000000001"/>
    <n v="761.64"/>
    <n v="634.70000000000005"/>
    <n v="7616.4"/>
    <n v="1396.3400000000001"/>
    <n v="6220.0599999999995"/>
  </r>
  <r>
    <n v="461"/>
    <x v="1"/>
    <n v="11510"/>
    <n v="2302"/>
    <n v="1381.2"/>
    <n v="1151"/>
    <n v="13812"/>
    <n v="2532.1999999999998"/>
    <n v="11279.8"/>
  </r>
  <r>
    <n v="462"/>
    <x v="1"/>
    <n v="7143"/>
    <n v="1428.6000000000001"/>
    <n v="857.16"/>
    <n v="714.30000000000007"/>
    <n v="8571.6"/>
    <n v="1571.46"/>
    <n v="7000.14"/>
  </r>
  <r>
    <n v="463"/>
    <x v="0"/>
    <n v="8268"/>
    <n v="1653.6000000000001"/>
    <n v="992.16"/>
    <n v="826.80000000000007"/>
    <n v="9921.6"/>
    <n v="1818.96"/>
    <n v="8102.64"/>
  </r>
  <r>
    <n v="464"/>
    <x v="1"/>
    <n v="8095"/>
    <n v="1619"/>
    <n v="971.4"/>
    <n v="809.5"/>
    <n v="9714"/>
    <n v="1780.9"/>
    <n v="7933.1"/>
  </r>
  <r>
    <n v="465"/>
    <x v="1"/>
    <n v="2904"/>
    <n v="580.80000000000007"/>
    <n v="348.47999999999996"/>
    <n v="290.40000000000003"/>
    <n v="3484.8"/>
    <n v="638.88"/>
    <n v="2845.92"/>
  </r>
  <r>
    <n v="466"/>
    <x v="1"/>
    <n v="6032"/>
    <n v="1206.4000000000001"/>
    <n v="723.83999999999992"/>
    <n v="603.20000000000005"/>
    <n v="7238.4"/>
    <n v="1327.04"/>
    <n v="5911.36"/>
  </r>
  <r>
    <n v="467"/>
    <x v="0"/>
    <n v="2976"/>
    <n v="595.20000000000005"/>
    <n v="357.12"/>
    <n v="297.60000000000002"/>
    <n v="3571.2"/>
    <n v="654.72"/>
    <n v="2916.4799999999996"/>
  </r>
  <r>
    <n v="468"/>
    <x v="1"/>
    <n v="15992"/>
    <n v="3198.4"/>
    <n v="1919.04"/>
    <n v="1599.2"/>
    <n v="19190.400000000001"/>
    <n v="3518.24"/>
    <n v="15672.160000000002"/>
  </r>
  <r>
    <n v="469"/>
    <x v="0"/>
    <n v="4649"/>
    <n v="929.80000000000007"/>
    <n v="557.88"/>
    <n v="464.90000000000003"/>
    <n v="5578.8"/>
    <n v="1022.78"/>
    <n v="4556.0200000000004"/>
  </r>
  <r>
    <n v="470"/>
    <x v="2"/>
    <n v="2696"/>
    <n v="539.20000000000005"/>
    <n v="323.52"/>
    <n v="269.60000000000002"/>
    <n v="3235.2"/>
    <n v="593.12"/>
    <n v="2642.08"/>
  </r>
  <r>
    <n v="471"/>
    <x v="1"/>
    <n v="2370"/>
    <n v="474"/>
    <n v="284.39999999999998"/>
    <n v="237"/>
    <n v="2844"/>
    <n v="521.4"/>
    <n v="2322.6"/>
  </r>
  <r>
    <n v="473"/>
    <x v="0"/>
    <n v="12504"/>
    <n v="2500.8000000000002"/>
    <n v="1500.48"/>
    <n v="1250.4000000000001"/>
    <n v="15004.8"/>
    <n v="2750.88"/>
    <n v="12253.919999999998"/>
  </r>
  <r>
    <n v="474"/>
    <x v="1"/>
    <n v="5974"/>
    <n v="1194.8"/>
    <n v="716.88"/>
    <n v="597.4"/>
    <n v="7168.8"/>
    <n v="1314.28"/>
    <n v="5854.52"/>
  </r>
  <r>
    <n v="475"/>
    <x v="0"/>
    <n v="4736"/>
    <n v="947.2"/>
    <n v="568.31999999999994"/>
    <n v="473.6"/>
    <n v="5683.2"/>
    <n v="1041.92"/>
    <n v="4641.28"/>
  </r>
  <r>
    <n v="476"/>
    <x v="0"/>
    <n v="5296"/>
    <n v="1059.2"/>
    <n v="635.52"/>
    <n v="529.6"/>
    <n v="6355.2"/>
    <n v="1165.1199999999999"/>
    <n v="5190.08"/>
  </r>
  <r>
    <n v="477"/>
    <x v="1"/>
    <n v="6781"/>
    <n v="1356.2"/>
    <n v="813.71999999999991"/>
    <n v="678.1"/>
    <n v="8137.2"/>
    <n v="1491.82"/>
    <n v="6645.38"/>
  </r>
  <r>
    <n v="478"/>
    <x v="0"/>
    <n v="2174"/>
    <n v="434.8"/>
    <n v="260.88"/>
    <n v="217.4"/>
    <n v="2608.8000000000002"/>
    <n v="478.28"/>
    <n v="2130.5200000000004"/>
  </r>
  <r>
    <n v="479"/>
    <x v="0"/>
    <n v="6653"/>
    <n v="1330.6000000000001"/>
    <n v="798.36"/>
    <n v="665.30000000000007"/>
    <n v="7983.6"/>
    <n v="1463.66"/>
    <n v="6519.9400000000005"/>
  </r>
  <r>
    <n v="481"/>
    <x v="0"/>
    <n v="9699"/>
    <n v="1939.8000000000002"/>
    <n v="1163.8799999999999"/>
    <n v="969.90000000000009"/>
    <n v="11638.8"/>
    <n v="2133.7799999999997"/>
    <n v="9505.02"/>
  </r>
  <r>
    <n v="482"/>
    <x v="1"/>
    <n v="6755"/>
    <n v="1351"/>
    <n v="810.6"/>
    <n v="675.5"/>
    <n v="8106"/>
    <n v="1486.1"/>
    <n v="6619.9"/>
  </r>
  <r>
    <n v="483"/>
    <x v="1"/>
    <n v="2213"/>
    <n v="442.6"/>
    <n v="265.56"/>
    <n v="221.3"/>
    <n v="2655.6"/>
    <n v="486.86"/>
    <n v="2168.7399999999998"/>
  </r>
  <r>
    <n v="484"/>
    <x v="0"/>
    <n v="2610"/>
    <n v="522"/>
    <n v="313.2"/>
    <n v="261"/>
    <n v="3132"/>
    <n v="574.20000000000005"/>
    <n v="2557.8000000000002"/>
  </r>
  <r>
    <n v="485"/>
    <x v="0"/>
    <n v="2851"/>
    <n v="570.20000000000005"/>
    <n v="342.12"/>
    <n v="285.10000000000002"/>
    <n v="3421.2"/>
    <n v="627.22"/>
    <n v="2793.9799999999996"/>
  </r>
  <r>
    <n v="486"/>
    <x v="1"/>
    <n v="3452"/>
    <n v="690.40000000000009"/>
    <n v="414.24"/>
    <n v="345.20000000000005"/>
    <n v="4142.3999999999996"/>
    <n v="759.44"/>
    <n v="3382.9599999999996"/>
  </r>
  <r>
    <n v="487"/>
    <x v="1"/>
    <n v="5258"/>
    <n v="1051.6000000000001"/>
    <n v="630.95999999999992"/>
    <n v="525.80000000000007"/>
    <n v="6309.6"/>
    <n v="1156.76"/>
    <n v="5152.84"/>
  </r>
  <r>
    <n v="488"/>
    <x v="0"/>
    <n v="9355"/>
    <n v="1871"/>
    <n v="1122.5999999999999"/>
    <n v="935.5"/>
    <n v="11226"/>
    <n v="2058.1"/>
    <n v="9167.9"/>
  </r>
  <r>
    <n v="491"/>
    <x v="1"/>
    <n v="10496"/>
    <n v="2099.2000000000003"/>
    <n v="1259.52"/>
    <n v="1049.6000000000001"/>
    <n v="12595.2"/>
    <n v="2309.12"/>
    <n v="10286.080000000002"/>
  </r>
  <r>
    <n v="492"/>
    <x v="0"/>
    <n v="6380"/>
    <n v="1276"/>
    <n v="765.6"/>
    <n v="638"/>
    <n v="7656"/>
    <n v="1403.6"/>
    <n v="6252.4"/>
  </r>
  <r>
    <n v="493"/>
    <x v="1"/>
    <n v="2657"/>
    <n v="531.4"/>
    <n v="318.83999999999997"/>
    <n v="265.7"/>
    <n v="3188.4"/>
    <n v="584.54"/>
    <n v="2603.86"/>
  </r>
  <r>
    <n v="494"/>
    <x v="0"/>
    <n v="2716"/>
    <n v="543.20000000000005"/>
    <n v="325.92"/>
    <n v="271.60000000000002"/>
    <n v="3259.2"/>
    <n v="597.52"/>
    <n v="2661.68"/>
  </r>
  <r>
    <n v="495"/>
    <x v="1"/>
    <n v="2201"/>
    <n v="440.20000000000005"/>
    <n v="264.12"/>
    <n v="220.10000000000002"/>
    <n v="2641.2"/>
    <n v="484.22"/>
    <n v="2156.9799999999996"/>
  </r>
  <r>
    <n v="496"/>
    <x v="1"/>
    <n v="6540"/>
    <n v="1308"/>
    <n v="784.8"/>
    <n v="654"/>
    <n v="7848"/>
    <n v="1438.8"/>
    <n v="6409.2"/>
  </r>
  <r>
    <n v="497"/>
    <x v="1"/>
    <n v="3816"/>
    <n v="763.2"/>
    <n v="457.91999999999996"/>
    <n v="381.6"/>
    <n v="4579.2"/>
    <n v="839.52"/>
    <n v="3739.68"/>
  </r>
  <r>
    <n v="498"/>
    <x v="0"/>
    <n v="5253"/>
    <n v="1050.6000000000001"/>
    <n v="630.36"/>
    <n v="525.30000000000007"/>
    <n v="6303.6"/>
    <n v="1155.6600000000001"/>
    <n v="5147.9400000000005"/>
  </r>
  <r>
    <n v="499"/>
    <x v="1"/>
    <n v="10965"/>
    <n v="2193"/>
    <n v="1315.8"/>
    <n v="1096.5"/>
    <n v="13158"/>
    <n v="2412.3000000000002"/>
    <n v="10745.7"/>
  </r>
  <r>
    <n v="500"/>
    <x v="0"/>
    <n v="4936"/>
    <n v="987.2"/>
    <n v="592.31999999999994"/>
    <n v="493.6"/>
    <n v="5923.2"/>
    <n v="1085.92"/>
    <n v="4837.28"/>
  </r>
  <r>
    <n v="501"/>
    <x v="1"/>
    <n v="2543"/>
    <n v="508.6"/>
    <n v="305.15999999999997"/>
    <n v="254.3"/>
    <n v="3051.6"/>
    <n v="559.46"/>
    <n v="2492.14"/>
  </r>
  <r>
    <n v="502"/>
    <x v="0"/>
    <n v="5304"/>
    <n v="1060.8"/>
    <n v="636.48"/>
    <n v="530.4"/>
    <n v="6364.8"/>
    <n v="1166.8800000000001"/>
    <n v="5197.92"/>
  </r>
  <r>
    <n v="505"/>
    <x v="1"/>
    <n v="16659"/>
    <n v="3331.8"/>
    <n v="1999.08"/>
    <n v="1665.9"/>
    <n v="19990.8"/>
    <n v="3664.98"/>
    <n v="16325.82"/>
  </r>
  <r>
    <n v="507"/>
    <x v="0"/>
    <n v="4260"/>
    <n v="852"/>
    <n v="511.2"/>
    <n v="426"/>
    <n v="5112"/>
    <n v="937.2"/>
    <n v="4174.8"/>
  </r>
  <r>
    <n v="508"/>
    <x v="0"/>
    <n v="2476"/>
    <n v="495.20000000000005"/>
    <n v="297.12"/>
    <n v="247.60000000000002"/>
    <n v="2971.2"/>
    <n v="544.72"/>
    <n v="2426.4799999999996"/>
  </r>
  <r>
    <n v="510"/>
    <x v="1"/>
    <n v="3102"/>
    <n v="620.40000000000009"/>
    <n v="372.24"/>
    <n v="310.20000000000005"/>
    <n v="3722.4"/>
    <n v="682.44"/>
    <n v="3039.96"/>
  </r>
  <r>
    <n v="511"/>
    <x v="1"/>
    <n v="2244"/>
    <n v="448.8"/>
    <n v="269.27999999999997"/>
    <n v="224.4"/>
    <n v="2692.8"/>
    <n v="493.67999999999995"/>
    <n v="2199.1200000000003"/>
  </r>
  <r>
    <n v="513"/>
    <x v="0"/>
    <n v="7596"/>
    <n v="1519.2"/>
    <n v="911.52"/>
    <n v="759.6"/>
    <n v="9115.2000000000007"/>
    <n v="1671.12"/>
    <n v="7444.0800000000008"/>
  </r>
  <r>
    <n v="514"/>
    <x v="1"/>
    <n v="2285"/>
    <n v="457"/>
    <n v="274.2"/>
    <n v="228.5"/>
    <n v="2742"/>
    <n v="502.7"/>
    <n v="2239.3000000000002"/>
  </r>
  <r>
    <n v="515"/>
    <x v="1"/>
    <n v="3034"/>
    <n v="606.80000000000007"/>
    <n v="364.08"/>
    <n v="303.40000000000003"/>
    <n v="3640.8"/>
    <n v="667.48"/>
    <n v="2973.32"/>
  </r>
  <r>
    <n v="516"/>
    <x v="0"/>
    <n v="5715"/>
    <n v="1143"/>
    <n v="685.8"/>
    <n v="571.5"/>
    <n v="6858"/>
    <n v="1257.3"/>
    <n v="5600.7"/>
  </r>
  <r>
    <n v="517"/>
    <x v="1"/>
    <n v="2576"/>
    <n v="515.20000000000005"/>
    <n v="309.12"/>
    <n v="257.60000000000002"/>
    <n v="3091.2"/>
    <n v="566.72"/>
    <n v="2524.4799999999996"/>
  </r>
  <r>
    <n v="518"/>
    <x v="1"/>
    <n v="4197"/>
    <n v="839.40000000000009"/>
    <n v="503.64"/>
    <n v="419.70000000000005"/>
    <n v="5036.3999999999996"/>
    <n v="923.34"/>
    <n v="4113.0599999999995"/>
  </r>
  <r>
    <n v="520"/>
    <x v="1"/>
    <n v="14336"/>
    <n v="2867.2000000000003"/>
    <n v="1720.32"/>
    <n v="1433.6000000000001"/>
    <n v="17203.2"/>
    <n v="3153.92"/>
    <n v="14049.28"/>
  </r>
  <r>
    <n v="521"/>
    <x v="1"/>
    <n v="3448"/>
    <n v="689.6"/>
    <n v="413.76"/>
    <n v="344.8"/>
    <n v="4137.6000000000004"/>
    <n v="758.56"/>
    <n v="3379.0400000000004"/>
  </r>
  <r>
    <n v="522"/>
    <x v="1"/>
    <n v="19406"/>
    <n v="3881.2000000000003"/>
    <n v="2328.7199999999998"/>
    <n v="1940.6000000000001"/>
    <n v="23287.200000000001"/>
    <n v="4269.32"/>
    <n v="19017.88"/>
  </r>
  <r>
    <n v="523"/>
    <x v="0"/>
    <n v="6538"/>
    <n v="1307.6000000000001"/>
    <n v="784.56"/>
    <n v="653.80000000000007"/>
    <n v="7845.6"/>
    <n v="1438.3600000000001"/>
    <n v="6407.24"/>
  </r>
  <r>
    <n v="524"/>
    <x v="1"/>
    <n v="4306"/>
    <n v="861.2"/>
    <n v="516.72"/>
    <n v="430.6"/>
    <n v="5167.2"/>
    <n v="947.32"/>
    <n v="4219.88"/>
  </r>
  <r>
    <n v="525"/>
    <x v="1"/>
    <n v="2258"/>
    <n v="451.6"/>
    <n v="270.95999999999998"/>
    <n v="225.8"/>
    <n v="2709.6"/>
    <n v="496.76"/>
    <n v="2212.84"/>
  </r>
  <r>
    <n v="526"/>
    <x v="1"/>
    <n v="4522"/>
    <n v="904.40000000000009"/>
    <n v="542.64"/>
    <n v="452.20000000000005"/>
    <n v="5426.4"/>
    <n v="994.84"/>
    <n v="4431.5599999999995"/>
  </r>
  <r>
    <n v="527"/>
    <x v="0"/>
    <n v="4487"/>
    <n v="897.40000000000009"/>
    <n v="538.43999999999994"/>
    <n v="448.70000000000005"/>
    <n v="5384.4"/>
    <n v="987.14"/>
    <n v="4397.2599999999993"/>
  </r>
  <r>
    <n v="529"/>
    <x v="1"/>
    <n v="4449"/>
    <n v="889.80000000000007"/>
    <n v="533.88"/>
    <n v="444.90000000000003"/>
    <n v="5338.8"/>
    <n v="978.78"/>
    <n v="4360.0200000000004"/>
  </r>
  <r>
    <n v="530"/>
    <x v="1"/>
    <n v="2218"/>
    <n v="443.6"/>
    <n v="266.15999999999997"/>
    <n v="221.8"/>
    <n v="2661.6"/>
    <n v="487.96"/>
    <n v="2173.64"/>
  </r>
  <r>
    <n v="531"/>
    <x v="1"/>
    <n v="19197"/>
    <n v="3839.4"/>
    <n v="2303.64"/>
    <n v="1919.7"/>
    <n v="23036.400000000001"/>
    <n v="4223.34"/>
    <n v="18813.060000000001"/>
  </r>
  <r>
    <n v="532"/>
    <x v="0"/>
    <n v="13212"/>
    <n v="2642.4"/>
    <n v="1585.44"/>
    <n v="1321.2"/>
    <n v="15854.4"/>
    <n v="2906.6400000000003"/>
    <n v="12947.759999999998"/>
  </r>
  <r>
    <n v="533"/>
    <x v="0"/>
    <n v="6577"/>
    <n v="1315.4"/>
    <n v="789.24"/>
    <n v="657.7"/>
    <n v="7892.4"/>
    <n v="1446.94"/>
    <n v="6445.4599999999991"/>
  </r>
  <r>
    <n v="534"/>
    <x v="0"/>
    <n v="8392"/>
    <n v="1678.4"/>
    <n v="1007.04"/>
    <n v="839.2"/>
    <n v="10070.4"/>
    <n v="1846.24"/>
    <n v="8224.16"/>
  </r>
  <r>
    <n v="536"/>
    <x v="1"/>
    <n v="4558"/>
    <n v="911.6"/>
    <n v="546.96"/>
    <n v="455.8"/>
    <n v="5469.6"/>
    <n v="1002.76"/>
    <n v="4466.84"/>
  </r>
  <r>
    <n v="538"/>
    <x v="1"/>
    <n v="4031"/>
    <n v="806.2"/>
    <n v="483.71999999999997"/>
    <n v="403.1"/>
    <n v="4837.2"/>
    <n v="886.81999999999994"/>
    <n v="3950.38"/>
  </r>
  <r>
    <n v="543"/>
    <x v="1"/>
    <n v="7969"/>
    <n v="1593.8000000000002"/>
    <n v="956.28"/>
    <n v="796.90000000000009"/>
    <n v="9562.7999999999993"/>
    <n v="1753.18"/>
    <n v="7809.619999999999"/>
  </r>
  <r>
    <n v="544"/>
    <x v="1"/>
    <n v="2654"/>
    <n v="530.80000000000007"/>
    <n v="318.47999999999996"/>
    <n v="265.40000000000003"/>
    <n v="3184.8"/>
    <n v="583.88"/>
    <n v="2600.92"/>
  </r>
  <r>
    <n v="546"/>
    <x v="1"/>
    <n v="16555"/>
    <n v="3311"/>
    <n v="1986.6"/>
    <n v="1655.5"/>
    <n v="19866"/>
    <n v="3642.1"/>
    <n v="16223.9"/>
  </r>
  <r>
    <n v="547"/>
    <x v="1"/>
    <n v="4556"/>
    <n v="911.2"/>
    <n v="546.72"/>
    <n v="455.6"/>
    <n v="5467.2"/>
    <n v="1002.32"/>
    <n v="4464.88"/>
  </r>
  <r>
    <n v="548"/>
    <x v="1"/>
    <n v="6091"/>
    <n v="1218.2"/>
    <n v="730.92"/>
    <n v="609.1"/>
    <n v="7309.2"/>
    <n v="1340.02"/>
    <n v="5969.18"/>
  </r>
  <r>
    <n v="549"/>
    <x v="1"/>
    <n v="19566"/>
    <n v="3913.2000000000003"/>
    <n v="2347.92"/>
    <n v="1956.6000000000001"/>
    <n v="23479.200000000001"/>
    <n v="4304.5200000000004"/>
    <n v="19174.68"/>
  </r>
  <r>
    <n v="550"/>
    <x v="1"/>
    <n v="4810"/>
    <n v="962"/>
    <n v="577.19999999999993"/>
    <n v="481"/>
    <n v="5772"/>
    <n v="1058.1999999999998"/>
    <n v="4713.8"/>
  </r>
  <r>
    <n v="551"/>
    <x v="1"/>
    <n v="4523"/>
    <n v="904.6"/>
    <n v="542.76"/>
    <n v="452.3"/>
    <n v="5427.6"/>
    <n v="995.06"/>
    <n v="4432.5400000000009"/>
  </r>
  <r>
    <n v="554"/>
    <x v="0"/>
    <n v="3202"/>
    <n v="640.40000000000009"/>
    <n v="384.24"/>
    <n v="320.20000000000005"/>
    <n v="3842.4"/>
    <n v="704.44"/>
    <n v="3137.96"/>
  </r>
  <r>
    <n v="555"/>
    <x v="0"/>
    <n v="2351"/>
    <n v="470.20000000000005"/>
    <n v="282.12"/>
    <n v="235.10000000000002"/>
    <n v="2821.2"/>
    <n v="517.22"/>
    <n v="2303.9799999999996"/>
  </r>
  <r>
    <n v="556"/>
    <x v="1"/>
    <n v="1702"/>
    <n v="340.40000000000003"/>
    <n v="204.23999999999998"/>
    <n v="170.20000000000002"/>
    <n v="2042.4"/>
    <n v="374.44"/>
    <n v="1667.96"/>
  </r>
  <r>
    <n v="558"/>
    <x v="0"/>
    <n v="18041"/>
    <n v="3608.2000000000003"/>
    <n v="2164.92"/>
    <n v="1804.1000000000001"/>
    <n v="21649.200000000001"/>
    <n v="3969.0200000000004"/>
    <n v="17680.18"/>
  </r>
  <r>
    <n v="560"/>
    <x v="1"/>
    <n v="2886"/>
    <n v="577.20000000000005"/>
    <n v="346.32"/>
    <n v="288.60000000000002"/>
    <n v="3463.2"/>
    <n v="634.92000000000007"/>
    <n v="2828.2799999999997"/>
  </r>
  <r>
    <n v="562"/>
    <x v="1"/>
    <n v="2097"/>
    <n v="419.40000000000003"/>
    <n v="251.64"/>
    <n v="209.70000000000002"/>
    <n v="2516.4"/>
    <n v="461.34000000000003"/>
    <n v="2055.06"/>
  </r>
  <r>
    <n v="564"/>
    <x v="1"/>
    <n v="11935"/>
    <n v="2387"/>
    <n v="1432.2"/>
    <n v="1193.5"/>
    <n v="14322"/>
    <n v="2625.7"/>
    <n v="11696.3"/>
  </r>
  <r>
    <n v="565"/>
    <x v="1"/>
    <n v="2546"/>
    <n v="509.20000000000005"/>
    <n v="305.52"/>
    <n v="254.60000000000002"/>
    <n v="3055.2"/>
    <n v="560.12"/>
    <n v="2495.08"/>
  </r>
  <r>
    <n v="566"/>
    <x v="2"/>
    <n v="2564"/>
    <n v="512.80000000000007"/>
    <n v="307.68"/>
    <n v="256.40000000000003"/>
    <n v="3076.8"/>
    <n v="564.08000000000004"/>
    <n v="2512.7200000000003"/>
  </r>
  <r>
    <n v="567"/>
    <x v="0"/>
    <n v="8412"/>
    <n v="1682.4"/>
    <n v="1009.4399999999999"/>
    <n v="841.2"/>
    <n v="10094.4"/>
    <n v="1850.6399999999999"/>
    <n v="8243.76"/>
  </r>
  <r>
    <n v="568"/>
    <x v="0"/>
    <n v="14118"/>
    <n v="2823.6000000000004"/>
    <n v="1694.1599999999999"/>
    <n v="1411.8000000000002"/>
    <n v="16941.599999999999"/>
    <n v="3105.96"/>
    <n v="13835.64"/>
  </r>
  <r>
    <n v="569"/>
    <x v="1"/>
    <n v="17046"/>
    <n v="3409.2000000000003"/>
    <n v="2045.52"/>
    <n v="1704.6000000000001"/>
    <n v="20455.2"/>
    <n v="3750.12"/>
    <n v="16705.080000000002"/>
  </r>
  <r>
    <n v="571"/>
    <x v="1"/>
    <n v="2564"/>
    <n v="512.80000000000007"/>
    <n v="307.68"/>
    <n v="256.40000000000003"/>
    <n v="3076.8"/>
    <n v="564.08000000000004"/>
    <n v="2512.7200000000003"/>
  </r>
  <r>
    <n v="573"/>
    <x v="0"/>
    <n v="10266"/>
    <n v="2053.2000000000003"/>
    <n v="1231.9199999999998"/>
    <n v="1026.6000000000001"/>
    <n v="12319.2"/>
    <n v="2258.52"/>
    <n v="10060.68"/>
  </r>
  <r>
    <n v="574"/>
    <x v="1"/>
    <n v="5070"/>
    <n v="1014"/>
    <n v="608.4"/>
    <n v="507"/>
    <n v="6084"/>
    <n v="1115.4000000000001"/>
    <n v="4968.6000000000004"/>
  </r>
  <r>
    <n v="575"/>
    <x v="1"/>
    <n v="17861"/>
    <n v="3572.2000000000003"/>
    <n v="2143.3199999999997"/>
    <n v="1786.1000000000001"/>
    <n v="21433.200000000001"/>
    <n v="3929.42"/>
    <n v="17503.78"/>
  </r>
  <r>
    <n v="577"/>
    <x v="1"/>
    <n v="4230"/>
    <n v="846"/>
    <n v="507.59999999999997"/>
    <n v="423"/>
    <n v="5076"/>
    <n v="930.59999999999991"/>
    <n v="4145.3999999999996"/>
  </r>
  <r>
    <n v="578"/>
    <x v="1"/>
    <n v="3780"/>
    <n v="756"/>
    <n v="453.59999999999997"/>
    <n v="378"/>
    <n v="4536"/>
    <n v="831.59999999999991"/>
    <n v="3704.4"/>
  </r>
  <r>
    <n v="579"/>
    <x v="1"/>
    <n v="2768"/>
    <n v="553.6"/>
    <n v="332.15999999999997"/>
    <n v="276.8"/>
    <n v="3321.6"/>
    <n v="608.96"/>
    <n v="2712.64"/>
  </r>
  <r>
    <n v="580"/>
    <x v="0"/>
    <n v="9071"/>
    <n v="1814.2"/>
    <n v="1088.52"/>
    <n v="907.1"/>
    <n v="10885.2"/>
    <n v="1995.62"/>
    <n v="8889.5800000000017"/>
  </r>
  <r>
    <n v="581"/>
    <x v="1"/>
    <n v="10648"/>
    <n v="2129.6"/>
    <n v="1277.76"/>
    <n v="1064.8"/>
    <n v="12777.6"/>
    <n v="2342.56"/>
    <n v="10435.040000000001"/>
  </r>
  <r>
    <n v="582"/>
    <x v="1"/>
    <n v="13610"/>
    <n v="2722"/>
    <n v="1633.2"/>
    <n v="1361"/>
    <n v="16332"/>
    <n v="2994.2"/>
    <n v="13337.8"/>
  </r>
  <r>
    <n v="584"/>
    <x v="1"/>
    <n v="3408"/>
    <n v="681.6"/>
    <n v="408.96"/>
    <n v="340.8"/>
    <n v="4089.6"/>
    <n v="749.76"/>
    <n v="3339.84"/>
  </r>
  <r>
    <n v="585"/>
    <x v="0"/>
    <n v="2983"/>
    <n v="596.6"/>
    <n v="357.96"/>
    <n v="298.3"/>
    <n v="3579.6"/>
    <n v="656.26"/>
    <n v="2923.34"/>
  </r>
  <r>
    <n v="586"/>
    <x v="1"/>
    <n v="7632"/>
    <n v="1526.4"/>
    <n v="915.83999999999992"/>
    <n v="763.2"/>
    <n v="9158.4"/>
    <n v="1679.04"/>
    <n v="7479.36"/>
  </r>
  <r>
    <n v="587"/>
    <x v="1"/>
    <n v="9824"/>
    <n v="1964.8000000000002"/>
    <n v="1178.8799999999999"/>
    <n v="982.40000000000009"/>
    <n v="11788.8"/>
    <n v="2161.2799999999997"/>
    <n v="9627.52"/>
  </r>
  <r>
    <n v="590"/>
    <x v="2"/>
    <n v="9950"/>
    <n v="1990"/>
    <n v="1194"/>
    <n v="995"/>
    <n v="11940"/>
    <n v="2189"/>
    <n v="9751"/>
  </r>
  <r>
    <n v="591"/>
    <x v="1"/>
    <n v="2093"/>
    <n v="418.6"/>
    <n v="251.16"/>
    <n v="209.3"/>
    <n v="2511.6"/>
    <n v="460.46000000000004"/>
    <n v="2051.14"/>
  </r>
  <r>
    <n v="592"/>
    <x v="0"/>
    <n v="9980"/>
    <n v="1996"/>
    <n v="1197.5999999999999"/>
    <n v="998"/>
    <n v="11976"/>
    <n v="2195.6"/>
    <n v="9780.4"/>
  </r>
  <r>
    <n v="593"/>
    <x v="1"/>
    <n v="3894"/>
    <n v="778.80000000000007"/>
    <n v="467.28"/>
    <n v="389.40000000000003"/>
    <n v="4672.8"/>
    <n v="856.68000000000006"/>
    <n v="3816.12"/>
  </r>
  <r>
    <n v="595"/>
    <x v="0"/>
    <n v="4051"/>
    <n v="810.2"/>
    <n v="486.12"/>
    <n v="405.1"/>
    <n v="4861.2"/>
    <n v="891.22"/>
    <n v="3969.9799999999996"/>
  </r>
  <r>
    <n v="597"/>
    <x v="0"/>
    <n v="16835"/>
    <n v="3367"/>
    <n v="2020.1999999999998"/>
    <n v="1683.5"/>
    <n v="20202"/>
    <n v="3703.7"/>
    <n v="16498.3"/>
  </r>
  <r>
    <n v="599"/>
    <x v="0"/>
    <n v="6230"/>
    <n v="1246"/>
    <n v="747.6"/>
    <n v="623"/>
    <n v="7476"/>
    <n v="1370.6"/>
    <n v="6105.4"/>
  </r>
  <r>
    <n v="600"/>
    <x v="0"/>
    <n v="4717"/>
    <n v="943.40000000000009"/>
    <n v="566.04"/>
    <n v="471.70000000000005"/>
    <n v="5660.4"/>
    <n v="1037.74"/>
    <n v="4622.66"/>
  </r>
  <r>
    <n v="601"/>
    <x v="1"/>
    <n v="13237"/>
    <n v="2647.4"/>
    <n v="1588.44"/>
    <n v="1323.7"/>
    <n v="15884.4"/>
    <n v="2912.1400000000003"/>
    <n v="12972.259999999998"/>
  </r>
  <r>
    <n v="602"/>
    <x v="1"/>
    <n v="3755"/>
    <n v="751"/>
    <n v="450.59999999999997"/>
    <n v="375.5"/>
    <n v="4506"/>
    <n v="826.09999999999991"/>
    <n v="3679.9"/>
  </r>
  <r>
    <n v="604"/>
    <x v="0"/>
    <n v="6582"/>
    <n v="1316.4"/>
    <n v="789.83999999999992"/>
    <n v="658.2"/>
    <n v="7898.4"/>
    <n v="1448.04"/>
    <n v="6450.36"/>
  </r>
  <r>
    <n v="605"/>
    <x v="1"/>
    <n v="7406"/>
    <n v="1481.2"/>
    <n v="888.71999999999991"/>
    <n v="740.6"/>
    <n v="8887.2000000000007"/>
    <n v="1629.32"/>
    <n v="7257.880000000001"/>
  </r>
  <r>
    <n v="606"/>
    <x v="0"/>
    <n v="4805"/>
    <n v="961"/>
    <n v="576.6"/>
    <n v="480.5"/>
    <n v="5766"/>
    <n v="1057.0999999999999"/>
    <n v="4708.8999999999996"/>
  </r>
  <r>
    <n v="608"/>
    <x v="2"/>
    <n v="2741"/>
    <n v="548.20000000000005"/>
    <n v="328.92"/>
    <n v="274.10000000000002"/>
    <n v="3289.2"/>
    <n v="603.02"/>
    <n v="2686.18"/>
  </r>
  <r>
    <n v="611"/>
    <x v="1"/>
    <n v="4262"/>
    <n v="852.40000000000009"/>
    <n v="511.44"/>
    <n v="426.20000000000005"/>
    <n v="5114.3999999999996"/>
    <n v="937.6400000000001"/>
    <n v="4176.7599999999993"/>
  </r>
  <r>
    <n v="612"/>
    <x v="1"/>
    <n v="16184"/>
    <n v="3236.8"/>
    <n v="1942.08"/>
    <n v="1618.4"/>
    <n v="19420.8"/>
    <n v="3560.48"/>
    <n v="15860.32"/>
  </r>
  <r>
    <n v="613"/>
    <x v="0"/>
    <n v="11557"/>
    <n v="2311.4"/>
    <n v="1386.84"/>
    <n v="1155.7"/>
    <n v="13868.4"/>
    <n v="2542.54"/>
    <n v="11325.86"/>
  </r>
  <r>
    <n v="614"/>
    <x v="0"/>
    <n v="1878"/>
    <n v="375.6"/>
    <n v="225.35999999999999"/>
    <n v="187.8"/>
    <n v="2253.6"/>
    <n v="413.15999999999997"/>
    <n v="1840.44"/>
  </r>
  <r>
    <n v="615"/>
    <x v="0"/>
    <n v="10932"/>
    <n v="2186.4"/>
    <n v="1311.84"/>
    <n v="1093.2"/>
    <n v="13118.4"/>
    <n v="2405.04"/>
    <n v="10713.36"/>
  </r>
  <r>
    <n v="616"/>
    <x v="1"/>
    <n v="6811"/>
    <n v="1362.2"/>
    <n v="817.31999999999994"/>
    <n v="681.1"/>
    <n v="8173.2"/>
    <n v="1498.42"/>
    <n v="6674.78"/>
  </r>
  <r>
    <n v="618"/>
    <x v="0"/>
    <n v="4306"/>
    <n v="861.2"/>
    <n v="516.72"/>
    <n v="430.6"/>
    <n v="5167.2"/>
    <n v="947.32"/>
    <n v="4219.88"/>
  </r>
  <r>
    <n v="620"/>
    <x v="0"/>
    <n v="4859"/>
    <n v="971.80000000000007"/>
    <n v="583.07999999999993"/>
    <n v="485.90000000000003"/>
    <n v="5830.8"/>
    <n v="1068.98"/>
    <n v="4761.82"/>
  </r>
  <r>
    <n v="621"/>
    <x v="0"/>
    <n v="5337"/>
    <n v="1067.4000000000001"/>
    <n v="640.43999999999994"/>
    <n v="533.70000000000005"/>
    <n v="6404.4"/>
    <n v="1174.1399999999999"/>
    <n v="5230.26"/>
  </r>
  <r>
    <n v="622"/>
    <x v="1"/>
    <n v="2340"/>
    <n v="468"/>
    <n v="280.8"/>
    <n v="234"/>
    <n v="2808"/>
    <n v="514.79999999999995"/>
    <n v="2293.1999999999998"/>
  </r>
  <r>
    <n v="623"/>
    <x v="1"/>
    <n v="7491"/>
    <n v="1498.2"/>
    <n v="898.92"/>
    <n v="749.1"/>
    <n v="8989.2000000000007"/>
    <n v="1648.02"/>
    <n v="7341.18"/>
  </r>
  <r>
    <n v="624"/>
    <x v="1"/>
    <n v="10527"/>
    <n v="2105.4"/>
    <n v="1263.24"/>
    <n v="1052.7"/>
    <n v="12632.4"/>
    <n v="2315.94"/>
    <n v="10316.459999999999"/>
  </r>
  <r>
    <n v="625"/>
    <x v="0"/>
    <n v="16595"/>
    <n v="3319"/>
    <n v="1991.3999999999999"/>
    <n v="1659.5"/>
    <n v="19914"/>
    <n v="3650.8999999999996"/>
    <n v="16263.1"/>
  </r>
  <r>
    <n v="626"/>
    <x v="0"/>
    <n v="8834"/>
    <n v="1766.8000000000002"/>
    <n v="1060.08"/>
    <n v="883.40000000000009"/>
    <n v="10600.8"/>
    <n v="1943.48"/>
    <n v="8657.32"/>
  </r>
  <r>
    <n v="630"/>
    <x v="1"/>
    <n v="5577"/>
    <n v="1115.4000000000001"/>
    <n v="669.24"/>
    <n v="557.70000000000005"/>
    <n v="6692.4"/>
    <n v="1226.94"/>
    <n v="5465.4599999999991"/>
  </r>
  <r>
    <n v="631"/>
    <x v="0"/>
    <n v="4707"/>
    <n v="941.40000000000009"/>
    <n v="564.84"/>
    <n v="470.70000000000005"/>
    <n v="5648.4"/>
    <n v="1035.54"/>
    <n v="4612.8599999999997"/>
  </r>
  <r>
    <n v="632"/>
    <x v="0"/>
    <n v="2400"/>
    <n v="480"/>
    <n v="288"/>
    <n v="240"/>
    <n v="2880"/>
    <n v="528"/>
    <n v="2352"/>
  </r>
  <r>
    <n v="634"/>
    <x v="1"/>
    <n v="9824"/>
    <n v="1964.8000000000002"/>
    <n v="1178.8799999999999"/>
    <n v="982.40000000000009"/>
    <n v="11788.8"/>
    <n v="2161.2799999999997"/>
    <n v="9627.52"/>
  </r>
  <r>
    <n v="635"/>
    <x v="1"/>
    <n v="6447"/>
    <n v="1289.4000000000001"/>
    <n v="773.64"/>
    <n v="644.70000000000005"/>
    <n v="7736.4"/>
    <n v="1418.3400000000001"/>
    <n v="6318.0599999999995"/>
  </r>
  <r>
    <n v="638"/>
    <x v="1"/>
    <n v="19502"/>
    <n v="3900.4"/>
    <n v="2340.2399999999998"/>
    <n v="1950.2"/>
    <n v="23402.400000000001"/>
    <n v="4290.4399999999996"/>
    <n v="19111.960000000003"/>
  </r>
  <r>
    <n v="639"/>
    <x v="1"/>
    <n v="2725"/>
    <n v="545"/>
    <n v="327"/>
    <n v="272.5"/>
    <n v="3270"/>
    <n v="599.5"/>
    <n v="2670.5"/>
  </r>
  <r>
    <n v="641"/>
    <x v="0"/>
    <n v="6272"/>
    <n v="1254.4000000000001"/>
    <n v="752.64"/>
    <n v="627.20000000000005"/>
    <n v="7526.4"/>
    <n v="1379.8400000000001"/>
    <n v="6146.5599999999995"/>
  </r>
  <r>
    <n v="643"/>
    <x v="1"/>
    <n v="2127"/>
    <n v="425.40000000000003"/>
    <n v="255.23999999999998"/>
    <n v="212.70000000000002"/>
    <n v="2552.4"/>
    <n v="467.94"/>
    <n v="2084.46"/>
  </r>
  <r>
    <n v="644"/>
    <x v="2"/>
    <n v="18200"/>
    <n v="3640"/>
    <n v="2184"/>
    <n v="1820"/>
    <n v="21840"/>
    <n v="4004"/>
    <n v="17836"/>
  </r>
  <r>
    <n v="645"/>
    <x v="0"/>
    <n v="2096"/>
    <n v="419.20000000000005"/>
    <n v="251.51999999999998"/>
    <n v="209.60000000000002"/>
    <n v="2515.1999999999998"/>
    <n v="461.12"/>
    <n v="2054.08"/>
  </r>
  <r>
    <n v="647"/>
    <x v="1"/>
    <n v="2886"/>
    <n v="577.20000000000005"/>
    <n v="346.32"/>
    <n v="288.60000000000002"/>
    <n v="3463.2"/>
    <n v="634.92000000000007"/>
    <n v="2828.2799999999997"/>
  </r>
  <r>
    <n v="648"/>
    <x v="0"/>
    <n v="2033"/>
    <n v="406.6"/>
    <n v="243.95999999999998"/>
    <n v="203.3"/>
    <n v="2439.6"/>
    <n v="447.26"/>
    <n v="1992.34"/>
  </r>
  <r>
    <n v="649"/>
    <x v="1"/>
    <n v="3622"/>
    <n v="724.40000000000009"/>
    <n v="434.64"/>
    <n v="362.20000000000005"/>
    <n v="4346.3999999999996"/>
    <n v="796.84"/>
    <n v="3549.5599999999995"/>
  </r>
  <r>
    <n v="650"/>
    <x v="0"/>
    <n v="4233"/>
    <n v="846.6"/>
    <n v="507.96"/>
    <n v="423.3"/>
    <n v="5079.6000000000004"/>
    <n v="931.26"/>
    <n v="4148.34"/>
  </r>
  <r>
    <n v="652"/>
    <x v="1"/>
    <n v="3681"/>
    <n v="736.2"/>
    <n v="441.71999999999997"/>
    <n v="368.1"/>
    <n v="4417.2"/>
    <n v="809.81999999999994"/>
    <n v="3607.38"/>
  </r>
  <r>
    <n v="653"/>
    <x v="0"/>
    <n v="5460"/>
    <n v="1092"/>
    <n v="655.19999999999993"/>
    <n v="546"/>
    <n v="6552"/>
    <n v="1201.1999999999998"/>
    <n v="5350.8"/>
  </r>
  <r>
    <n v="655"/>
    <x v="1"/>
    <n v="2187"/>
    <n v="437.40000000000003"/>
    <n v="262.44"/>
    <n v="218.70000000000002"/>
    <n v="2624.4"/>
    <n v="481.14"/>
    <n v="2143.2600000000002"/>
  </r>
  <r>
    <n v="656"/>
    <x v="0"/>
    <n v="9602"/>
    <n v="1920.4"/>
    <n v="1152.24"/>
    <n v="960.2"/>
    <n v="11522.4"/>
    <n v="2112.44"/>
    <n v="9409.9599999999991"/>
  </r>
  <r>
    <n v="657"/>
    <x v="1"/>
    <n v="2836"/>
    <n v="567.20000000000005"/>
    <n v="340.32"/>
    <n v="283.60000000000002"/>
    <n v="3403.2"/>
    <n v="623.92000000000007"/>
    <n v="2779.2799999999997"/>
  </r>
  <r>
    <n v="659"/>
    <x v="1"/>
    <n v="4089"/>
    <n v="817.80000000000007"/>
    <n v="490.68"/>
    <n v="408.90000000000003"/>
    <n v="4906.8"/>
    <n v="899.58"/>
    <n v="4007.2200000000003"/>
  </r>
  <r>
    <n v="661"/>
    <x v="1"/>
    <n v="16627"/>
    <n v="3325.4"/>
    <n v="1995.24"/>
    <n v="1662.7"/>
    <n v="19952.400000000001"/>
    <n v="3657.94"/>
    <n v="16294.460000000001"/>
  </r>
  <r>
    <n v="662"/>
    <x v="1"/>
    <n v="2619"/>
    <n v="523.80000000000007"/>
    <n v="314.27999999999997"/>
    <n v="261.90000000000003"/>
    <n v="3142.8"/>
    <n v="576.18000000000006"/>
    <n v="2566.62"/>
  </r>
  <r>
    <n v="663"/>
    <x v="1"/>
    <n v="5679"/>
    <n v="1135.8"/>
    <n v="681.48"/>
    <n v="567.9"/>
    <n v="6814.8"/>
    <n v="1249.3800000000001"/>
    <n v="5565.42"/>
  </r>
  <r>
    <n v="664"/>
    <x v="1"/>
    <n v="15402"/>
    <n v="3080.4"/>
    <n v="1848.24"/>
    <n v="1540.2"/>
    <n v="18482.400000000001"/>
    <n v="3388.44"/>
    <n v="15093.960000000001"/>
  </r>
  <r>
    <n v="665"/>
    <x v="2"/>
    <n v="5985"/>
    <n v="1197"/>
    <n v="718.19999999999993"/>
    <n v="598.5"/>
    <n v="7182"/>
    <n v="1316.6999999999998"/>
    <n v="5865.3"/>
  </r>
  <r>
    <n v="666"/>
    <x v="0"/>
    <n v="2579"/>
    <n v="515.80000000000007"/>
    <n v="309.47999999999996"/>
    <n v="257.90000000000003"/>
    <n v="3094.8"/>
    <n v="567.38"/>
    <n v="2527.42"/>
  </r>
  <r>
    <n v="667"/>
    <x v="0"/>
    <n v="3041"/>
    <n v="608.20000000000005"/>
    <n v="364.91999999999996"/>
    <n v="304.10000000000002"/>
    <n v="3649.2"/>
    <n v="669.02"/>
    <n v="2980.18"/>
  </r>
  <r>
    <n v="669"/>
    <x v="0"/>
    <n v="3447"/>
    <n v="689.40000000000009"/>
    <n v="413.64"/>
    <n v="344.70000000000005"/>
    <n v="4136.3999999999996"/>
    <n v="758.34"/>
    <n v="3378.0599999999995"/>
  </r>
  <r>
    <n v="671"/>
    <x v="1"/>
    <n v="19513"/>
    <n v="3902.6000000000004"/>
    <n v="2341.56"/>
    <n v="1951.3000000000002"/>
    <n v="23415.599999999999"/>
    <n v="4292.8600000000006"/>
    <n v="19122.739999999998"/>
  </r>
  <r>
    <n v="675"/>
    <x v="1"/>
    <n v="2773"/>
    <n v="554.6"/>
    <n v="332.76"/>
    <n v="277.3"/>
    <n v="3327.6"/>
    <n v="610.05999999999995"/>
    <n v="2717.54"/>
  </r>
  <r>
    <n v="677"/>
    <x v="0"/>
    <n v="7104"/>
    <n v="1420.8000000000002"/>
    <n v="852.48"/>
    <n v="710.40000000000009"/>
    <n v="8524.7999999999993"/>
    <n v="1562.88"/>
    <n v="6961.9199999999992"/>
  </r>
  <r>
    <n v="679"/>
    <x v="1"/>
    <n v="6322"/>
    <n v="1264.4000000000001"/>
    <n v="758.64"/>
    <n v="632.20000000000005"/>
    <n v="7586.4"/>
    <n v="1390.8400000000001"/>
    <n v="6195.5599999999995"/>
  </r>
  <r>
    <n v="680"/>
    <x v="1"/>
    <n v="2083"/>
    <n v="416.6"/>
    <n v="249.95999999999998"/>
    <n v="208.3"/>
    <n v="2499.6"/>
    <n v="458.26"/>
    <n v="2041.34"/>
  </r>
  <r>
    <n v="682"/>
    <x v="0"/>
    <n v="8381"/>
    <n v="1676.2"/>
    <n v="1005.7199999999999"/>
    <n v="838.1"/>
    <n v="10057.200000000001"/>
    <n v="1843.82"/>
    <n v="8213.380000000001"/>
  </r>
  <r>
    <n v="683"/>
    <x v="1"/>
    <n v="2691"/>
    <n v="538.20000000000005"/>
    <n v="322.92"/>
    <n v="269.10000000000002"/>
    <n v="3229.2"/>
    <n v="592.02"/>
    <n v="2637.18"/>
  </r>
  <r>
    <n v="684"/>
    <x v="0"/>
    <n v="4286"/>
    <n v="857.2"/>
    <n v="514.31999999999994"/>
    <n v="428.6"/>
    <n v="5143.2"/>
    <n v="942.92"/>
    <n v="4200.28"/>
  </r>
  <r>
    <n v="686"/>
    <x v="1"/>
    <n v="2659"/>
    <n v="531.80000000000007"/>
    <n v="319.08"/>
    <n v="265.90000000000003"/>
    <n v="3190.8"/>
    <n v="584.98"/>
    <n v="2605.8200000000002"/>
  </r>
  <r>
    <n v="689"/>
    <x v="1"/>
    <n v="9434"/>
    <n v="1886.8000000000002"/>
    <n v="1132.08"/>
    <n v="943.40000000000009"/>
    <n v="11320.8"/>
    <n v="2075.48"/>
    <n v="9245.32"/>
  </r>
  <r>
    <n v="690"/>
    <x v="0"/>
    <n v="5561"/>
    <n v="1112.2"/>
    <n v="667.31999999999994"/>
    <n v="556.1"/>
    <n v="6673.2"/>
    <n v="1223.42"/>
    <n v="5449.78"/>
  </r>
  <r>
    <n v="691"/>
    <x v="1"/>
    <n v="6646"/>
    <n v="1329.2"/>
    <n v="797.52"/>
    <n v="664.6"/>
    <n v="7975.2"/>
    <n v="1462.12"/>
    <n v="6513.08"/>
  </r>
  <r>
    <n v="692"/>
    <x v="1"/>
    <n v="7725"/>
    <n v="1545"/>
    <n v="927"/>
    <n v="772.5"/>
    <n v="9270"/>
    <n v="1699.5"/>
    <n v="7570.5"/>
  </r>
  <r>
    <n v="698"/>
    <x v="2"/>
    <n v="10725"/>
    <n v="2145"/>
    <n v="1287"/>
    <n v="1072.5"/>
    <n v="12870"/>
    <n v="2359.5"/>
    <n v="10510.5"/>
  </r>
  <r>
    <n v="699"/>
    <x v="1"/>
    <n v="8847"/>
    <n v="1769.4"/>
    <n v="1061.6399999999999"/>
    <n v="884.7"/>
    <n v="10616.4"/>
    <n v="1946.34"/>
    <n v="8670.06"/>
  </r>
  <r>
    <n v="700"/>
    <x v="1"/>
    <n v="2045"/>
    <n v="409"/>
    <n v="245.39999999999998"/>
    <n v="204.5"/>
    <n v="2454"/>
    <n v="449.9"/>
    <n v="2004.1"/>
  </r>
  <r>
    <n v="701"/>
    <x v="1"/>
    <n v="1009"/>
    <n v="201.8"/>
    <n v="121.08"/>
    <n v="100.9"/>
    <n v="1210.8"/>
    <n v="221.98000000000002"/>
    <n v="988.81999999999994"/>
  </r>
  <r>
    <n v="702"/>
    <x v="1"/>
    <n v="3348"/>
    <n v="669.6"/>
    <n v="401.76"/>
    <n v="334.8"/>
    <n v="4017.6"/>
    <n v="736.56"/>
    <n v="3281.04"/>
  </r>
  <r>
    <n v="704"/>
    <x v="1"/>
    <n v="1281"/>
    <n v="256.2"/>
    <n v="153.72"/>
    <n v="128.1"/>
    <n v="1537.2"/>
    <n v="281.82"/>
    <n v="1255.3800000000001"/>
  </r>
  <r>
    <n v="705"/>
    <x v="1"/>
    <n v="2819"/>
    <n v="563.80000000000007"/>
    <n v="338.28"/>
    <n v="281.90000000000003"/>
    <n v="3382.8"/>
    <n v="620.18000000000006"/>
    <n v="2762.62"/>
  </r>
  <r>
    <n v="707"/>
    <x v="0"/>
    <n v="4851"/>
    <n v="970.2"/>
    <n v="582.12"/>
    <n v="485.1"/>
    <n v="5821.2"/>
    <n v="1067.22"/>
    <n v="4753.9799999999996"/>
  </r>
  <r>
    <n v="709"/>
    <x v="0"/>
    <n v="4028"/>
    <n v="805.6"/>
    <n v="483.35999999999996"/>
    <n v="402.8"/>
    <n v="4833.6000000000004"/>
    <n v="886.16"/>
    <n v="3947.4400000000005"/>
  </r>
  <r>
    <n v="710"/>
    <x v="1"/>
    <n v="2720"/>
    <n v="544"/>
    <n v="326.39999999999998"/>
    <n v="272"/>
    <n v="3264"/>
    <n v="598.4"/>
    <n v="2665.6"/>
  </r>
  <r>
    <n v="712"/>
    <x v="0"/>
    <n v="8120"/>
    <n v="1624"/>
    <n v="974.4"/>
    <n v="812"/>
    <n v="9744"/>
    <n v="1786.4"/>
    <n v="7957.6"/>
  </r>
  <r>
    <n v="714"/>
    <x v="0"/>
    <n v="4647"/>
    <n v="929.40000000000009"/>
    <n v="557.64"/>
    <n v="464.70000000000005"/>
    <n v="5576.4"/>
    <n v="1022.34"/>
    <n v="4554.0599999999995"/>
  </r>
  <r>
    <n v="715"/>
    <x v="1"/>
    <n v="4680"/>
    <n v="936"/>
    <n v="561.6"/>
    <n v="468"/>
    <n v="5616"/>
    <n v="1029.5999999999999"/>
    <n v="4586.3999999999996"/>
  </r>
  <r>
    <n v="716"/>
    <x v="1"/>
    <n v="3221"/>
    <n v="644.20000000000005"/>
    <n v="386.52"/>
    <n v="322.10000000000002"/>
    <n v="3865.2"/>
    <n v="708.62"/>
    <n v="3156.58"/>
  </r>
  <r>
    <n v="717"/>
    <x v="1"/>
    <n v="8621"/>
    <n v="1724.2"/>
    <n v="1034.52"/>
    <n v="862.1"/>
    <n v="10345.200000000001"/>
    <n v="1896.62"/>
    <n v="8448.5800000000017"/>
  </r>
  <r>
    <n v="720"/>
    <x v="0"/>
    <n v="4577"/>
    <n v="915.40000000000009"/>
    <n v="549.24"/>
    <n v="457.70000000000005"/>
    <n v="5492.4"/>
    <n v="1006.94"/>
    <n v="4485.4599999999991"/>
  </r>
  <r>
    <n v="721"/>
    <x v="1"/>
    <n v="4553"/>
    <n v="910.6"/>
    <n v="546.36"/>
    <n v="455.3"/>
    <n v="5463.6"/>
    <n v="1001.6600000000001"/>
    <n v="4461.9400000000005"/>
  </r>
  <r>
    <n v="722"/>
    <x v="0"/>
    <n v="5396"/>
    <n v="1079.2"/>
    <n v="647.52"/>
    <n v="539.6"/>
    <n v="6475.2"/>
    <n v="1187.1199999999999"/>
    <n v="5288.08"/>
  </r>
  <r>
    <n v="723"/>
    <x v="0"/>
    <n v="6796"/>
    <n v="1359.2"/>
    <n v="815.52"/>
    <n v="679.6"/>
    <n v="8155.2"/>
    <n v="1495.12"/>
    <n v="6660.08"/>
  </r>
  <r>
    <n v="724"/>
    <x v="1"/>
    <n v="7625"/>
    <n v="1525"/>
    <n v="915"/>
    <n v="762.5"/>
    <n v="9150"/>
    <n v="1677.5"/>
    <n v="7472.5"/>
  </r>
  <r>
    <n v="725"/>
    <x v="1"/>
    <n v="7412"/>
    <n v="1482.4"/>
    <n v="889.43999999999994"/>
    <n v="741.2"/>
    <n v="8894.4"/>
    <n v="1630.6399999999999"/>
    <n v="7263.76"/>
  </r>
  <r>
    <n v="727"/>
    <x v="1"/>
    <n v="11159"/>
    <n v="2231.8000000000002"/>
    <n v="1339.08"/>
    <n v="1115.9000000000001"/>
    <n v="13390.8"/>
    <n v="2454.98"/>
    <n v="10935.82"/>
  </r>
  <r>
    <n v="728"/>
    <x v="0"/>
    <n v="4960"/>
    <n v="992"/>
    <n v="595.19999999999993"/>
    <n v="496"/>
    <n v="5952"/>
    <n v="1091.1999999999998"/>
    <n v="4860.8"/>
  </r>
  <r>
    <n v="729"/>
    <x v="0"/>
    <n v="10475"/>
    <n v="2095"/>
    <n v="1257"/>
    <n v="1047.5"/>
    <n v="12570"/>
    <n v="2304.5"/>
    <n v="10265.5"/>
  </r>
  <r>
    <n v="730"/>
    <x v="1"/>
    <n v="14814"/>
    <n v="2962.8"/>
    <n v="1777.6799999999998"/>
    <n v="1481.4"/>
    <n v="17776.8"/>
    <n v="3259.08"/>
    <n v="14517.72"/>
  </r>
  <r>
    <n v="731"/>
    <x v="2"/>
    <n v="19141"/>
    <n v="3828.2000000000003"/>
    <n v="2296.92"/>
    <n v="1914.1000000000001"/>
    <n v="22969.200000000001"/>
    <n v="4211.0200000000004"/>
    <n v="18758.18"/>
  </r>
  <r>
    <n v="732"/>
    <x v="0"/>
    <n v="5405"/>
    <n v="1081"/>
    <n v="648.6"/>
    <n v="540.5"/>
    <n v="6486"/>
    <n v="1189.0999999999999"/>
    <n v="5296.9"/>
  </r>
  <r>
    <n v="733"/>
    <x v="1"/>
    <n v="8793"/>
    <n v="1758.6000000000001"/>
    <n v="1055.1599999999999"/>
    <n v="879.30000000000007"/>
    <n v="10551.6"/>
    <n v="1934.46"/>
    <n v="8617.14"/>
  </r>
  <r>
    <n v="734"/>
    <x v="2"/>
    <n v="19189"/>
    <n v="3837.8"/>
    <n v="2302.6799999999998"/>
    <n v="1918.9"/>
    <n v="23026.799999999999"/>
    <n v="4221.58"/>
    <n v="18805.22"/>
  </r>
  <r>
    <n v="738"/>
    <x v="0"/>
    <n v="3875"/>
    <n v="775"/>
    <n v="465"/>
    <n v="387.5"/>
    <n v="4650"/>
    <n v="852.5"/>
    <n v="3797.5"/>
  </r>
  <r>
    <n v="741"/>
    <x v="1"/>
    <n v="2216"/>
    <n v="443.20000000000005"/>
    <n v="265.92"/>
    <n v="221.60000000000002"/>
    <n v="2659.2"/>
    <n v="487.52000000000004"/>
    <n v="2171.6799999999998"/>
  </r>
  <r>
    <n v="742"/>
    <x v="1"/>
    <n v="11713"/>
    <n v="2342.6"/>
    <n v="1405.56"/>
    <n v="1171.3"/>
    <n v="14055.6"/>
    <n v="2576.8599999999997"/>
    <n v="11478.740000000002"/>
  </r>
  <r>
    <n v="743"/>
    <x v="1"/>
    <n v="7861"/>
    <n v="1572.2"/>
    <n v="943.31999999999994"/>
    <n v="786.1"/>
    <n v="9433.2000000000007"/>
    <n v="1729.42"/>
    <n v="7703.7800000000007"/>
  </r>
  <r>
    <n v="744"/>
    <x v="1"/>
    <n v="3708"/>
    <n v="741.6"/>
    <n v="444.96"/>
    <n v="370.8"/>
    <n v="4449.6000000000004"/>
    <n v="815.76"/>
    <n v="3633.84"/>
  </r>
  <r>
    <n v="746"/>
    <x v="0"/>
    <n v="13770"/>
    <n v="2754"/>
    <n v="1652.3999999999999"/>
    <n v="1377"/>
    <n v="16524"/>
    <n v="3029.3999999999996"/>
    <n v="13494.6"/>
  </r>
  <r>
    <n v="747"/>
    <x v="0"/>
    <n v="5304"/>
    <n v="1060.8"/>
    <n v="636.48"/>
    <n v="530.4"/>
    <n v="6364.8"/>
    <n v="1166.8800000000001"/>
    <n v="5197.92"/>
  </r>
  <r>
    <n v="749"/>
    <x v="0"/>
    <n v="2642"/>
    <n v="528.4"/>
    <n v="317.03999999999996"/>
    <n v="264.2"/>
    <n v="3170.4"/>
    <n v="581.24"/>
    <n v="2589.16"/>
  </r>
  <r>
    <n v="752"/>
    <x v="1"/>
    <n v="2759"/>
    <n v="551.80000000000007"/>
    <n v="331.08"/>
    <n v="275.90000000000003"/>
    <n v="3310.8"/>
    <n v="606.98"/>
    <n v="2703.82"/>
  </r>
  <r>
    <n v="754"/>
    <x v="0"/>
    <n v="6804"/>
    <n v="1360.8000000000002"/>
    <n v="816.48"/>
    <n v="680.40000000000009"/>
    <n v="8164.8"/>
    <n v="1496.88"/>
    <n v="6667.92"/>
  </r>
  <r>
    <n v="757"/>
    <x v="1"/>
    <n v="6142"/>
    <n v="1228.4000000000001"/>
    <n v="737.04"/>
    <n v="614.20000000000005"/>
    <n v="7370.4"/>
    <n v="1351.24"/>
    <n v="6019.16"/>
  </r>
  <r>
    <n v="758"/>
    <x v="1"/>
    <n v="2500"/>
    <n v="500"/>
    <n v="300"/>
    <n v="250"/>
    <n v="3000"/>
    <n v="550"/>
    <n v="2450"/>
  </r>
  <r>
    <n v="760"/>
    <x v="2"/>
    <n v="6389"/>
    <n v="1277.8000000000002"/>
    <n v="766.68"/>
    <n v="638.90000000000009"/>
    <n v="7666.8"/>
    <n v="1405.58"/>
    <n v="6261.22"/>
  </r>
  <r>
    <n v="762"/>
    <x v="1"/>
    <n v="11103"/>
    <n v="2220.6"/>
    <n v="1332.36"/>
    <n v="1110.3"/>
    <n v="13323.6"/>
    <n v="2442.66"/>
    <n v="10880.94"/>
  </r>
  <r>
    <n v="763"/>
    <x v="1"/>
    <n v="2342"/>
    <n v="468.40000000000003"/>
    <n v="281.03999999999996"/>
    <n v="234.20000000000002"/>
    <n v="2810.4"/>
    <n v="515.24"/>
    <n v="2295.16"/>
  </r>
  <r>
    <n v="764"/>
    <x v="1"/>
    <n v="6811"/>
    <n v="1362.2"/>
    <n v="817.31999999999994"/>
    <n v="681.1"/>
    <n v="8173.2"/>
    <n v="1498.42"/>
    <n v="6674.78"/>
  </r>
  <r>
    <n v="766"/>
    <x v="0"/>
    <n v="2297"/>
    <n v="459.40000000000003"/>
    <n v="275.64"/>
    <n v="229.70000000000002"/>
    <n v="2756.4"/>
    <n v="505.34000000000003"/>
    <n v="2251.06"/>
  </r>
  <r>
    <n v="769"/>
    <x v="1"/>
    <n v="2450"/>
    <n v="490"/>
    <n v="294"/>
    <n v="245"/>
    <n v="2940"/>
    <n v="539"/>
    <n v="2401"/>
  </r>
  <r>
    <n v="771"/>
    <x v="1"/>
    <n v="5093"/>
    <n v="1018.6"/>
    <n v="611.16"/>
    <n v="509.3"/>
    <n v="6111.6"/>
    <n v="1120.46"/>
    <n v="4991.1400000000003"/>
  </r>
  <r>
    <n v="772"/>
    <x v="1"/>
    <n v="5309"/>
    <n v="1061.8"/>
    <n v="637.07999999999993"/>
    <n v="530.9"/>
    <n v="6370.8"/>
    <n v="1167.98"/>
    <n v="5202.82"/>
  </r>
  <r>
    <n v="773"/>
    <x v="1"/>
    <n v="3057"/>
    <n v="611.4"/>
    <n v="366.84"/>
    <n v="305.7"/>
    <n v="3668.4"/>
    <n v="672.54"/>
    <n v="2995.86"/>
  </r>
  <r>
    <n v="775"/>
    <x v="1"/>
    <n v="5121"/>
    <n v="1024.2"/>
    <n v="614.52"/>
    <n v="512.1"/>
    <n v="6145.2"/>
    <n v="1126.6199999999999"/>
    <n v="5018.58"/>
  </r>
  <r>
    <n v="776"/>
    <x v="0"/>
    <n v="16856"/>
    <n v="3371.2000000000003"/>
    <n v="2022.72"/>
    <n v="1685.6000000000001"/>
    <n v="20227.2"/>
    <n v="3708.32"/>
    <n v="16518.88"/>
  </r>
  <r>
    <n v="780"/>
    <x v="1"/>
    <n v="2686"/>
    <n v="537.20000000000005"/>
    <n v="322.32"/>
    <n v="268.60000000000002"/>
    <n v="3223.2"/>
    <n v="590.92000000000007"/>
    <n v="2632.2799999999997"/>
  </r>
  <r>
    <n v="781"/>
    <x v="0"/>
    <n v="6180"/>
    <n v="1236"/>
    <n v="741.6"/>
    <n v="618"/>
    <n v="7416"/>
    <n v="1359.6"/>
    <n v="6056.4"/>
  </r>
  <r>
    <n v="783"/>
    <x v="0"/>
    <n v="6632"/>
    <n v="1326.4"/>
    <n v="795.83999999999992"/>
    <n v="663.2"/>
    <n v="7958.4"/>
    <n v="1459.04"/>
    <n v="6499.36"/>
  </r>
  <r>
    <n v="784"/>
    <x v="1"/>
    <n v="3505"/>
    <n v="701"/>
    <n v="420.59999999999997"/>
    <n v="350.5"/>
    <n v="4206"/>
    <n v="771.09999999999991"/>
    <n v="3434.9"/>
  </r>
  <r>
    <n v="785"/>
    <x v="0"/>
    <n v="6397"/>
    <n v="1279.4000000000001"/>
    <n v="767.64"/>
    <n v="639.70000000000005"/>
    <n v="7676.4"/>
    <n v="1407.3400000000001"/>
    <n v="6269.0599999999995"/>
  </r>
  <r>
    <n v="786"/>
    <x v="0"/>
    <n v="6274"/>
    <n v="1254.8000000000002"/>
    <n v="752.88"/>
    <n v="627.40000000000009"/>
    <n v="7528.8"/>
    <n v="1380.2800000000002"/>
    <n v="6148.52"/>
  </r>
  <r>
    <n v="787"/>
    <x v="1"/>
    <n v="19859"/>
    <n v="3971.8"/>
    <n v="2383.08"/>
    <n v="1985.9"/>
    <n v="23830.799999999999"/>
    <n v="4368.9799999999996"/>
    <n v="19461.82"/>
  </r>
  <r>
    <n v="789"/>
    <x v="0"/>
    <n v="7587"/>
    <n v="1517.4"/>
    <n v="910.43999999999994"/>
    <n v="758.7"/>
    <n v="9104.4"/>
    <n v="1669.1399999999999"/>
    <n v="7435.26"/>
  </r>
  <r>
    <n v="791"/>
    <x v="1"/>
    <n v="4258"/>
    <n v="851.6"/>
    <n v="510.96"/>
    <n v="425.8"/>
    <n v="5109.6000000000004"/>
    <n v="936.76"/>
    <n v="4172.84"/>
  </r>
  <r>
    <n v="792"/>
    <x v="1"/>
    <n v="4364"/>
    <n v="872.80000000000007"/>
    <n v="523.67999999999995"/>
    <n v="436.40000000000003"/>
    <n v="5236.8"/>
    <n v="960.07999999999993"/>
    <n v="4276.72"/>
  </r>
  <r>
    <n v="793"/>
    <x v="1"/>
    <n v="4335"/>
    <n v="867"/>
    <n v="520.19999999999993"/>
    <n v="433.5"/>
    <n v="5202"/>
    <n v="953.69999999999993"/>
    <n v="4248.3"/>
  </r>
  <r>
    <n v="796"/>
    <x v="0"/>
    <n v="5326"/>
    <n v="1065.2"/>
    <n v="639.12"/>
    <n v="532.6"/>
    <n v="6391.2"/>
    <n v="1171.72"/>
    <n v="5219.4799999999996"/>
  </r>
  <r>
    <n v="797"/>
    <x v="1"/>
    <n v="3280"/>
    <n v="656"/>
    <n v="393.59999999999997"/>
    <n v="328"/>
    <n v="3936"/>
    <n v="721.59999999999991"/>
    <n v="3214.4"/>
  </r>
  <r>
    <n v="799"/>
    <x v="1"/>
    <n v="5485"/>
    <n v="1097"/>
    <n v="658.19999999999993"/>
    <n v="548.5"/>
    <n v="6582"/>
    <n v="1206.6999999999998"/>
    <n v="5375.3"/>
  </r>
  <r>
    <n v="800"/>
    <x v="0"/>
    <n v="4342"/>
    <n v="868.40000000000009"/>
    <n v="521.04"/>
    <n v="434.20000000000005"/>
    <n v="5210.3999999999996"/>
    <n v="955.24"/>
    <n v="4255.16"/>
  </r>
  <r>
    <n v="802"/>
    <x v="1"/>
    <n v="2782"/>
    <n v="556.4"/>
    <n v="333.84"/>
    <n v="278.2"/>
    <n v="3338.4"/>
    <n v="612.04"/>
    <n v="2726.36"/>
  </r>
  <r>
    <n v="803"/>
    <x v="1"/>
    <n v="5980"/>
    <n v="1196"/>
    <n v="717.6"/>
    <n v="598"/>
    <n v="7176"/>
    <n v="1315.6"/>
    <n v="5860.4"/>
  </r>
  <r>
    <n v="804"/>
    <x v="1"/>
    <n v="4381"/>
    <n v="876.2"/>
    <n v="525.72"/>
    <n v="438.1"/>
    <n v="5257.2"/>
    <n v="963.82"/>
    <n v="4293.38"/>
  </r>
  <r>
    <n v="805"/>
    <x v="0"/>
    <n v="2572"/>
    <n v="514.4"/>
    <n v="308.64"/>
    <n v="257.2"/>
    <n v="3086.4"/>
    <n v="565.83999999999992"/>
    <n v="2520.5600000000004"/>
  </r>
  <r>
    <n v="806"/>
    <x v="1"/>
    <n v="3833"/>
    <n v="766.6"/>
    <n v="459.96"/>
    <n v="383.3"/>
    <n v="4599.6000000000004"/>
    <n v="843.26"/>
    <n v="3756.34"/>
  </r>
  <r>
    <n v="807"/>
    <x v="1"/>
    <n v="4244"/>
    <n v="848.80000000000007"/>
    <n v="509.28"/>
    <n v="424.40000000000003"/>
    <n v="5092.8"/>
    <n v="933.68000000000006"/>
    <n v="4159.12"/>
  </r>
  <r>
    <n v="808"/>
    <x v="0"/>
    <n v="6500"/>
    <n v="1300"/>
    <n v="780"/>
    <n v="650"/>
    <n v="7800"/>
    <n v="1430"/>
    <n v="6370"/>
  </r>
  <r>
    <n v="809"/>
    <x v="1"/>
    <n v="18430"/>
    <n v="3686"/>
    <n v="2211.6"/>
    <n v="1843"/>
    <n v="22116"/>
    <n v="4054.6"/>
    <n v="18061.400000000001"/>
  </r>
  <r>
    <n v="811"/>
    <x v="1"/>
    <n v="1601"/>
    <n v="320.20000000000005"/>
    <n v="192.12"/>
    <n v="160.10000000000002"/>
    <n v="1921.2"/>
    <n v="352.22"/>
    <n v="1568.98"/>
  </r>
  <r>
    <n v="812"/>
    <x v="1"/>
    <n v="2694"/>
    <n v="538.80000000000007"/>
    <n v="323.27999999999997"/>
    <n v="269.40000000000003"/>
    <n v="3232.8"/>
    <n v="592.68000000000006"/>
    <n v="2640.12"/>
  </r>
  <r>
    <n v="813"/>
    <x v="1"/>
    <n v="3149"/>
    <n v="629.80000000000007"/>
    <n v="377.88"/>
    <n v="314.90000000000003"/>
    <n v="3778.8"/>
    <n v="692.78"/>
    <n v="3086.0200000000004"/>
  </r>
  <r>
    <n v="815"/>
    <x v="1"/>
    <n v="17639"/>
    <n v="3527.8"/>
    <n v="2116.6799999999998"/>
    <n v="1763.9"/>
    <n v="21166.799999999999"/>
    <n v="3880.58"/>
    <n v="17286.22"/>
  </r>
  <r>
    <n v="816"/>
    <x v="1"/>
    <n v="2319"/>
    <n v="463.8"/>
    <n v="278.27999999999997"/>
    <n v="231.9"/>
    <n v="2782.8"/>
    <n v="510.17999999999995"/>
    <n v="2272.6200000000003"/>
  </r>
  <r>
    <n v="817"/>
    <x v="1"/>
    <n v="11691"/>
    <n v="2338.2000000000003"/>
    <n v="1402.9199999999998"/>
    <n v="1169.1000000000001"/>
    <n v="14029.2"/>
    <n v="2572.02"/>
    <n v="11457.18"/>
  </r>
  <r>
    <n v="819"/>
    <x v="0"/>
    <n v="5324"/>
    <n v="1064.8"/>
    <n v="638.88"/>
    <n v="532.4"/>
    <n v="6388.8"/>
    <n v="1171.28"/>
    <n v="5217.5200000000004"/>
  </r>
  <r>
    <n v="820"/>
    <x v="1"/>
    <n v="16752"/>
    <n v="3350.4"/>
    <n v="2010.24"/>
    <n v="1675.2"/>
    <n v="20102.400000000001"/>
    <n v="3685.44"/>
    <n v="16416.960000000003"/>
  </r>
  <r>
    <n v="823"/>
    <x v="1"/>
    <n v="5228"/>
    <n v="1045.6000000000001"/>
    <n v="627.36"/>
    <n v="522.80000000000007"/>
    <n v="6273.6"/>
    <n v="1150.1600000000001"/>
    <n v="5123.4400000000005"/>
  </r>
  <r>
    <n v="824"/>
    <x v="1"/>
    <n v="2700"/>
    <n v="540"/>
    <n v="324"/>
    <n v="270"/>
    <n v="3240"/>
    <n v="594"/>
    <n v="2646"/>
  </r>
  <r>
    <n v="825"/>
    <x v="1"/>
    <n v="19246"/>
    <n v="3849.2000000000003"/>
    <n v="2309.52"/>
    <n v="1924.6000000000001"/>
    <n v="23095.200000000001"/>
    <n v="4234.12"/>
    <n v="18861.080000000002"/>
  </r>
  <r>
    <n v="826"/>
    <x v="1"/>
    <n v="2506"/>
    <n v="501.20000000000005"/>
    <n v="300.71999999999997"/>
    <n v="250.60000000000002"/>
    <n v="3007.2"/>
    <n v="551.31999999999994"/>
    <n v="2455.88"/>
  </r>
  <r>
    <n v="827"/>
    <x v="1"/>
    <n v="6062"/>
    <n v="1212.4000000000001"/>
    <n v="727.43999999999994"/>
    <n v="606.20000000000005"/>
    <n v="7274.4"/>
    <n v="1333.6399999999999"/>
    <n v="5940.76"/>
  </r>
  <r>
    <n v="828"/>
    <x v="1"/>
    <n v="4382"/>
    <n v="876.40000000000009"/>
    <n v="525.84"/>
    <n v="438.20000000000005"/>
    <n v="5258.4"/>
    <n v="964.04000000000008"/>
    <n v="4294.3599999999997"/>
  </r>
  <r>
    <n v="829"/>
    <x v="2"/>
    <n v="2143"/>
    <n v="428.6"/>
    <n v="257.15999999999997"/>
    <n v="214.3"/>
    <n v="2571.6"/>
    <n v="471.46"/>
    <n v="2100.14"/>
  </r>
  <r>
    <n v="830"/>
    <x v="1"/>
    <n v="6162"/>
    <n v="1232.4000000000001"/>
    <n v="739.43999999999994"/>
    <n v="616.20000000000005"/>
    <n v="7394.4"/>
    <n v="1355.6399999999999"/>
    <n v="6038.76"/>
  </r>
  <r>
    <n v="832"/>
    <x v="1"/>
    <n v="5094"/>
    <n v="1018.8000000000001"/>
    <n v="611.28"/>
    <n v="509.40000000000003"/>
    <n v="6112.8"/>
    <n v="1120.68"/>
    <n v="4992.12"/>
  </r>
  <r>
    <n v="833"/>
    <x v="1"/>
    <n v="6877"/>
    <n v="1375.4"/>
    <n v="825.24"/>
    <n v="687.7"/>
    <n v="8252.4"/>
    <n v="1512.94"/>
    <n v="6739.4599999999991"/>
  </r>
  <r>
    <n v="834"/>
    <x v="1"/>
    <n v="2274"/>
    <n v="454.8"/>
    <n v="272.88"/>
    <n v="227.4"/>
    <n v="2728.8"/>
    <n v="500.28"/>
    <n v="2228.5200000000004"/>
  </r>
  <r>
    <n v="836"/>
    <x v="1"/>
    <n v="4434"/>
    <n v="886.80000000000007"/>
    <n v="532.07999999999993"/>
    <n v="443.40000000000003"/>
    <n v="5320.8"/>
    <n v="975.48"/>
    <n v="4345.32"/>
  </r>
  <r>
    <n v="837"/>
    <x v="1"/>
    <n v="6288"/>
    <n v="1257.6000000000001"/>
    <n v="754.56"/>
    <n v="628.80000000000007"/>
    <n v="7545.6"/>
    <n v="1383.3600000000001"/>
    <n v="6162.24"/>
  </r>
  <r>
    <n v="838"/>
    <x v="1"/>
    <n v="2553"/>
    <n v="510.6"/>
    <n v="306.36"/>
    <n v="255.3"/>
    <n v="3063.6"/>
    <n v="561.66000000000008"/>
    <n v="2501.9399999999996"/>
  </r>
  <r>
    <n v="840"/>
    <x v="0"/>
    <n v="7654"/>
    <n v="1530.8000000000002"/>
    <n v="918.48"/>
    <n v="765.40000000000009"/>
    <n v="9184.7999999999993"/>
    <n v="1683.88"/>
    <n v="7500.9199999999992"/>
  </r>
  <r>
    <n v="842"/>
    <x v="0"/>
    <n v="5160"/>
    <n v="1032"/>
    <n v="619.19999999999993"/>
    <n v="516"/>
    <n v="6192"/>
    <n v="1135.1999999999998"/>
    <n v="5056.8"/>
  </r>
  <r>
    <n v="843"/>
    <x v="1"/>
    <n v="17159"/>
    <n v="3431.8"/>
    <n v="2059.08"/>
    <n v="1715.9"/>
    <n v="20590.8"/>
    <n v="3774.98"/>
    <n v="16815.82"/>
  </r>
  <r>
    <n v="844"/>
    <x v="1"/>
    <n v="12808"/>
    <n v="2561.6000000000004"/>
    <n v="1536.96"/>
    <n v="1280.8000000000002"/>
    <n v="15369.6"/>
    <n v="2817.76"/>
    <n v="12551.84"/>
  </r>
  <r>
    <n v="845"/>
    <x v="1"/>
    <n v="10221"/>
    <n v="2044.2"/>
    <n v="1226.52"/>
    <n v="1022.1"/>
    <n v="12265.2"/>
    <n v="2248.62"/>
    <n v="10016.580000000002"/>
  </r>
  <r>
    <n v="846"/>
    <x v="0"/>
    <n v="4779"/>
    <n v="955.80000000000007"/>
    <n v="573.48"/>
    <n v="477.90000000000003"/>
    <n v="5734.8"/>
    <n v="1051.3800000000001"/>
    <n v="4683.42"/>
  </r>
  <r>
    <n v="847"/>
    <x v="2"/>
    <n v="3737"/>
    <n v="747.40000000000009"/>
    <n v="448.44"/>
    <n v="373.70000000000005"/>
    <n v="4484.3999999999996"/>
    <n v="822.1400000000001"/>
    <n v="3662.2599999999993"/>
  </r>
  <r>
    <n v="848"/>
    <x v="1"/>
    <n v="2366"/>
    <n v="473.20000000000005"/>
    <n v="283.92"/>
    <n v="236.60000000000002"/>
    <n v="2839.2"/>
    <n v="520.52"/>
    <n v="2318.6799999999998"/>
  </r>
  <r>
    <n v="850"/>
    <x v="1"/>
    <n v="1706"/>
    <n v="341.20000000000005"/>
    <n v="204.72"/>
    <n v="170.60000000000002"/>
    <n v="2047.2"/>
    <n v="375.32000000000005"/>
    <n v="1671.88"/>
  </r>
  <r>
    <n v="851"/>
    <x v="0"/>
    <n v="16307"/>
    <n v="3261.4"/>
    <n v="1956.84"/>
    <n v="1630.7"/>
    <n v="19568.400000000001"/>
    <n v="3587.54"/>
    <n v="15980.86"/>
  </r>
  <r>
    <n v="852"/>
    <x v="1"/>
    <n v="5933"/>
    <n v="1186.6000000000001"/>
    <n v="711.95999999999992"/>
    <n v="593.30000000000007"/>
    <n v="7119.6"/>
    <n v="1305.26"/>
    <n v="5814.34"/>
  </r>
  <r>
    <n v="854"/>
    <x v="1"/>
    <n v="3424"/>
    <n v="684.80000000000007"/>
    <n v="410.88"/>
    <n v="342.40000000000003"/>
    <n v="4108.8"/>
    <n v="753.28"/>
    <n v="3355.5200000000004"/>
  </r>
  <r>
    <n v="855"/>
    <x v="0"/>
    <n v="4037"/>
    <n v="807.40000000000009"/>
    <n v="484.44"/>
    <n v="403.70000000000005"/>
    <n v="4844.3999999999996"/>
    <n v="888.1400000000001"/>
    <n v="3956.2599999999993"/>
  </r>
  <r>
    <n v="856"/>
    <x v="1"/>
    <n v="2559"/>
    <n v="511.8"/>
    <n v="307.08"/>
    <n v="255.9"/>
    <n v="3070.8"/>
    <n v="562.98"/>
    <n v="2507.8200000000002"/>
  </r>
  <r>
    <n v="857"/>
    <x v="0"/>
    <n v="6201"/>
    <n v="1240.2"/>
    <n v="744.12"/>
    <n v="620.1"/>
    <n v="7441.2"/>
    <n v="1364.22"/>
    <n v="6076.98"/>
  </r>
  <r>
    <n v="859"/>
    <x v="0"/>
    <n v="4403"/>
    <n v="880.6"/>
    <n v="528.36"/>
    <n v="440.3"/>
    <n v="5283.6"/>
    <n v="968.66000000000008"/>
    <n v="4314.9400000000005"/>
  </r>
  <r>
    <n v="861"/>
    <x v="1"/>
    <n v="3761"/>
    <n v="752.2"/>
    <n v="451.32"/>
    <n v="376.1"/>
    <n v="4513.2"/>
    <n v="827.42000000000007"/>
    <n v="3685.7799999999997"/>
  </r>
  <r>
    <n v="862"/>
    <x v="0"/>
    <n v="10934"/>
    <n v="2186.8000000000002"/>
    <n v="1312.08"/>
    <n v="1093.4000000000001"/>
    <n v="13120.8"/>
    <n v="2405.48"/>
    <n v="10715.32"/>
  </r>
  <r>
    <n v="864"/>
    <x v="0"/>
    <n v="10761"/>
    <n v="2152.2000000000003"/>
    <n v="1291.32"/>
    <n v="1076.1000000000001"/>
    <n v="12913.2"/>
    <n v="2367.42"/>
    <n v="10545.78"/>
  </r>
  <r>
    <n v="865"/>
    <x v="1"/>
    <n v="5175"/>
    <n v="1035"/>
    <n v="621"/>
    <n v="517.5"/>
    <n v="6210"/>
    <n v="1138.5"/>
    <n v="5071.5"/>
  </r>
  <r>
    <n v="867"/>
    <x v="1"/>
    <n v="13826"/>
    <n v="2765.2000000000003"/>
    <n v="1659.12"/>
    <n v="1382.6000000000001"/>
    <n v="16591.2"/>
    <n v="3041.7200000000003"/>
    <n v="13549.48"/>
  </r>
  <r>
    <n v="868"/>
    <x v="0"/>
    <n v="6334"/>
    <n v="1266.8000000000002"/>
    <n v="760.07999999999993"/>
    <n v="633.40000000000009"/>
    <n v="7600.8"/>
    <n v="1393.48"/>
    <n v="6207.32"/>
  </r>
  <r>
    <n v="869"/>
    <x v="2"/>
    <n v="4936"/>
    <n v="987.2"/>
    <n v="592.31999999999994"/>
    <n v="493.6"/>
    <n v="5923.2"/>
    <n v="1085.92"/>
    <n v="4837.28"/>
  </r>
  <r>
    <n v="872"/>
    <x v="1"/>
    <n v="4775"/>
    <n v="955"/>
    <n v="573"/>
    <n v="477.5"/>
    <n v="5730"/>
    <n v="1050.5"/>
    <n v="4679.5"/>
  </r>
  <r>
    <n v="874"/>
    <x v="1"/>
    <n v="2818"/>
    <n v="563.6"/>
    <n v="338.15999999999997"/>
    <n v="281.8"/>
    <n v="3381.6"/>
    <n v="619.96"/>
    <n v="2761.64"/>
  </r>
  <r>
    <n v="875"/>
    <x v="1"/>
    <n v="2515"/>
    <n v="503"/>
    <n v="301.8"/>
    <n v="251.5"/>
    <n v="3018"/>
    <n v="553.29999999999995"/>
    <n v="2464.6999999999998"/>
  </r>
  <r>
    <n v="878"/>
    <x v="2"/>
    <n v="2342"/>
    <n v="468.40000000000003"/>
    <n v="281.03999999999996"/>
    <n v="234.20000000000002"/>
    <n v="2810.4"/>
    <n v="515.24"/>
    <n v="2295.16"/>
  </r>
  <r>
    <n v="879"/>
    <x v="0"/>
    <n v="4194"/>
    <n v="838.80000000000007"/>
    <n v="503.28"/>
    <n v="419.40000000000003"/>
    <n v="5032.8"/>
    <n v="922.68000000000006"/>
    <n v="4110.12"/>
  </r>
  <r>
    <n v="880"/>
    <x v="1"/>
    <n v="10685"/>
    <n v="2137"/>
    <n v="1282.2"/>
    <n v="1068.5"/>
    <n v="12822"/>
    <n v="2350.6999999999998"/>
    <n v="10471.299999999999"/>
  </r>
  <r>
    <n v="881"/>
    <x v="1"/>
    <n v="2022"/>
    <n v="404.40000000000003"/>
    <n v="242.64"/>
    <n v="202.20000000000002"/>
    <n v="2426.4"/>
    <n v="444.84000000000003"/>
    <n v="1981.56"/>
  </r>
  <r>
    <n v="882"/>
    <x v="1"/>
    <n v="2314"/>
    <n v="462.8"/>
    <n v="277.68"/>
    <n v="231.4"/>
    <n v="2776.8"/>
    <n v="509.08000000000004"/>
    <n v="2267.7200000000003"/>
  </r>
  <r>
    <n v="885"/>
    <x v="0"/>
    <n v="4256"/>
    <n v="851.2"/>
    <n v="510.71999999999997"/>
    <n v="425.6"/>
    <n v="5107.2"/>
    <n v="936.31999999999994"/>
    <n v="4170.88"/>
  </r>
  <r>
    <n v="887"/>
    <x v="1"/>
    <n v="3580"/>
    <n v="716"/>
    <n v="429.59999999999997"/>
    <n v="358"/>
    <n v="4296"/>
    <n v="787.59999999999991"/>
    <n v="3508.4"/>
  </r>
  <r>
    <n v="888"/>
    <x v="1"/>
    <n v="3162"/>
    <n v="632.40000000000009"/>
    <n v="379.44"/>
    <n v="316.20000000000005"/>
    <n v="3794.4"/>
    <n v="695.6400000000001"/>
    <n v="3098.76"/>
  </r>
  <r>
    <n v="889"/>
    <x v="0"/>
    <n v="6524"/>
    <n v="1304.8000000000002"/>
    <n v="782.88"/>
    <n v="652.40000000000009"/>
    <n v="7828.8"/>
    <n v="1435.2800000000002"/>
    <n v="6393.52"/>
  </r>
  <r>
    <n v="893"/>
    <x v="0"/>
    <n v="2899"/>
    <n v="579.80000000000007"/>
    <n v="347.88"/>
    <n v="289.90000000000003"/>
    <n v="3478.8"/>
    <n v="637.78"/>
    <n v="2841.0200000000004"/>
  </r>
  <r>
    <n v="894"/>
    <x v="1"/>
    <n v="5231"/>
    <n v="1046.2"/>
    <n v="627.72"/>
    <n v="523.1"/>
    <n v="6277.2"/>
    <n v="1150.8200000000002"/>
    <n v="5126.3799999999992"/>
  </r>
  <r>
    <n v="895"/>
    <x v="1"/>
    <n v="2356"/>
    <n v="471.20000000000005"/>
    <n v="282.71999999999997"/>
    <n v="235.60000000000002"/>
    <n v="2827.2"/>
    <n v="518.31999999999994"/>
    <n v="2308.88"/>
  </r>
  <r>
    <n v="896"/>
    <x v="0"/>
    <n v="2800"/>
    <n v="560"/>
    <n v="336"/>
    <n v="280"/>
    <n v="3360"/>
    <n v="616"/>
    <n v="2744"/>
  </r>
  <r>
    <n v="897"/>
    <x v="0"/>
    <n v="11836"/>
    <n v="2367.2000000000003"/>
    <n v="1420.32"/>
    <n v="1183.6000000000001"/>
    <n v="14203.2"/>
    <n v="2603.92"/>
    <n v="11599.28"/>
  </r>
  <r>
    <n v="899"/>
    <x v="1"/>
    <n v="10903"/>
    <n v="2180.6"/>
    <n v="1308.3599999999999"/>
    <n v="1090.3"/>
    <n v="13083.6"/>
    <n v="2398.66"/>
    <n v="10684.94"/>
  </r>
  <r>
    <n v="900"/>
    <x v="0"/>
    <n v="2973"/>
    <n v="594.6"/>
    <n v="356.76"/>
    <n v="297.3"/>
    <n v="3567.6"/>
    <n v="654.05999999999995"/>
    <n v="2913.54"/>
  </r>
  <r>
    <n v="901"/>
    <x v="1"/>
    <n v="14275"/>
    <n v="2855"/>
    <n v="1713"/>
    <n v="1427.5"/>
    <n v="17130"/>
    <n v="3140.5"/>
    <n v="13989.5"/>
  </r>
  <r>
    <n v="902"/>
    <x v="1"/>
    <n v="5562"/>
    <n v="1112.4000000000001"/>
    <n v="667.43999999999994"/>
    <n v="556.20000000000005"/>
    <n v="6674.4"/>
    <n v="1223.6399999999999"/>
    <n v="5450.76"/>
  </r>
  <r>
    <n v="903"/>
    <x v="0"/>
    <n v="4537"/>
    <n v="907.40000000000009"/>
    <n v="544.43999999999994"/>
    <n v="453.70000000000005"/>
    <n v="5444.4"/>
    <n v="998.14"/>
    <n v="4446.2599999999993"/>
  </r>
  <r>
    <n v="904"/>
    <x v="0"/>
    <n v="7642"/>
    <n v="1528.4"/>
    <n v="917.04"/>
    <n v="764.2"/>
    <n v="9170.4"/>
    <n v="1681.24"/>
    <n v="7489.16"/>
  </r>
  <r>
    <n v="905"/>
    <x v="1"/>
    <n v="17924"/>
    <n v="3584.8"/>
    <n v="2150.88"/>
    <n v="1792.4"/>
    <n v="21508.799999999999"/>
    <n v="3943.28"/>
    <n v="17565.52"/>
  </r>
  <r>
    <n v="909"/>
    <x v="2"/>
    <n v="5204"/>
    <n v="1040.8"/>
    <n v="624.48"/>
    <n v="520.4"/>
    <n v="6244.8"/>
    <n v="1144.8800000000001"/>
    <n v="5099.92"/>
  </r>
  <r>
    <n v="910"/>
    <x v="2"/>
    <n v="2277"/>
    <n v="455.40000000000003"/>
    <n v="273.24"/>
    <n v="227.70000000000002"/>
    <n v="2732.4"/>
    <n v="500.94000000000005"/>
    <n v="2231.46"/>
  </r>
  <r>
    <n v="911"/>
    <x v="1"/>
    <n v="2795"/>
    <n v="559"/>
    <n v="335.4"/>
    <n v="279.5"/>
    <n v="3354"/>
    <n v="614.9"/>
    <n v="2739.1"/>
  </r>
  <r>
    <n v="912"/>
    <x v="1"/>
    <n v="2532"/>
    <n v="506.40000000000003"/>
    <n v="303.83999999999997"/>
    <n v="253.20000000000002"/>
    <n v="3038.4"/>
    <n v="557.04"/>
    <n v="2481.36"/>
  </r>
  <r>
    <n v="913"/>
    <x v="1"/>
    <n v="2559"/>
    <n v="511.8"/>
    <n v="307.08"/>
    <n v="255.9"/>
    <n v="3070.8"/>
    <n v="562.98"/>
    <n v="2507.8200000000002"/>
  </r>
  <r>
    <n v="916"/>
    <x v="0"/>
    <n v="4908"/>
    <n v="981.6"/>
    <n v="588.95999999999992"/>
    <n v="490.8"/>
    <n v="5889.6"/>
    <n v="1079.76"/>
    <n v="4809.84"/>
  </r>
  <r>
    <n v="918"/>
    <x v="1"/>
    <n v="2380"/>
    <n v="476"/>
    <n v="285.59999999999997"/>
    <n v="238"/>
    <n v="2856"/>
    <n v="523.59999999999991"/>
    <n v="2332.4"/>
  </r>
  <r>
    <n v="920"/>
    <x v="1"/>
    <n v="4765"/>
    <n v="953"/>
    <n v="571.79999999999995"/>
    <n v="476.5"/>
    <n v="5718"/>
    <n v="1048.3"/>
    <n v="4669.7"/>
  </r>
  <r>
    <n v="922"/>
    <x v="0"/>
    <n v="2044"/>
    <n v="408.8"/>
    <n v="245.28"/>
    <n v="204.4"/>
    <n v="2452.8000000000002"/>
    <n v="449.68"/>
    <n v="2003.1200000000001"/>
  </r>
  <r>
    <n v="923"/>
    <x v="1"/>
    <n v="2693"/>
    <n v="538.6"/>
    <n v="323.15999999999997"/>
    <n v="269.3"/>
    <n v="3231.6"/>
    <n v="592.46"/>
    <n v="2639.14"/>
  </r>
  <r>
    <n v="924"/>
    <x v="1"/>
    <n v="6586"/>
    <n v="1317.2"/>
    <n v="790.31999999999994"/>
    <n v="658.6"/>
    <n v="7903.2"/>
    <n v="1448.92"/>
    <n v="6454.28"/>
  </r>
  <r>
    <n v="925"/>
    <x v="0"/>
    <n v="3294"/>
    <n v="658.80000000000007"/>
    <n v="395.28"/>
    <n v="329.40000000000003"/>
    <n v="3952.8"/>
    <n v="724.68000000000006"/>
    <n v="3228.12"/>
  </r>
  <r>
    <n v="926"/>
    <x v="1"/>
    <n v="4171"/>
    <n v="834.2"/>
    <n v="500.52"/>
    <n v="417.1"/>
    <n v="5005.2"/>
    <n v="917.62"/>
    <n v="4087.58"/>
  </r>
  <r>
    <n v="927"/>
    <x v="1"/>
    <n v="2778"/>
    <n v="555.6"/>
    <n v="333.36"/>
    <n v="277.8"/>
    <n v="3333.6"/>
    <n v="611.16000000000008"/>
    <n v="2722.4399999999996"/>
  </r>
  <r>
    <n v="930"/>
    <x v="1"/>
    <n v="2377"/>
    <n v="475.40000000000003"/>
    <n v="285.24"/>
    <n v="237.70000000000002"/>
    <n v="2852.4"/>
    <n v="522.94000000000005"/>
    <n v="2329.46"/>
  </r>
  <r>
    <n v="932"/>
    <x v="1"/>
    <n v="2404"/>
    <n v="480.8"/>
    <n v="288.47999999999996"/>
    <n v="240.4"/>
    <n v="2884.8"/>
    <n v="528.88"/>
    <n v="2355.92"/>
  </r>
  <r>
    <n v="933"/>
    <x v="1"/>
    <n v="2318"/>
    <n v="463.6"/>
    <n v="278.15999999999997"/>
    <n v="231.8"/>
    <n v="2781.6"/>
    <n v="509.96"/>
    <n v="2271.64"/>
  </r>
  <r>
    <n v="934"/>
    <x v="1"/>
    <n v="2008"/>
    <n v="401.6"/>
    <n v="240.95999999999998"/>
    <n v="200.8"/>
    <n v="2409.6"/>
    <n v="441.76"/>
    <n v="1967.84"/>
  </r>
  <r>
    <n v="936"/>
    <x v="0"/>
    <n v="6244"/>
    <n v="1248.8000000000002"/>
    <n v="749.28"/>
    <n v="624.40000000000009"/>
    <n v="7492.8"/>
    <n v="1373.68"/>
    <n v="6119.12"/>
  </r>
  <r>
    <n v="939"/>
    <x v="1"/>
    <n v="2799"/>
    <n v="559.80000000000007"/>
    <n v="335.88"/>
    <n v="279.90000000000003"/>
    <n v="3358.8"/>
    <n v="615.78"/>
    <n v="2743.0200000000004"/>
  </r>
  <r>
    <n v="940"/>
    <x v="1"/>
    <n v="10552"/>
    <n v="2110.4"/>
    <n v="1266.24"/>
    <n v="1055.2"/>
    <n v="12662.4"/>
    <n v="2321.44"/>
    <n v="10340.959999999999"/>
  </r>
  <r>
    <n v="941"/>
    <x v="0"/>
    <n v="2329"/>
    <n v="465.8"/>
    <n v="279.47999999999996"/>
    <n v="232.9"/>
    <n v="2794.8"/>
    <n v="512.38"/>
    <n v="2282.42"/>
  </r>
  <r>
    <n v="942"/>
    <x v="1"/>
    <n v="4014"/>
    <n v="802.80000000000007"/>
    <n v="481.68"/>
    <n v="401.40000000000003"/>
    <n v="4816.8"/>
    <n v="883.08"/>
    <n v="3933.7200000000003"/>
  </r>
  <r>
    <n v="944"/>
    <x v="1"/>
    <n v="7403"/>
    <n v="1480.6000000000001"/>
    <n v="888.36"/>
    <n v="740.30000000000007"/>
    <n v="8883.6"/>
    <n v="1628.66"/>
    <n v="7254.9400000000005"/>
  </r>
  <r>
    <n v="945"/>
    <x v="1"/>
    <n v="2259"/>
    <n v="451.8"/>
    <n v="271.08"/>
    <n v="225.9"/>
    <n v="2710.8"/>
    <n v="496.98"/>
    <n v="2213.8200000000002"/>
  </r>
  <r>
    <n v="947"/>
    <x v="0"/>
    <n v="6932"/>
    <n v="1386.4"/>
    <n v="831.83999999999992"/>
    <n v="693.2"/>
    <n v="8318.4"/>
    <n v="1525.04"/>
    <n v="6793.36"/>
  </r>
  <r>
    <n v="949"/>
    <x v="1"/>
    <n v="4678"/>
    <n v="935.6"/>
    <n v="561.36"/>
    <n v="467.8"/>
    <n v="5613.6"/>
    <n v="1029.1600000000001"/>
    <n v="4584.4400000000005"/>
  </r>
  <r>
    <n v="950"/>
    <x v="1"/>
    <n v="13582"/>
    <n v="2716.4"/>
    <n v="1629.84"/>
    <n v="1358.2"/>
    <n v="16298.4"/>
    <n v="2988.04"/>
    <n v="13310.36"/>
  </r>
  <r>
    <n v="951"/>
    <x v="1"/>
    <n v="2332"/>
    <n v="466.40000000000003"/>
    <n v="279.83999999999997"/>
    <n v="233.20000000000002"/>
    <n v="2798.4"/>
    <n v="513.04"/>
    <n v="2285.36"/>
  </r>
  <r>
    <n v="952"/>
    <x v="0"/>
    <n v="2413"/>
    <n v="482.6"/>
    <n v="289.56"/>
    <n v="241.3"/>
    <n v="2895.6"/>
    <n v="530.86"/>
    <n v="2364.7399999999998"/>
  </r>
  <r>
    <n v="954"/>
    <x v="0"/>
    <n v="9705"/>
    <n v="1941"/>
    <n v="1164.5999999999999"/>
    <n v="970.5"/>
    <n v="11646"/>
    <n v="2135.1"/>
    <n v="9510.9"/>
  </r>
  <r>
    <n v="956"/>
    <x v="0"/>
    <n v="4294"/>
    <n v="858.80000000000007"/>
    <n v="515.28"/>
    <n v="429.40000000000003"/>
    <n v="5152.8"/>
    <n v="944.68000000000006"/>
    <n v="4208.12"/>
  </r>
  <r>
    <n v="957"/>
    <x v="1"/>
    <n v="4721"/>
    <n v="944.2"/>
    <n v="566.52"/>
    <n v="472.1"/>
    <n v="5665.2"/>
    <n v="1038.6199999999999"/>
    <n v="4626.58"/>
  </r>
  <r>
    <n v="958"/>
    <x v="1"/>
    <n v="2519"/>
    <n v="503.8"/>
    <n v="302.27999999999997"/>
    <n v="251.9"/>
    <n v="3022.8"/>
    <n v="554.17999999999995"/>
    <n v="2468.6200000000003"/>
  </r>
  <r>
    <n v="959"/>
    <x v="0"/>
    <n v="2121"/>
    <n v="424.20000000000005"/>
    <n v="254.51999999999998"/>
    <n v="212.10000000000002"/>
    <n v="2545.1999999999998"/>
    <n v="466.62"/>
    <n v="2078.58"/>
  </r>
  <r>
    <n v="960"/>
    <x v="1"/>
    <n v="2973"/>
    <n v="594.6"/>
    <n v="356.76"/>
    <n v="297.3"/>
    <n v="3567.6"/>
    <n v="654.05999999999995"/>
    <n v="2913.54"/>
  </r>
  <r>
    <n v="961"/>
    <x v="1"/>
    <n v="5855"/>
    <n v="1171"/>
    <n v="702.6"/>
    <n v="585.5"/>
    <n v="7026"/>
    <n v="1288.0999999999999"/>
    <n v="5737.9"/>
  </r>
  <r>
    <n v="964"/>
    <x v="1"/>
    <n v="3617"/>
    <n v="723.40000000000009"/>
    <n v="434.03999999999996"/>
    <n v="361.70000000000005"/>
    <n v="4340.3999999999996"/>
    <n v="795.74"/>
    <n v="3544.66"/>
  </r>
  <r>
    <n v="966"/>
    <x v="1"/>
    <n v="6725"/>
    <n v="1345"/>
    <n v="807"/>
    <n v="672.5"/>
    <n v="8070"/>
    <n v="1479.5"/>
    <n v="6590.5"/>
  </r>
  <r>
    <n v="967"/>
    <x v="0"/>
    <n v="10325"/>
    <n v="2065"/>
    <n v="1239"/>
    <n v="1032.5"/>
    <n v="12390"/>
    <n v="2271.5"/>
    <n v="10118.5"/>
  </r>
  <r>
    <n v="969"/>
    <x v="1"/>
    <n v="6949"/>
    <n v="1389.8000000000002"/>
    <n v="833.88"/>
    <n v="694.90000000000009"/>
    <n v="8338.7999999999993"/>
    <n v="1528.7800000000002"/>
    <n v="6810.0199999999986"/>
  </r>
  <r>
    <n v="970"/>
    <x v="0"/>
    <n v="10609"/>
    <n v="2121.8000000000002"/>
    <n v="1273.08"/>
    <n v="1060.9000000000001"/>
    <n v="12730.8"/>
    <n v="2333.98"/>
    <n v="10396.82"/>
  </r>
  <r>
    <n v="972"/>
    <x v="1"/>
    <n v="4447"/>
    <n v="889.40000000000009"/>
    <n v="533.64"/>
    <n v="444.70000000000005"/>
    <n v="5336.4"/>
    <n v="978.34"/>
    <n v="4358.0599999999995"/>
  </r>
  <r>
    <n v="974"/>
    <x v="0"/>
    <n v="2157"/>
    <n v="431.40000000000003"/>
    <n v="258.83999999999997"/>
    <n v="215.70000000000002"/>
    <n v="2588.4"/>
    <n v="474.53999999999996"/>
    <n v="2113.86"/>
  </r>
  <r>
    <n v="975"/>
    <x v="0"/>
    <n v="4601"/>
    <n v="920.2"/>
    <n v="552.12"/>
    <n v="460.1"/>
    <n v="5521.2"/>
    <n v="1012.22"/>
    <n v="4508.9799999999996"/>
  </r>
  <r>
    <n v="976"/>
    <x v="1"/>
    <n v="17099"/>
    <n v="3419.8"/>
    <n v="2051.88"/>
    <n v="1709.9"/>
    <n v="20518.8"/>
    <n v="3761.78"/>
    <n v="16757.02"/>
  </r>
  <r>
    <n v="977"/>
    <x v="1"/>
    <n v="2479"/>
    <n v="495.8"/>
    <n v="297.47999999999996"/>
    <n v="247.9"/>
    <n v="2974.8"/>
    <n v="545.38"/>
    <n v="2429.42"/>
  </r>
  <r>
    <n v="981"/>
    <x v="0"/>
    <n v="14852"/>
    <n v="2970.4"/>
    <n v="1782.24"/>
    <n v="1485.2"/>
    <n v="17822.400000000001"/>
    <n v="3267.44"/>
    <n v="14554.960000000001"/>
  </r>
  <r>
    <n v="982"/>
    <x v="0"/>
    <n v="7264"/>
    <n v="1452.8000000000002"/>
    <n v="871.68"/>
    <n v="726.40000000000009"/>
    <n v="8716.7999999999993"/>
    <n v="1598.08"/>
    <n v="7118.7199999999993"/>
  </r>
  <r>
    <n v="983"/>
    <x v="0"/>
    <n v="5666"/>
    <n v="1133.2"/>
    <n v="679.92"/>
    <n v="566.6"/>
    <n v="6799.2"/>
    <n v="1246.52"/>
    <n v="5552.68"/>
  </r>
  <r>
    <n v="984"/>
    <x v="0"/>
    <n v="7823"/>
    <n v="1564.6000000000001"/>
    <n v="938.76"/>
    <n v="782.30000000000007"/>
    <n v="9387.6"/>
    <n v="1721.06"/>
    <n v="7666.5400000000009"/>
  </r>
  <r>
    <n v="985"/>
    <x v="0"/>
    <n v="7880"/>
    <n v="1576"/>
    <n v="945.59999999999991"/>
    <n v="788"/>
    <n v="9456"/>
    <n v="1733.6"/>
    <n v="7722.4"/>
  </r>
  <r>
    <n v="986"/>
    <x v="0"/>
    <n v="13194"/>
    <n v="2638.8"/>
    <n v="1583.28"/>
    <n v="1319.4"/>
    <n v="15832.8"/>
    <n v="2902.6800000000003"/>
    <n v="12930.119999999999"/>
  </r>
  <r>
    <n v="987"/>
    <x v="1"/>
    <n v="5067"/>
    <n v="1013.4000000000001"/>
    <n v="608.04"/>
    <n v="506.70000000000005"/>
    <n v="6080.4"/>
    <n v="1114.74"/>
    <n v="4965.66"/>
  </r>
  <r>
    <n v="990"/>
    <x v="0"/>
    <n v="5079"/>
    <n v="1015.8000000000001"/>
    <n v="609.48"/>
    <n v="507.90000000000003"/>
    <n v="6094.8"/>
    <n v="1117.3800000000001"/>
    <n v="4977.42"/>
  </r>
  <r>
    <n v="991"/>
    <x v="1"/>
    <n v="2321"/>
    <n v="464.20000000000005"/>
    <n v="278.52"/>
    <n v="232.10000000000002"/>
    <n v="2785.2"/>
    <n v="510.62"/>
    <n v="2274.58"/>
  </r>
  <r>
    <n v="992"/>
    <x v="0"/>
    <n v="17444"/>
    <n v="3488.8"/>
    <n v="2093.2799999999997"/>
    <n v="1744.4"/>
    <n v="20932.8"/>
    <n v="3837.68"/>
    <n v="17095.12"/>
  </r>
  <r>
    <n v="994"/>
    <x v="1"/>
    <n v="2404"/>
    <n v="480.8"/>
    <n v="288.47999999999996"/>
    <n v="240.4"/>
    <n v="2884.8"/>
    <n v="528.88"/>
    <n v="2355.92"/>
  </r>
  <r>
    <n v="995"/>
    <x v="1"/>
    <n v="3452"/>
    <n v="690.40000000000009"/>
    <n v="414.24"/>
    <n v="345.20000000000005"/>
    <n v="4142.3999999999996"/>
    <n v="759.44"/>
    <n v="3382.9599999999996"/>
  </r>
  <r>
    <n v="996"/>
    <x v="1"/>
    <n v="2270"/>
    <n v="454"/>
    <n v="272.39999999999998"/>
    <n v="227"/>
    <n v="2724"/>
    <n v="499.4"/>
    <n v="2224.6"/>
  </r>
  <r>
    <n v="997"/>
    <x v="1"/>
    <n v="17399"/>
    <n v="3479.8"/>
    <n v="2087.88"/>
    <n v="1739.9"/>
    <n v="20878.8"/>
    <n v="3827.78"/>
    <n v="17051.02"/>
  </r>
  <r>
    <n v="998"/>
    <x v="1"/>
    <n v="5488"/>
    <n v="1097.6000000000001"/>
    <n v="658.56"/>
    <n v="548.80000000000007"/>
    <n v="6585.6"/>
    <n v="1207.3600000000001"/>
    <n v="5378.24"/>
  </r>
  <r>
    <n v="999"/>
    <x v="1"/>
    <n v="19419"/>
    <n v="3883.8"/>
    <n v="2330.2799999999997"/>
    <n v="1941.9"/>
    <n v="23302.799999999999"/>
    <n v="4272.18"/>
    <n v="19030.62"/>
  </r>
  <r>
    <n v="1001"/>
    <x v="1"/>
    <n v="2811"/>
    <n v="562.20000000000005"/>
    <n v="337.32"/>
    <n v="281.10000000000002"/>
    <n v="3373.2"/>
    <n v="618.42000000000007"/>
    <n v="2754.7799999999997"/>
  </r>
  <r>
    <n v="1002"/>
    <x v="1"/>
    <n v="3633"/>
    <n v="726.6"/>
    <n v="435.96"/>
    <n v="363.3"/>
    <n v="4359.6000000000004"/>
    <n v="799.26"/>
    <n v="3560.34"/>
  </r>
  <r>
    <n v="1003"/>
    <x v="0"/>
    <n v="4163"/>
    <n v="832.6"/>
    <n v="499.56"/>
    <n v="416.3"/>
    <n v="4995.6000000000004"/>
    <n v="915.86"/>
    <n v="4079.7400000000002"/>
  </r>
  <r>
    <n v="1004"/>
    <x v="1"/>
    <n v="2132"/>
    <n v="426.40000000000003"/>
    <n v="255.84"/>
    <n v="213.20000000000002"/>
    <n v="2558.4"/>
    <n v="469.04"/>
    <n v="2089.36"/>
  </r>
  <r>
    <n v="1005"/>
    <x v="1"/>
    <n v="13973"/>
    <n v="2794.6000000000004"/>
    <n v="1676.76"/>
    <n v="1397.3000000000002"/>
    <n v="16767.599999999999"/>
    <n v="3074.0600000000004"/>
    <n v="13693.539999999997"/>
  </r>
  <r>
    <n v="1006"/>
    <x v="1"/>
    <n v="2684"/>
    <n v="536.80000000000007"/>
    <n v="322.08"/>
    <n v="268.40000000000003"/>
    <n v="3220.8"/>
    <n v="590.48"/>
    <n v="2630.32"/>
  </r>
  <r>
    <n v="1007"/>
    <x v="1"/>
    <n v="10845"/>
    <n v="2169"/>
    <n v="1301.3999999999999"/>
    <n v="1084.5"/>
    <n v="13014"/>
    <n v="2385.8999999999996"/>
    <n v="10628.1"/>
  </r>
  <r>
    <n v="1009"/>
    <x v="1"/>
    <n v="4377"/>
    <n v="875.40000000000009"/>
    <n v="525.24"/>
    <n v="437.70000000000005"/>
    <n v="5252.4"/>
    <n v="962.94"/>
    <n v="4289.4599999999991"/>
  </r>
  <r>
    <n v="1010"/>
    <x v="1"/>
    <n v="3743"/>
    <n v="748.6"/>
    <n v="449.15999999999997"/>
    <n v="374.3"/>
    <n v="4491.6000000000004"/>
    <n v="823.46"/>
    <n v="3668.1400000000003"/>
  </r>
  <r>
    <n v="1011"/>
    <x v="1"/>
    <n v="4148"/>
    <n v="829.6"/>
    <n v="497.76"/>
    <n v="414.8"/>
    <n v="4977.6000000000004"/>
    <n v="912.56"/>
    <n v="4065.0400000000004"/>
  </r>
  <r>
    <n v="1012"/>
    <x v="1"/>
    <n v="1051"/>
    <n v="210.20000000000002"/>
    <n v="126.11999999999999"/>
    <n v="105.10000000000001"/>
    <n v="1261.2"/>
    <n v="231.22"/>
    <n v="1029.98"/>
  </r>
  <r>
    <n v="1013"/>
    <x v="1"/>
    <n v="10739"/>
    <n v="2147.8000000000002"/>
    <n v="1288.68"/>
    <n v="1073.9000000000001"/>
    <n v="12886.8"/>
    <n v="2362.58"/>
    <n v="10524.22"/>
  </r>
  <r>
    <n v="1014"/>
    <x v="1"/>
    <n v="10388"/>
    <n v="2077.6"/>
    <n v="1246.56"/>
    <n v="1038.8"/>
    <n v="12465.6"/>
    <n v="2285.3599999999997"/>
    <n v="10180.240000000002"/>
  </r>
  <r>
    <n v="1015"/>
    <x v="1"/>
    <n v="11416"/>
    <n v="2283.2000000000003"/>
    <n v="1369.9199999999998"/>
    <n v="1141.6000000000001"/>
    <n v="13699.2"/>
    <n v="2511.52"/>
    <n v="11187.68"/>
  </r>
  <r>
    <n v="1016"/>
    <x v="1"/>
    <n v="2600"/>
    <n v="520"/>
    <n v="312"/>
    <n v="260"/>
    <n v="3120"/>
    <n v="572"/>
    <n v="2548"/>
  </r>
  <r>
    <n v="1017"/>
    <x v="1"/>
    <n v="2422"/>
    <n v="484.40000000000003"/>
    <n v="290.64"/>
    <n v="242.20000000000002"/>
    <n v="2906.4"/>
    <n v="532.84"/>
    <n v="2373.56"/>
  </r>
  <r>
    <n v="1018"/>
    <x v="1"/>
    <n v="5472"/>
    <n v="1094.4000000000001"/>
    <n v="656.64"/>
    <n v="547.20000000000005"/>
    <n v="6566.4"/>
    <n v="1203.8400000000001"/>
    <n v="5362.5599999999995"/>
  </r>
  <r>
    <n v="1019"/>
    <x v="1"/>
    <n v="2451"/>
    <n v="490.20000000000005"/>
    <n v="294.12"/>
    <n v="245.10000000000002"/>
    <n v="2941.2"/>
    <n v="539.22"/>
    <n v="2401.9799999999996"/>
  </r>
  <r>
    <n v="1022"/>
    <x v="1"/>
    <n v="4240"/>
    <n v="848"/>
    <n v="508.79999999999995"/>
    <n v="424"/>
    <n v="5088"/>
    <n v="932.8"/>
    <n v="4155.2"/>
  </r>
  <r>
    <n v="1024"/>
    <x v="1"/>
    <n v="10999"/>
    <n v="2199.8000000000002"/>
    <n v="1319.8799999999999"/>
    <n v="1099.9000000000001"/>
    <n v="13198.8"/>
    <n v="2419.7799999999997"/>
    <n v="10779.02"/>
  </r>
  <r>
    <n v="1025"/>
    <x v="1"/>
    <n v="5003"/>
    <n v="1000.6"/>
    <n v="600.36"/>
    <n v="500.3"/>
    <n v="6003.6"/>
    <n v="1100.6600000000001"/>
    <n v="4902.9400000000005"/>
  </r>
  <r>
    <n v="1026"/>
    <x v="1"/>
    <n v="12742"/>
    <n v="2548.4"/>
    <n v="1529.04"/>
    <n v="1274.2"/>
    <n v="15290.4"/>
    <n v="2803.24"/>
    <n v="12487.16"/>
  </r>
  <r>
    <n v="1027"/>
    <x v="1"/>
    <n v="4227"/>
    <n v="845.40000000000009"/>
    <n v="507.24"/>
    <n v="422.70000000000005"/>
    <n v="5072.3999999999996"/>
    <n v="929.94"/>
    <n v="4142.4599999999991"/>
  </r>
  <r>
    <n v="1028"/>
    <x v="1"/>
    <n v="3917"/>
    <n v="783.40000000000009"/>
    <n v="470.03999999999996"/>
    <n v="391.70000000000005"/>
    <n v="4700.3999999999996"/>
    <n v="861.74"/>
    <n v="3838.66"/>
  </r>
  <r>
    <n v="1029"/>
    <x v="0"/>
    <n v="18303"/>
    <n v="3660.6000000000004"/>
    <n v="2196.36"/>
    <n v="1830.3000000000002"/>
    <n v="21963.599999999999"/>
    <n v="4026.6600000000003"/>
    <n v="17936.939999999999"/>
  </r>
  <r>
    <n v="1030"/>
    <x v="1"/>
    <n v="2380"/>
    <n v="476"/>
    <n v="285.59999999999997"/>
    <n v="238"/>
    <n v="2856"/>
    <n v="523.59999999999991"/>
    <n v="2332.4"/>
  </r>
  <r>
    <n v="1032"/>
    <x v="1"/>
    <n v="13726"/>
    <n v="2745.2000000000003"/>
    <n v="1647.12"/>
    <n v="1372.6000000000001"/>
    <n v="16471.2"/>
    <n v="3019.7200000000003"/>
    <n v="13451.48"/>
  </r>
  <r>
    <n v="1033"/>
    <x v="1"/>
    <n v="4777"/>
    <n v="955.40000000000009"/>
    <n v="573.24"/>
    <n v="477.70000000000005"/>
    <n v="5732.4"/>
    <n v="1050.94"/>
    <n v="4681.4599999999991"/>
  </r>
  <r>
    <n v="1034"/>
    <x v="1"/>
    <n v="6385"/>
    <n v="1277"/>
    <n v="766.19999999999993"/>
    <n v="638.5"/>
    <n v="7662"/>
    <n v="1404.6999999999998"/>
    <n v="6257.3"/>
  </r>
  <r>
    <n v="1035"/>
    <x v="1"/>
    <n v="19973"/>
    <n v="3994.6000000000004"/>
    <n v="2396.7599999999998"/>
    <n v="1997.3000000000002"/>
    <n v="23967.599999999999"/>
    <n v="4394.0599999999995"/>
    <n v="19573.54"/>
  </r>
  <r>
    <n v="1036"/>
    <x v="0"/>
    <n v="6861"/>
    <n v="1372.2"/>
    <n v="823.31999999999994"/>
    <n v="686.1"/>
    <n v="8233.2000000000007"/>
    <n v="1509.42"/>
    <n v="6723.7800000000007"/>
  </r>
  <r>
    <n v="1037"/>
    <x v="0"/>
    <n v="4969"/>
    <n v="993.80000000000007"/>
    <n v="596.28"/>
    <n v="496.90000000000003"/>
    <n v="5962.8"/>
    <n v="1093.18"/>
    <n v="4869.62"/>
  </r>
  <r>
    <n v="1038"/>
    <x v="0"/>
    <n v="19845"/>
    <n v="3969"/>
    <n v="2381.4"/>
    <n v="1984.5"/>
    <n v="23814"/>
    <n v="4365.8999999999996"/>
    <n v="19448.099999999999"/>
  </r>
  <r>
    <n v="1039"/>
    <x v="0"/>
    <n v="13320"/>
    <n v="2664"/>
    <n v="1598.3999999999999"/>
    <n v="1332"/>
    <n v="15984"/>
    <n v="2930.3999999999996"/>
    <n v="13053.6"/>
  </r>
  <r>
    <n v="1040"/>
    <x v="0"/>
    <n v="6347"/>
    <n v="1269.4000000000001"/>
    <n v="761.64"/>
    <n v="634.70000000000005"/>
    <n v="7616.4"/>
    <n v="1396.3400000000001"/>
    <n v="6220.0599999999995"/>
  </r>
  <r>
    <n v="1042"/>
    <x v="1"/>
    <n v="2743"/>
    <n v="548.6"/>
    <n v="329.15999999999997"/>
    <n v="274.3"/>
    <n v="3291.6"/>
    <n v="603.46"/>
    <n v="2688.14"/>
  </r>
  <r>
    <n v="1043"/>
    <x v="1"/>
    <n v="10880"/>
    <n v="2176"/>
    <n v="1305.5999999999999"/>
    <n v="1088"/>
    <n v="13056"/>
    <n v="2393.6"/>
    <n v="10662.4"/>
  </r>
  <r>
    <n v="1044"/>
    <x v="0"/>
    <n v="2342"/>
    <n v="468.40000000000003"/>
    <n v="281.03999999999996"/>
    <n v="234.20000000000002"/>
    <n v="2810.4"/>
    <n v="515.24"/>
    <n v="2295.16"/>
  </r>
  <r>
    <n v="1045"/>
    <x v="0"/>
    <n v="17650"/>
    <n v="3530"/>
    <n v="2118"/>
    <n v="1765"/>
    <n v="21180"/>
    <n v="3883"/>
    <n v="17297"/>
  </r>
  <r>
    <n v="1046"/>
    <x v="1"/>
    <n v="4025"/>
    <n v="805"/>
    <n v="483"/>
    <n v="402.5"/>
    <n v="4830"/>
    <n v="885.5"/>
    <n v="3944.5"/>
  </r>
  <r>
    <n v="1047"/>
    <x v="0"/>
    <n v="9725"/>
    <n v="1945"/>
    <n v="1167"/>
    <n v="972.5"/>
    <n v="11670"/>
    <n v="2139.5"/>
    <n v="9530.5"/>
  </r>
  <r>
    <n v="1048"/>
    <x v="0"/>
    <n v="11904"/>
    <n v="2380.8000000000002"/>
    <n v="1428.48"/>
    <n v="1190.4000000000001"/>
    <n v="14284.8"/>
    <n v="2618.88"/>
    <n v="11665.919999999998"/>
  </r>
  <r>
    <n v="1049"/>
    <x v="2"/>
    <n v="2177"/>
    <n v="435.40000000000003"/>
    <n v="261.24"/>
    <n v="217.70000000000002"/>
    <n v="2612.4"/>
    <n v="478.94000000000005"/>
    <n v="2133.46"/>
  </r>
  <r>
    <n v="1050"/>
    <x v="0"/>
    <n v="7525"/>
    <n v="1505"/>
    <n v="903"/>
    <n v="752.5"/>
    <n v="9030"/>
    <n v="1655.5"/>
    <n v="7374.5"/>
  </r>
  <r>
    <n v="1052"/>
    <x v="1"/>
    <n v="4834"/>
    <n v="966.80000000000007"/>
    <n v="580.07999999999993"/>
    <n v="483.40000000000003"/>
    <n v="5800.8"/>
    <n v="1063.48"/>
    <n v="4737.32"/>
  </r>
  <r>
    <n v="1053"/>
    <x v="1"/>
    <n v="2042"/>
    <n v="408.40000000000003"/>
    <n v="245.04"/>
    <n v="204.20000000000002"/>
    <n v="2450.4"/>
    <n v="449.24"/>
    <n v="2001.16"/>
  </r>
  <r>
    <n v="1055"/>
    <x v="0"/>
    <n v="2220"/>
    <n v="444"/>
    <n v="266.39999999999998"/>
    <n v="222"/>
    <n v="2664"/>
    <n v="488.4"/>
    <n v="2175.6"/>
  </r>
  <r>
    <n v="1056"/>
    <x v="0"/>
    <n v="1052"/>
    <n v="210.4"/>
    <n v="126.24"/>
    <n v="105.2"/>
    <n v="1262.4000000000001"/>
    <n v="231.44"/>
    <n v="1030.96"/>
  </r>
  <r>
    <n v="1060"/>
    <x v="1"/>
    <n v="2821"/>
    <n v="564.20000000000005"/>
    <n v="338.52"/>
    <n v="282.10000000000002"/>
    <n v="3385.2"/>
    <n v="620.62"/>
    <n v="2764.58"/>
  </r>
  <r>
    <n v="1061"/>
    <x v="1"/>
    <n v="19237"/>
    <n v="3847.4"/>
    <n v="2308.44"/>
    <n v="1923.7"/>
    <n v="23084.400000000001"/>
    <n v="4232.1400000000003"/>
    <n v="18852.260000000002"/>
  </r>
  <r>
    <n v="1062"/>
    <x v="1"/>
    <n v="4107"/>
    <n v="821.40000000000009"/>
    <n v="492.84"/>
    <n v="410.70000000000005"/>
    <n v="4928.3999999999996"/>
    <n v="903.54"/>
    <n v="4024.8599999999997"/>
  </r>
  <r>
    <n v="1066"/>
    <x v="0"/>
    <n v="8396"/>
    <n v="1679.2"/>
    <n v="1007.52"/>
    <n v="839.6"/>
    <n v="10075.200000000001"/>
    <n v="1847.12"/>
    <n v="8228.0800000000017"/>
  </r>
  <r>
    <n v="1068"/>
    <x v="1"/>
    <n v="2007"/>
    <n v="401.40000000000003"/>
    <n v="240.84"/>
    <n v="200.70000000000002"/>
    <n v="2408.4"/>
    <n v="441.54"/>
    <n v="1966.8600000000001"/>
  </r>
  <r>
    <n v="1069"/>
    <x v="1"/>
    <n v="19627"/>
    <n v="3925.4"/>
    <n v="2355.2399999999998"/>
    <n v="1962.7"/>
    <n v="23552.400000000001"/>
    <n v="4317.9399999999996"/>
    <n v="19234.460000000003"/>
  </r>
  <r>
    <n v="1070"/>
    <x v="0"/>
    <n v="10686"/>
    <n v="2137.2000000000003"/>
    <n v="1282.32"/>
    <n v="1068.6000000000001"/>
    <n v="12823.2"/>
    <n v="2350.92"/>
    <n v="10472.280000000001"/>
  </r>
  <r>
    <n v="1071"/>
    <x v="1"/>
    <n v="2942"/>
    <n v="588.4"/>
    <n v="353.03999999999996"/>
    <n v="294.2"/>
    <n v="3530.4"/>
    <n v="647.24"/>
    <n v="2883.16"/>
  </r>
  <r>
    <n v="1073"/>
    <x v="1"/>
    <n v="8858"/>
    <n v="1771.6000000000001"/>
    <n v="1062.96"/>
    <n v="885.80000000000007"/>
    <n v="10629.6"/>
    <n v="1948.7600000000002"/>
    <n v="8680.84"/>
  </r>
  <r>
    <n v="1074"/>
    <x v="1"/>
    <n v="16756"/>
    <n v="3351.2000000000003"/>
    <n v="2010.72"/>
    <n v="1675.6000000000001"/>
    <n v="20107.2"/>
    <n v="3686.32"/>
    <n v="16420.88"/>
  </r>
  <r>
    <n v="1076"/>
    <x v="0"/>
    <n v="10798"/>
    <n v="2159.6"/>
    <n v="1295.76"/>
    <n v="1079.8"/>
    <n v="12957.6"/>
    <n v="2375.56"/>
    <n v="10582.04"/>
  </r>
  <r>
    <n v="1077"/>
    <x v="0"/>
    <n v="2323"/>
    <n v="464.6"/>
    <n v="278.76"/>
    <n v="232.3"/>
    <n v="2787.6"/>
    <n v="511.06"/>
    <n v="2276.54"/>
  </r>
  <r>
    <n v="1079"/>
    <x v="1"/>
    <n v="1416"/>
    <n v="283.2"/>
    <n v="169.92"/>
    <n v="141.6"/>
    <n v="1699.2"/>
    <n v="311.52"/>
    <n v="1387.68"/>
  </r>
  <r>
    <n v="1080"/>
    <x v="1"/>
    <n v="4615"/>
    <n v="923"/>
    <n v="553.79999999999995"/>
    <n v="461.5"/>
    <n v="5538"/>
    <n v="1015.3"/>
    <n v="4522.7"/>
  </r>
  <r>
    <n v="1081"/>
    <x v="1"/>
    <n v="2461"/>
    <n v="492.20000000000005"/>
    <n v="295.32"/>
    <n v="246.10000000000002"/>
    <n v="2953.2"/>
    <n v="541.42000000000007"/>
    <n v="2411.7799999999997"/>
  </r>
  <r>
    <n v="1082"/>
    <x v="1"/>
    <n v="8722"/>
    <n v="1744.4"/>
    <n v="1046.6399999999999"/>
    <n v="872.2"/>
    <n v="10466.4"/>
    <n v="1918.84"/>
    <n v="8547.56"/>
  </r>
  <r>
    <n v="1083"/>
    <x v="1"/>
    <n v="3955"/>
    <n v="791"/>
    <n v="474.59999999999997"/>
    <n v="395.5"/>
    <n v="4746"/>
    <n v="870.09999999999991"/>
    <n v="3875.9"/>
  </r>
  <r>
    <n v="1084"/>
    <x v="1"/>
    <n v="9957"/>
    <n v="1991.4"/>
    <n v="1194.8399999999999"/>
    <n v="995.7"/>
    <n v="11948.4"/>
    <n v="2190.54"/>
    <n v="9757.86"/>
  </r>
  <r>
    <n v="1085"/>
    <x v="1"/>
    <n v="3376"/>
    <n v="675.2"/>
    <n v="405.12"/>
    <n v="337.6"/>
    <n v="4051.2"/>
    <n v="742.72"/>
    <n v="3308.4799999999996"/>
  </r>
  <r>
    <n v="1088"/>
    <x v="1"/>
    <n v="8823"/>
    <n v="1764.6000000000001"/>
    <n v="1058.76"/>
    <n v="882.30000000000007"/>
    <n v="10587.6"/>
    <n v="1941.06"/>
    <n v="8646.5400000000009"/>
  </r>
  <r>
    <n v="1092"/>
    <x v="1"/>
    <n v="10322"/>
    <n v="2064.4"/>
    <n v="1238.6399999999999"/>
    <n v="1032.2"/>
    <n v="12386.4"/>
    <n v="2270.84"/>
    <n v="10115.56"/>
  </r>
  <r>
    <n v="1094"/>
    <x v="1"/>
    <n v="4621"/>
    <n v="924.2"/>
    <n v="554.52"/>
    <n v="462.1"/>
    <n v="5545.2"/>
    <n v="1016.62"/>
    <n v="4528.58"/>
  </r>
  <r>
    <n v="1096"/>
    <x v="1"/>
    <n v="10976"/>
    <n v="2195.2000000000003"/>
    <n v="1317.12"/>
    <n v="1097.6000000000001"/>
    <n v="13171.2"/>
    <n v="2414.7200000000003"/>
    <n v="10756.48"/>
  </r>
  <r>
    <n v="1097"/>
    <x v="1"/>
    <n v="3660"/>
    <n v="732"/>
    <n v="439.2"/>
    <n v="366"/>
    <n v="4392"/>
    <n v="805.2"/>
    <n v="3586.8"/>
  </r>
  <r>
    <n v="1098"/>
    <x v="2"/>
    <n v="10482"/>
    <n v="2096.4"/>
    <n v="1257.8399999999999"/>
    <n v="1048.2"/>
    <n v="12578.4"/>
    <n v="2306.04"/>
    <n v="10272.36"/>
  </r>
  <r>
    <n v="1099"/>
    <x v="1"/>
    <n v="7119"/>
    <n v="1423.8000000000002"/>
    <n v="854.28"/>
    <n v="711.90000000000009"/>
    <n v="8542.7999999999993"/>
    <n v="1566.18"/>
    <n v="6976.619999999999"/>
  </r>
  <r>
    <n v="1100"/>
    <x v="0"/>
    <n v="9582"/>
    <n v="1916.4"/>
    <n v="1149.8399999999999"/>
    <n v="958.2"/>
    <n v="11498.4"/>
    <n v="2108.04"/>
    <n v="9390.36"/>
  </r>
  <r>
    <n v="1101"/>
    <x v="1"/>
    <n v="4508"/>
    <n v="901.6"/>
    <n v="540.96"/>
    <n v="450.8"/>
    <n v="5409.6"/>
    <n v="991.76"/>
    <n v="4417.84"/>
  </r>
  <r>
    <n v="1102"/>
    <x v="1"/>
    <n v="2207"/>
    <n v="441.40000000000003"/>
    <n v="264.83999999999997"/>
    <n v="220.70000000000002"/>
    <n v="2648.4"/>
    <n v="485.53999999999996"/>
    <n v="2162.86"/>
  </r>
  <r>
    <n v="1103"/>
    <x v="1"/>
    <n v="7756"/>
    <n v="1551.2"/>
    <n v="930.71999999999991"/>
    <n v="775.6"/>
    <n v="9307.2000000000007"/>
    <n v="1706.32"/>
    <n v="7600.880000000001"/>
  </r>
  <r>
    <n v="1105"/>
    <x v="0"/>
    <n v="6694"/>
    <n v="1338.8000000000002"/>
    <n v="803.28"/>
    <n v="669.40000000000009"/>
    <n v="8032.8"/>
    <n v="1472.68"/>
    <n v="6560.12"/>
  </r>
  <r>
    <n v="1106"/>
    <x v="1"/>
    <n v="3691"/>
    <n v="738.2"/>
    <n v="442.91999999999996"/>
    <n v="369.1"/>
    <n v="4429.2"/>
    <n v="812.02"/>
    <n v="3617.18"/>
  </r>
  <r>
    <n v="1107"/>
    <x v="1"/>
    <n v="2377"/>
    <n v="475.40000000000003"/>
    <n v="285.24"/>
    <n v="237.70000000000002"/>
    <n v="2852.4"/>
    <n v="522.94000000000005"/>
    <n v="2329.46"/>
  </r>
  <r>
    <n v="1108"/>
    <x v="1"/>
    <n v="2313"/>
    <n v="462.6"/>
    <n v="277.56"/>
    <n v="231.3"/>
    <n v="2775.6"/>
    <n v="508.86"/>
    <n v="2266.7399999999998"/>
  </r>
  <r>
    <n v="1109"/>
    <x v="1"/>
    <n v="17665"/>
    <n v="3533"/>
    <n v="2119.7999999999997"/>
    <n v="1766.5"/>
    <n v="21198"/>
    <n v="3886.2999999999997"/>
    <n v="17311.7"/>
  </r>
  <r>
    <n v="1111"/>
    <x v="1"/>
    <n v="2596"/>
    <n v="519.20000000000005"/>
    <n v="311.52"/>
    <n v="259.60000000000002"/>
    <n v="3115.2"/>
    <n v="571.12"/>
    <n v="2544.08"/>
  </r>
  <r>
    <n v="1113"/>
    <x v="0"/>
    <n v="4728"/>
    <n v="945.6"/>
    <n v="567.36"/>
    <n v="472.8"/>
    <n v="5673.6"/>
    <n v="1040.1600000000001"/>
    <n v="4633.4400000000005"/>
  </r>
  <r>
    <n v="1114"/>
    <x v="0"/>
    <n v="4302"/>
    <n v="860.40000000000009"/>
    <n v="516.24"/>
    <n v="430.20000000000005"/>
    <n v="5162.3999999999996"/>
    <n v="946.44"/>
    <n v="4215.9599999999991"/>
  </r>
  <r>
    <n v="1115"/>
    <x v="1"/>
    <n v="2979"/>
    <n v="595.80000000000007"/>
    <n v="357.47999999999996"/>
    <n v="297.90000000000003"/>
    <n v="3574.8"/>
    <n v="655.38"/>
    <n v="2919.42"/>
  </r>
  <r>
    <n v="1116"/>
    <x v="1"/>
    <n v="16885"/>
    <n v="3377"/>
    <n v="2026.1999999999998"/>
    <n v="1688.5"/>
    <n v="20262"/>
    <n v="3714.7"/>
    <n v="16547.3"/>
  </r>
  <r>
    <n v="1117"/>
    <x v="0"/>
    <n v="5593"/>
    <n v="1118.6000000000001"/>
    <n v="671.16"/>
    <n v="559.30000000000007"/>
    <n v="6711.6"/>
    <n v="1230.46"/>
    <n v="5481.14"/>
  </r>
  <r>
    <n v="1118"/>
    <x v="1"/>
    <n v="10445"/>
    <n v="2089"/>
    <n v="1253.3999999999999"/>
    <n v="1044.5"/>
    <n v="12534"/>
    <n v="2297.8999999999996"/>
    <n v="10236.1"/>
  </r>
  <r>
    <n v="1119"/>
    <x v="0"/>
    <n v="8740"/>
    <n v="1748"/>
    <n v="1048.8"/>
    <n v="874"/>
    <n v="10488"/>
    <n v="1922.8"/>
    <n v="8565.2000000000007"/>
  </r>
  <r>
    <n v="1120"/>
    <x v="1"/>
    <n v="2514"/>
    <n v="502.8"/>
    <n v="301.68"/>
    <n v="251.4"/>
    <n v="3016.8"/>
    <n v="553.08000000000004"/>
    <n v="2463.7200000000003"/>
  </r>
  <r>
    <n v="1121"/>
    <x v="1"/>
    <n v="7655"/>
    <n v="1531"/>
    <n v="918.6"/>
    <n v="765.5"/>
    <n v="9186"/>
    <n v="1684.1"/>
    <n v="7501.9"/>
  </r>
  <r>
    <n v="1124"/>
    <x v="0"/>
    <n v="17465"/>
    <n v="3493"/>
    <n v="2095.7999999999997"/>
    <n v="1746.5"/>
    <n v="20958"/>
    <n v="3842.2999999999997"/>
    <n v="17115.7"/>
  </r>
  <r>
    <n v="1125"/>
    <x v="0"/>
    <n v="7351"/>
    <n v="1470.2"/>
    <n v="882.12"/>
    <n v="735.1"/>
    <n v="8821.2000000000007"/>
    <n v="1617.22"/>
    <n v="7203.9800000000005"/>
  </r>
  <r>
    <n v="1126"/>
    <x v="1"/>
    <n v="10820"/>
    <n v="2164"/>
    <n v="1298.3999999999999"/>
    <n v="1082"/>
    <n v="12984"/>
    <n v="2380.3999999999996"/>
    <n v="10603.6"/>
  </r>
  <r>
    <n v="1127"/>
    <x v="1"/>
    <n v="12169"/>
    <n v="2433.8000000000002"/>
    <n v="1460.28"/>
    <n v="1216.9000000000001"/>
    <n v="14602.8"/>
    <n v="2677.1800000000003"/>
    <n v="11925.619999999999"/>
  </r>
  <r>
    <n v="1128"/>
    <x v="1"/>
    <n v="19626"/>
    <n v="3925.2000000000003"/>
    <n v="2355.12"/>
    <n v="1962.6000000000001"/>
    <n v="23551.200000000001"/>
    <n v="4317.72"/>
    <n v="19233.48"/>
  </r>
  <r>
    <n v="1131"/>
    <x v="1"/>
    <n v="2070"/>
    <n v="414"/>
    <n v="248.39999999999998"/>
    <n v="207"/>
    <n v="2484"/>
    <n v="455.4"/>
    <n v="2028.6"/>
  </r>
  <r>
    <n v="1132"/>
    <x v="1"/>
    <n v="6782"/>
    <n v="1356.4"/>
    <n v="813.83999999999992"/>
    <n v="678.2"/>
    <n v="8138.4"/>
    <n v="1492.04"/>
    <n v="6646.36"/>
  </r>
  <r>
    <n v="1133"/>
    <x v="1"/>
    <n v="7779"/>
    <n v="1555.8000000000002"/>
    <n v="933.48"/>
    <n v="777.90000000000009"/>
    <n v="9334.7999999999993"/>
    <n v="1711.38"/>
    <n v="7623.4199999999992"/>
  </r>
  <r>
    <n v="1135"/>
    <x v="0"/>
    <n v="2791"/>
    <n v="558.20000000000005"/>
    <n v="334.92"/>
    <n v="279.10000000000002"/>
    <n v="3349.2"/>
    <n v="614.02"/>
    <n v="2735.18"/>
  </r>
  <r>
    <n v="1136"/>
    <x v="1"/>
    <n v="3201"/>
    <n v="640.20000000000005"/>
    <n v="384.12"/>
    <n v="320.10000000000002"/>
    <n v="3841.2"/>
    <n v="704.22"/>
    <n v="3136.9799999999996"/>
  </r>
  <r>
    <n v="1137"/>
    <x v="0"/>
    <n v="4968"/>
    <n v="993.6"/>
    <n v="596.16"/>
    <n v="496.8"/>
    <n v="5961.6"/>
    <n v="1092.96"/>
    <n v="4868.6400000000003"/>
  </r>
  <r>
    <n v="1138"/>
    <x v="0"/>
    <n v="13120"/>
    <n v="2624"/>
    <n v="1574.3999999999999"/>
    <n v="1312"/>
    <n v="15744"/>
    <n v="2886.3999999999996"/>
    <n v="12857.6"/>
  </r>
  <r>
    <n v="1140"/>
    <x v="1"/>
    <n v="4033"/>
    <n v="806.6"/>
    <n v="483.96"/>
    <n v="403.3"/>
    <n v="4839.6000000000004"/>
    <n v="887.26"/>
    <n v="3952.34"/>
  </r>
  <r>
    <n v="1143"/>
    <x v="1"/>
    <n v="3291"/>
    <n v="658.2"/>
    <n v="394.91999999999996"/>
    <n v="329.1"/>
    <n v="3949.2"/>
    <n v="724.02"/>
    <n v="3225.18"/>
  </r>
  <r>
    <n v="1148"/>
    <x v="1"/>
    <n v="4272"/>
    <n v="854.40000000000009"/>
    <n v="512.64"/>
    <n v="427.20000000000005"/>
    <n v="5126.3999999999996"/>
    <n v="939.84"/>
    <n v="4186.5599999999995"/>
  </r>
  <r>
    <n v="1150"/>
    <x v="1"/>
    <n v="5056"/>
    <n v="1011.2"/>
    <n v="606.72"/>
    <n v="505.6"/>
    <n v="6067.2"/>
    <n v="1112.3200000000002"/>
    <n v="4954.8799999999992"/>
  </r>
  <r>
    <n v="1152"/>
    <x v="2"/>
    <n v="2844"/>
    <n v="568.80000000000007"/>
    <n v="341.28"/>
    <n v="284.40000000000003"/>
    <n v="3412.8"/>
    <n v="625.68000000000006"/>
    <n v="2787.12"/>
  </r>
  <r>
    <n v="1154"/>
    <x v="1"/>
    <n v="2703"/>
    <n v="540.6"/>
    <n v="324.36"/>
    <n v="270.3"/>
    <n v="3243.6"/>
    <n v="594.66000000000008"/>
    <n v="2648.9399999999996"/>
  </r>
  <r>
    <n v="1156"/>
    <x v="1"/>
    <n v="1904"/>
    <n v="380.8"/>
    <n v="228.48"/>
    <n v="190.4"/>
    <n v="2284.8000000000002"/>
    <n v="418.88"/>
    <n v="1865.92"/>
  </r>
  <r>
    <n v="1157"/>
    <x v="0"/>
    <n v="8224"/>
    <n v="1644.8000000000002"/>
    <n v="986.88"/>
    <n v="822.40000000000009"/>
    <n v="9868.7999999999993"/>
    <n v="1809.2800000000002"/>
    <n v="8059.5199999999986"/>
  </r>
  <r>
    <n v="1158"/>
    <x v="1"/>
    <n v="4766"/>
    <n v="953.2"/>
    <n v="571.91999999999996"/>
    <n v="476.6"/>
    <n v="5719.2"/>
    <n v="1048.52"/>
    <n v="4670.68"/>
  </r>
  <r>
    <n v="1160"/>
    <x v="1"/>
    <n v="2610"/>
    <n v="522"/>
    <n v="313.2"/>
    <n v="261"/>
    <n v="3132"/>
    <n v="574.20000000000005"/>
    <n v="2557.8000000000002"/>
  </r>
  <r>
    <n v="1161"/>
    <x v="1"/>
    <n v="5731"/>
    <n v="1146.2"/>
    <n v="687.72"/>
    <n v="573.1"/>
    <n v="6877.2"/>
    <n v="1260.8200000000002"/>
    <n v="5616.3799999999992"/>
  </r>
  <r>
    <n v="1162"/>
    <x v="1"/>
    <n v="2539"/>
    <n v="507.8"/>
    <n v="304.68"/>
    <n v="253.9"/>
    <n v="3046.8"/>
    <n v="558.58000000000004"/>
    <n v="2488.2200000000003"/>
  </r>
  <r>
    <n v="1163"/>
    <x v="0"/>
    <n v="5714"/>
    <n v="1142.8"/>
    <n v="685.68"/>
    <n v="571.4"/>
    <n v="6856.8"/>
    <n v="1257.08"/>
    <n v="5599.72"/>
  </r>
  <r>
    <n v="1164"/>
    <x v="2"/>
    <n v="4323"/>
    <n v="864.6"/>
    <n v="518.76"/>
    <n v="432.3"/>
    <n v="5187.6000000000004"/>
    <n v="951.06"/>
    <n v="4236.5400000000009"/>
  </r>
  <r>
    <n v="1165"/>
    <x v="0"/>
    <n v="7336"/>
    <n v="1467.2"/>
    <n v="880.31999999999994"/>
    <n v="733.6"/>
    <n v="8803.2000000000007"/>
    <n v="1613.92"/>
    <n v="7189.2800000000007"/>
  </r>
  <r>
    <n v="1166"/>
    <x v="1"/>
    <n v="13499"/>
    <n v="2699.8"/>
    <n v="1619.8799999999999"/>
    <n v="1349.9"/>
    <n v="16198.8"/>
    <n v="2969.7799999999997"/>
    <n v="13229.02"/>
  </r>
  <r>
    <n v="1167"/>
    <x v="0"/>
    <n v="13758"/>
    <n v="2751.6000000000004"/>
    <n v="1650.96"/>
    <n v="1375.8000000000002"/>
    <n v="16509.599999999999"/>
    <n v="3026.76"/>
    <n v="13482.839999999998"/>
  </r>
  <r>
    <n v="1171"/>
    <x v="0"/>
    <n v="5155"/>
    <n v="1031"/>
    <n v="618.6"/>
    <n v="515.5"/>
    <n v="6186"/>
    <n v="1134.0999999999999"/>
    <n v="5051.8999999999996"/>
  </r>
  <r>
    <n v="1172"/>
    <x v="1"/>
    <n v="2258"/>
    <n v="451.6"/>
    <n v="270.95999999999998"/>
    <n v="225.8"/>
    <n v="2709.6"/>
    <n v="496.76"/>
    <n v="2212.84"/>
  </r>
  <r>
    <n v="1173"/>
    <x v="1"/>
    <n v="3597"/>
    <n v="719.40000000000009"/>
    <n v="431.64"/>
    <n v="359.70000000000005"/>
    <n v="4316.3999999999996"/>
    <n v="791.34"/>
    <n v="3525.0599999999995"/>
  </r>
  <r>
    <n v="1175"/>
    <x v="1"/>
    <n v="2515"/>
    <n v="503"/>
    <n v="301.8"/>
    <n v="251.5"/>
    <n v="3018"/>
    <n v="553.29999999999995"/>
    <n v="2464.6999999999998"/>
  </r>
  <r>
    <n v="1177"/>
    <x v="1"/>
    <n v="4420"/>
    <n v="884"/>
    <n v="530.4"/>
    <n v="442"/>
    <n v="5304"/>
    <n v="972.4"/>
    <n v="4331.6000000000004"/>
  </r>
  <r>
    <n v="1179"/>
    <x v="0"/>
    <n v="6578"/>
    <n v="1315.6000000000001"/>
    <n v="789.36"/>
    <n v="657.80000000000007"/>
    <n v="7893.6"/>
    <n v="1447.16"/>
    <n v="6446.4400000000005"/>
  </r>
  <r>
    <n v="1180"/>
    <x v="1"/>
    <n v="4422"/>
    <n v="884.40000000000009"/>
    <n v="530.64"/>
    <n v="442.20000000000005"/>
    <n v="5306.4"/>
    <n v="972.84"/>
    <n v="4333.5599999999995"/>
  </r>
  <r>
    <n v="1182"/>
    <x v="1"/>
    <n v="10274"/>
    <n v="2054.8000000000002"/>
    <n v="1232.8799999999999"/>
    <n v="1027.4000000000001"/>
    <n v="12328.8"/>
    <n v="2260.2799999999997"/>
    <n v="10068.52"/>
  </r>
  <r>
    <n v="1184"/>
    <x v="1"/>
    <n v="5343"/>
    <n v="1068.6000000000001"/>
    <n v="641.16"/>
    <n v="534.30000000000007"/>
    <n v="6411.6"/>
    <n v="1175.46"/>
    <n v="5236.1400000000003"/>
  </r>
  <r>
    <n v="1185"/>
    <x v="1"/>
    <n v="2376"/>
    <n v="475.20000000000005"/>
    <n v="285.12"/>
    <n v="237.60000000000002"/>
    <n v="2851.2"/>
    <n v="522.72"/>
    <n v="2328.4799999999996"/>
  </r>
  <r>
    <n v="1188"/>
    <x v="0"/>
    <n v="5346"/>
    <n v="1069.2"/>
    <n v="641.52"/>
    <n v="534.6"/>
    <n v="6415.2"/>
    <n v="1176.1199999999999"/>
    <n v="5239.08"/>
  </r>
  <r>
    <n v="1190"/>
    <x v="0"/>
    <n v="2827"/>
    <n v="565.4"/>
    <n v="339.24"/>
    <n v="282.7"/>
    <n v="3392.4"/>
    <n v="621.94000000000005"/>
    <n v="2770.46"/>
  </r>
  <r>
    <n v="1191"/>
    <x v="1"/>
    <n v="19943"/>
    <n v="3988.6000000000004"/>
    <n v="2393.16"/>
    <n v="1994.3000000000002"/>
    <n v="23931.599999999999"/>
    <n v="4387.46"/>
    <n v="19544.14"/>
  </r>
  <r>
    <n v="1192"/>
    <x v="1"/>
    <n v="3131"/>
    <n v="626.20000000000005"/>
    <n v="375.71999999999997"/>
    <n v="313.10000000000002"/>
    <n v="3757.2"/>
    <n v="688.81999999999994"/>
    <n v="3068.38"/>
  </r>
  <r>
    <n v="1193"/>
    <x v="1"/>
    <n v="2552"/>
    <n v="510.40000000000003"/>
    <n v="306.24"/>
    <n v="255.20000000000002"/>
    <n v="3062.4"/>
    <n v="561.44000000000005"/>
    <n v="2500.96"/>
  </r>
  <r>
    <n v="1195"/>
    <x v="1"/>
    <n v="4477"/>
    <n v="895.40000000000009"/>
    <n v="537.24"/>
    <n v="447.70000000000005"/>
    <n v="5372.4"/>
    <n v="984.94"/>
    <n v="4387.4599999999991"/>
  </r>
  <r>
    <n v="1196"/>
    <x v="1"/>
    <n v="6474"/>
    <n v="1294.8000000000002"/>
    <n v="776.88"/>
    <n v="647.40000000000009"/>
    <n v="7768.8"/>
    <n v="1424.2800000000002"/>
    <n v="6344.52"/>
  </r>
  <r>
    <n v="1198"/>
    <x v="1"/>
    <n v="3033"/>
    <n v="606.6"/>
    <n v="363.96"/>
    <n v="303.3"/>
    <n v="3639.6"/>
    <n v="667.26"/>
    <n v="2972.34"/>
  </r>
  <r>
    <n v="1200"/>
    <x v="1"/>
    <n v="2936"/>
    <n v="587.20000000000005"/>
    <n v="352.32"/>
    <n v="293.60000000000002"/>
    <n v="3523.2"/>
    <n v="645.92000000000007"/>
    <n v="2877.2799999999997"/>
  </r>
  <r>
    <n v="1201"/>
    <x v="1"/>
    <n v="18606"/>
    <n v="3721.2000000000003"/>
    <n v="2232.7199999999998"/>
    <n v="1860.6000000000001"/>
    <n v="22327.200000000001"/>
    <n v="4093.3199999999997"/>
    <n v="18233.88"/>
  </r>
  <r>
    <n v="1202"/>
    <x v="1"/>
    <n v="2168"/>
    <n v="433.6"/>
    <n v="260.15999999999997"/>
    <n v="216.8"/>
    <n v="2601.6"/>
    <n v="476.96"/>
    <n v="2124.64"/>
  </r>
  <r>
    <n v="1203"/>
    <x v="1"/>
    <n v="2853"/>
    <n v="570.6"/>
    <n v="342.36"/>
    <n v="285.3"/>
    <n v="3423.6"/>
    <n v="627.66000000000008"/>
    <n v="2795.9399999999996"/>
  </r>
  <r>
    <n v="1204"/>
    <x v="0"/>
    <n v="17048"/>
    <n v="3409.6000000000004"/>
    <n v="2045.76"/>
    <n v="1704.8000000000002"/>
    <n v="20457.599999999999"/>
    <n v="3750.5600000000004"/>
    <n v="16707.039999999997"/>
  </r>
  <r>
    <n v="1206"/>
    <x v="1"/>
    <n v="2290"/>
    <n v="458"/>
    <n v="274.8"/>
    <n v="229"/>
    <n v="2748"/>
    <n v="503.8"/>
    <n v="2244.1999999999998"/>
  </r>
  <r>
    <n v="1207"/>
    <x v="2"/>
    <n v="3600"/>
    <n v="720"/>
    <n v="432"/>
    <n v="360"/>
    <n v="4320"/>
    <n v="792"/>
    <n v="3528"/>
  </r>
  <r>
    <n v="1210"/>
    <x v="1"/>
    <n v="2107"/>
    <n v="421.40000000000003"/>
    <n v="252.84"/>
    <n v="210.70000000000002"/>
    <n v="2528.4"/>
    <n v="463.54"/>
    <n v="2064.86"/>
  </r>
  <r>
    <n v="1211"/>
    <x v="0"/>
    <n v="4115"/>
    <n v="823"/>
    <n v="493.79999999999995"/>
    <n v="411.5"/>
    <n v="4938"/>
    <n v="905.3"/>
    <n v="4032.7"/>
  </r>
  <r>
    <n v="1212"/>
    <x v="0"/>
    <n v="4327"/>
    <n v="865.40000000000009"/>
    <n v="519.24"/>
    <n v="432.70000000000005"/>
    <n v="5192.3999999999996"/>
    <n v="951.94"/>
    <n v="4240.4599999999991"/>
  </r>
  <r>
    <n v="1215"/>
    <x v="1"/>
    <n v="17856"/>
    <n v="3571.2000000000003"/>
    <n v="2142.7199999999998"/>
    <n v="1785.6000000000001"/>
    <n v="21427.200000000001"/>
    <n v="3928.3199999999997"/>
    <n v="17498.88"/>
  </r>
  <r>
    <n v="1216"/>
    <x v="1"/>
    <n v="3196"/>
    <n v="639.20000000000005"/>
    <n v="383.52"/>
    <n v="319.60000000000002"/>
    <n v="3835.2"/>
    <n v="703.12"/>
    <n v="3132.08"/>
  </r>
  <r>
    <n v="1217"/>
    <x v="1"/>
    <n v="19081"/>
    <n v="3816.2000000000003"/>
    <n v="2289.7199999999998"/>
    <n v="1908.1000000000001"/>
    <n v="22897.200000000001"/>
    <n v="4197.82"/>
    <n v="18699.38"/>
  </r>
  <r>
    <n v="1218"/>
    <x v="0"/>
    <n v="8966"/>
    <n v="1793.2"/>
    <n v="1075.92"/>
    <n v="896.6"/>
    <n v="10759.2"/>
    <n v="1972.52"/>
    <n v="8786.68"/>
  </r>
  <r>
    <n v="1219"/>
    <x v="1"/>
    <n v="2210"/>
    <n v="442"/>
    <n v="265.2"/>
    <n v="221"/>
    <n v="2652"/>
    <n v="486.2"/>
    <n v="2165.8000000000002"/>
  </r>
  <r>
    <n v="1220"/>
    <x v="0"/>
    <n v="4539"/>
    <n v="907.80000000000007"/>
    <n v="544.67999999999995"/>
    <n v="453.90000000000003"/>
    <n v="5446.8"/>
    <n v="998.57999999999993"/>
    <n v="4448.22"/>
  </r>
  <r>
    <n v="1221"/>
    <x v="1"/>
    <n v="2741"/>
    <n v="548.20000000000005"/>
    <n v="328.92"/>
    <n v="274.10000000000002"/>
    <n v="3289.2"/>
    <n v="603.02"/>
    <n v="2686.18"/>
  </r>
  <r>
    <n v="1224"/>
    <x v="1"/>
    <n v="3491"/>
    <n v="698.2"/>
    <n v="418.91999999999996"/>
    <n v="349.1"/>
    <n v="4189.2"/>
    <n v="768.02"/>
    <n v="3421.18"/>
  </r>
  <r>
    <n v="1225"/>
    <x v="1"/>
    <n v="4541"/>
    <n v="908.2"/>
    <n v="544.91999999999996"/>
    <n v="454.1"/>
    <n v="5449.2"/>
    <n v="999.02"/>
    <n v="4450.18"/>
  </r>
  <r>
    <n v="1226"/>
    <x v="0"/>
    <n v="2678"/>
    <n v="535.6"/>
    <n v="321.36"/>
    <n v="267.8"/>
    <n v="3213.6"/>
    <n v="589.16000000000008"/>
    <n v="2624.4399999999996"/>
  </r>
  <r>
    <n v="1228"/>
    <x v="1"/>
    <n v="7379"/>
    <n v="1475.8000000000002"/>
    <n v="885.48"/>
    <n v="737.90000000000009"/>
    <n v="8854.7999999999993"/>
    <n v="1623.38"/>
    <n v="7231.4199999999992"/>
  </r>
  <r>
    <n v="1231"/>
    <x v="2"/>
    <n v="6272"/>
    <n v="1254.4000000000001"/>
    <n v="752.64"/>
    <n v="627.20000000000005"/>
    <n v="7526.4"/>
    <n v="1379.8400000000001"/>
    <n v="6146.5599999999995"/>
  </r>
  <r>
    <n v="1233"/>
    <x v="0"/>
    <n v="5220"/>
    <n v="1044"/>
    <n v="626.4"/>
    <n v="522"/>
    <n v="6264"/>
    <n v="1148.4000000000001"/>
    <n v="5115.6000000000004"/>
  </r>
  <r>
    <n v="1234"/>
    <x v="1"/>
    <n v="2743"/>
    <n v="548.6"/>
    <n v="329.15999999999997"/>
    <n v="274.3"/>
    <n v="3291.6"/>
    <n v="603.46"/>
    <n v="2688.14"/>
  </r>
  <r>
    <n v="1235"/>
    <x v="1"/>
    <n v="4998"/>
    <n v="999.6"/>
    <n v="599.76"/>
    <n v="499.8"/>
    <n v="5997.6"/>
    <n v="1099.56"/>
    <n v="4898.0400000000009"/>
  </r>
  <r>
    <n v="1237"/>
    <x v="1"/>
    <n v="10252"/>
    <n v="2050.4"/>
    <n v="1230.24"/>
    <n v="1025.2"/>
    <n v="12302.4"/>
    <n v="2255.44"/>
    <n v="10046.959999999999"/>
  </r>
  <r>
    <n v="1238"/>
    <x v="1"/>
    <n v="2781"/>
    <n v="556.20000000000005"/>
    <n v="333.71999999999997"/>
    <n v="278.10000000000002"/>
    <n v="3337.2"/>
    <n v="611.81999999999994"/>
    <n v="2725.38"/>
  </r>
  <r>
    <n v="1239"/>
    <x v="0"/>
    <n v="6852"/>
    <n v="1370.4"/>
    <n v="822.24"/>
    <n v="685.2"/>
    <n v="8222.4"/>
    <n v="1507.44"/>
    <n v="6714.9599999999991"/>
  </r>
  <r>
    <n v="1240"/>
    <x v="0"/>
    <n v="4950"/>
    <n v="990"/>
    <n v="594"/>
    <n v="495"/>
    <n v="5940"/>
    <n v="1089"/>
    <n v="4851"/>
  </r>
  <r>
    <n v="1241"/>
    <x v="1"/>
    <n v="3579"/>
    <n v="715.80000000000007"/>
    <n v="429.47999999999996"/>
    <n v="357.90000000000003"/>
    <n v="4294.8"/>
    <n v="787.38"/>
    <n v="3507.42"/>
  </r>
  <r>
    <n v="1242"/>
    <x v="1"/>
    <n v="13191"/>
    <n v="2638.2000000000003"/>
    <n v="1582.9199999999998"/>
    <n v="1319.1000000000001"/>
    <n v="15829.2"/>
    <n v="2902.02"/>
    <n v="12927.18"/>
  </r>
  <r>
    <n v="1243"/>
    <x v="0"/>
    <n v="10377"/>
    <n v="2075.4"/>
    <n v="1245.24"/>
    <n v="1037.7"/>
    <n v="12452.4"/>
    <n v="2282.94"/>
    <n v="10169.459999999999"/>
  </r>
  <r>
    <n v="1244"/>
    <x v="1"/>
    <n v="2235"/>
    <n v="447"/>
    <n v="268.2"/>
    <n v="223.5"/>
    <n v="2682"/>
    <n v="491.7"/>
    <n v="2190.3000000000002"/>
  </r>
  <r>
    <n v="1245"/>
    <x v="1"/>
    <n v="10502"/>
    <n v="2100.4"/>
    <n v="1260.24"/>
    <n v="1050.2"/>
    <n v="12602.4"/>
    <n v="2310.44"/>
    <n v="10291.959999999999"/>
  </r>
  <r>
    <n v="1246"/>
    <x v="1"/>
    <n v="2011"/>
    <n v="402.20000000000005"/>
    <n v="241.32"/>
    <n v="201.10000000000002"/>
    <n v="2413.1999999999998"/>
    <n v="442.42"/>
    <n v="1970.7799999999997"/>
  </r>
  <r>
    <n v="1248"/>
    <x v="1"/>
    <n v="1859"/>
    <n v="371.8"/>
    <n v="223.07999999999998"/>
    <n v="185.9"/>
    <n v="2230.8000000000002"/>
    <n v="408.98"/>
    <n v="1821.8200000000002"/>
  </r>
  <r>
    <n v="1249"/>
    <x v="1"/>
    <n v="3760"/>
    <n v="752"/>
    <n v="451.2"/>
    <n v="376"/>
    <n v="4512"/>
    <n v="827.2"/>
    <n v="3684.8"/>
  </r>
  <r>
    <n v="1250"/>
    <x v="1"/>
    <n v="17779"/>
    <n v="3555.8"/>
    <n v="2133.48"/>
    <n v="1777.9"/>
    <n v="21334.799999999999"/>
    <n v="3911.38"/>
    <n v="17423.419999999998"/>
  </r>
  <r>
    <n v="1251"/>
    <x v="1"/>
    <n v="6833"/>
    <n v="1366.6000000000001"/>
    <n v="819.95999999999992"/>
    <n v="683.30000000000007"/>
    <n v="8199.6"/>
    <n v="1503.26"/>
    <n v="6696.34"/>
  </r>
  <r>
    <n v="1252"/>
    <x v="1"/>
    <n v="6812"/>
    <n v="1362.4"/>
    <n v="817.43999999999994"/>
    <n v="681.2"/>
    <n v="8174.4"/>
    <n v="1498.6399999999999"/>
    <n v="6675.76"/>
  </r>
  <r>
    <n v="1254"/>
    <x v="0"/>
    <n v="5171"/>
    <n v="1034.2"/>
    <n v="620.52"/>
    <n v="517.1"/>
    <n v="6205.2"/>
    <n v="1137.6199999999999"/>
    <n v="5067.58"/>
  </r>
  <r>
    <n v="1255"/>
    <x v="1"/>
    <n v="19740"/>
    <n v="3948"/>
    <n v="2368.7999999999997"/>
    <n v="1974"/>
    <n v="23688"/>
    <n v="4342.7999999999993"/>
    <n v="19345.2"/>
  </r>
  <r>
    <n v="1256"/>
    <x v="1"/>
    <n v="18711"/>
    <n v="3742.2000000000003"/>
    <n v="2245.3199999999997"/>
    <n v="1871.1000000000001"/>
    <n v="22453.200000000001"/>
    <n v="4116.42"/>
    <n v="18336.78"/>
  </r>
  <r>
    <n v="1257"/>
    <x v="1"/>
    <n v="3692"/>
    <n v="738.40000000000009"/>
    <n v="443.03999999999996"/>
    <n v="369.20000000000005"/>
    <n v="4430.3999999999996"/>
    <n v="812.24"/>
    <n v="3618.16"/>
  </r>
  <r>
    <n v="1258"/>
    <x v="1"/>
    <n v="2559"/>
    <n v="511.8"/>
    <n v="307.08"/>
    <n v="255.9"/>
    <n v="3070.8"/>
    <n v="562.98"/>
    <n v="2507.8200000000002"/>
  </r>
  <r>
    <n v="1259"/>
    <x v="1"/>
    <n v="2517"/>
    <n v="503.40000000000003"/>
    <n v="302.03999999999996"/>
    <n v="251.70000000000002"/>
    <n v="3020.4"/>
    <n v="553.74"/>
    <n v="2466.66"/>
  </r>
  <r>
    <n v="1260"/>
    <x v="1"/>
    <n v="6623"/>
    <n v="1324.6000000000001"/>
    <n v="794.76"/>
    <n v="662.30000000000007"/>
    <n v="7947.6"/>
    <n v="1457.06"/>
    <n v="6490.5400000000009"/>
  </r>
  <r>
    <n v="1263"/>
    <x v="1"/>
    <n v="18265"/>
    <n v="3653"/>
    <n v="2191.7999999999997"/>
    <n v="1826.5"/>
    <n v="21918"/>
    <n v="4018.2999999999997"/>
    <n v="17899.7"/>
  </r>
  <r>
    <n v="1264"/>
    <x v="1"/>
    <n v="16124"/>
    <n v="3224.8"/>
    <n v="1934.8799999999999"/>
    <n v="1612.4"/>
    <n v="19348.8"/>
    <n v="3547.2799999999997"/>
    <n v="15801.52"/>
  </r>
  <r>
    <n v="1265"/>
    <x v="1"/>
    <n v="2585"/>
    <n v="517"/>
    <n v="310.2"/>
    <n v="258.5"/>
    <n v="3102"/>
    <n v="568.70000000000005"/>
    <n v="2533.3000000000002"/>
  </r>
  <r>
    <n v="1267"/>
    <x v="0"/>
    <n v="18213"/>
    <n v="3642.6000000000004"/>
    <n v="2185.56"/>
    <n v="1821.3000000000002"/>
    <n v="21855.599999999999"/>
    <n v="4006.86"/>
    <n v="17848.739999999998"/>
  </r>
  <r>
    <n v="1268"/>
    <x v="0"/>
    <n v="8380"/>
    <n v="1676"/>
    <n v="1005.5999999999999"/>
    <n v="838"/>
    <n v="10056"/>
    <n v="1843.6"/>
    <n v="8212.4"/>
  </r>
  <r>
    <n v="1269"/>
    <x v="1"/>
    <n v="2994"/>
    <n v="598.80000000000007"/>
    <n v="359.28"/>
    <n v="299.40000000000003"/>
    <n v="3592.8"/>
    <n v="658.68000000000006"/>
    <n v="2934.12"/>
  </r>
  <r>
    <n v="1270"/>
    <x v="1"/>
    <n v="1223"/>
    <n v="244.60000000000002"/>
    <n v="146.76"/>
    <n v="122.30000000000001"/>
    <n v="1467.6"/>
    <n v="269.06"/>
    <n v="1198.54"/>
  </r>
  <r>
    <n v="1273"/>
    <x v="0"/>
    <n v="1118"/>
    <n v="223.60000000000002"/>
    <n v="134.16"/>
    <n v="111.80000000000001"/>
    <n v="1341.6"/>
    <n v="245.96"/>
    <n v="1095.6399999999999"/>
  </r>
  <r>
    <n v="1275"/>
    <x v="1"/>
    <n v="2875"/>
    <n v="575"/>
    <n v="345"/>
    <n v="287.5"/>
    <n v="3450"/>
    <n v="632.5"/>
    <n v="2817.5"/>
  </r>
  <r>
    <n v="1277"/>
    <x v="0"/>
    <n v="18824"/>
    <n v="3764.8"/>
    <n v="2258.88"/>
    <n v="1882.4"/>
    <n v="22588.799999999999"/>
    <n v="4141.2800000000007"/>
    <n v="18447.519999999997"/>
  </r>
  <r>
    <n v="1278"/>
    <x v="1"/>
    <n v="13577"/>
    <n v="2715.4"/>
    <n v="1629.24"/>
    <n v="1357.7"/>
    <n v="16292.4"/>
    <n v="2986.94"/>
    <n v="13305.46"/>
  </r>
  <r>
    <n v="1279"/>
    <x v="1"/>
    <n v="2625"/>
    <n v="525"/>
    <n v="315"/>
    <n v="262.5"/>
    <n v="3150"/>
    <n v="577.5"/>
    <n v="2572.5"/>
  </r>
  <r>
    <n v="1280"/>
    <x v="0"/>
    <n v="18789"/>
    <n v="3757.8"/>
    <n v="2254.6799999999998"/>
    <n v="1878.9"/>
    <n v="22546.799999999999"/>
    <n v="4133.58"/>
    <n v="18413.22"/>
  </r>
  <r>
    <n v="1281"/>
    <x v="0"/>
    <n v="4538"/>
    <n v="907.6"/>
    <n v="544.55999999999995"/>
    <n v="453.8"/>
    <n v="5445.6"/>
    <n v="998.3599999999999"/>
    <n v="4447.2400000000007"/>
  </r>
  <r>
    <n v="1282"/>
    <x v="0"/>
    <n v="19847"/>
    <n v="3969.4"/>
    <n v="2381.64"/>
    <n v="1984.7"/>
    <n v="23816.400000000001"/>
    <n v="4366.34"/>
    <n v="19450.060000000001"/>
  </r>
  <r>
    <n v="1283"/>
    <x v="1"/>
    <n v="10512"/>
    <n v="2102.4"/>
    <n v="1261.44"/>
    <n v="1051.2"/>
    <n v="12614.4"/>
    <n v="2312.6400000000003"/>
    <n v="10301.759999999998"/>
  </r>
  <r>
    <n v="1285"/>
    <x v="1"/>
    <n v="4444"/>
    <n v="888.80000000000007"/>
    <n v="533.28"/>
    <n v="444.40000000000003"/>
    <n v="5332.8"/>
    <n v="977.68000000000006"/>
    <n v="4355.12"/>
  </r>
  <r>
    <n v="1286"/>
    <x v="1"/>
    <n v="2154"/>
    <n v="430.8"/>
    <n v="258.48"/>
    <n v="215.4"/>
    <n v="2584.8000000000002"/>
    <n v="473.88"/>
    <n v="2110.92"/>
  </r>
  <r>
    <n v="1288"/>
    <x v="1"/>
    <n v="19190"/>
    <n v="3838"/>
    <n v="2302.7999999999997"/>
    <n v="1919"/>
    <n v="23028"/>
    <n v="4221.7999999999993"/>
    <n v="18806.2"/>
  </r>
  <r>
    <n v="1289"/>
    <x v="2"/>
    <n v="4490"/>
    <n v="898"/>
    <n v="538.79999999999995"/>
    <n v="449"/>
    <n v="5388"/>
    <n v="987.8"/>
    <n v="4400.2"/>
  </r>
  <r>
    <n v="1291"/>
    <x v="1"/>
    <n v="3506"/>
    <n v="701.2"/>
    <n v="420.71999999999997"/>
    <n v="350.6"/>
    <n v="4207.2"/>
    <n v="771.31999999999994"/>
    <n v="3435.88"/>
  </r>
  <r>
    <n v="1292"/>
    <x v="1"/>
    <n v="2372"/>
    <n v="474.40000000000003"/>
    <n v="284.64"/>
    <n v="237.20000000000002"/>
    <n v="2846.4"/>
    <n v="521.84"/>
    <n v="2324.56"/>
  </r>
  <r>
    <n v="1293"/>
    <x v="0"/>
    <n v="10231"/>
    <n v="2046.2"/>
    <n v="1227.72"/>
    <n v="1023.1"/>
    <n v="12277.2"/>
    <n v="2250.8200000000002"/>
    <n v="10026.380000000001"/>
  </r>
  <r>
    <n v="1294"/>
    <x v="1"/>
    <n v="5410"/>
    <n v="1082"/>
    <n v="649.19999999999993"/>
    <n v="541"/>
    <n v="6492"/>
    <n v="1190.1999999999998"/>
    <n v="5301.8"/>
  </r>
  <r>
    <n v="1295"/>
    <x v="1"/>
    <n v="7978"/>
    <n v="1595.6000000000001"/>
    <n v="957.36"/>
    <n v="797.80000000000007"/>
    <n v="9573.6"/>
    <n v="1755.16"/>
    <n v="7818.4400000000005"/>
  </r>
  <r>
    <n v="1296"/>
    <x v="1"/>
    <n v="3867"/>
    <n v="773.40000000000009"/>
    <n v="464.03999999999996"/>
    <n v="386.70000000000005"/>
    <n v="4640.3999999999996"/>
    <n v="850.74"/>
    <n v="3789.66"/>
  </r>
  <r>
    <n v="1297"/>
    <x v="1"/>
    <n v="2838"/>
    <n v="567.6"/>
    <n v="340.56"/>
    <n v="283.8"/>
    <n v="3405.6"/>
    <n v="624.36"/>
    <n v="2781.24"/>
  </r>
  <r>
    <n v="1298"/>
    <x v="1"/>
    <n v="4695"/>
    <n v="939"/>
    <n v="563.4"/>
    <n v="469.5"/>
    <n v="5634"/>
    <n v="1032.9000000000001"/>
    <n v="4601.1000000000004"/>
  </r>
  <r>
    <n v="1299"/>
    <x v="1"/>
    <n v="3339"/>
    <n v="667.80000000000007"/>
    <n v="400.68"/>
    <n v="333.90000000000003"/>
    <n v="4006.8"/>
    <n v="734.58"/>
    <n v="3272.2200000000003"/>
  </r>
  <r>
    <n v="1301"/>
    <x v="1"/>
    <n v="2080"/>
    <n v="416"/>
    <n v="249.6"/>
    <n v="208"/>
    <n v="2496"/>
    <n v="457.6"/>
    <n v="2038.4"/>
  </r>
  <r>
    <n v="1303"/>
    <x v="1"/>
    <n v="2096"/>
    <n v="419.20000000000005"/>
    <n v="251.51999999999998"/>
    <n v="209.60000000000002"/>
    <n v="2515.1999999999998"/>
    <n v="461.12"/>
    <n v="2054.08"/>
  </r>
  <r>
    <n v="1304"/>
    <x v="0"/>
    <n v="6209"/>
    <n v="1241.8000000000002"/>
    <n v="745.07999999999993"/>
    <n v="620.90000000000009"/>
    <n v="7450.8"/>
    <n v="1365.98"/>
    <n v="6084.82"/>
  </r>
  <r>
    <n v="1306"/>
    <x v="1"/>
    <n v="18061"/>
    <n v="3612.2000000000003"/>
    <n v="2167.3199999999997"/>
    <n v="1806.1000000000001"/>
    <n v="21673.200000000001"/>
    <n v="3973.42"/>
    <n v="17699.78"/>
  </r>
  <r>
    <n v="1307"/>
    <x v="1"/>
    <n v="17123"/>
    <n v="3424.6000000000004"/>
    <n v="2054.7599999999998"/>
    <n v="1712.3000000000002"/>
    <n v="20547.599999999999"/>
    <n v="3767.06"/>
    <n v="16780.539999999997"/>
  </r>
  <r>
    <n v="1308"/>
    <x v="1"/>
    <n v="2372"/>
    <n v="474.40000000000003"/>
    <n v="284.64"/>
    <n v="237.20000000000002"/>
    <n v="2846.4"/>
    <n v="521.84"/>
    <n v="2324.56"/>
  </r>
  <r>
    <n v="1309"/>
    <x v="1"/>
    <n v="4883"/>
    <n v="976.6"/>
    <n v="585.95999999999992"/>
    <n v="488.3"/>
    <n v="5859.6"/>
    <n v="1074.26"/>
    <n v="4785.34"/>
  </r>
  <r>
    <n v="1310"/>
    <x v="1"/>
    <n v="3904"/>
    <n v="780.80000000000007"/>
    <n v="468.47999999999996"/>
    <n v="390.40000000000003"/>
    <n v="4684.8"/>
    <n v="858.88"/>
    <n v="3825.92"/>
  </r>
  <r>
    <n v="1311"/>
    <x v="1"/>
    <n v="4627"/>
    <n v="925.40000000000009"/>
    <n v="555.24"/>
    <n v="462.70000000000005"/>
    <n v="5552.4"/>
    <n v="1017.94"/>
    <n v="4534.4599999999991"/>
  </r>
  <r>
    <n v="1312"/>
    <x v="1"/>
    <n v="7094"/>
    <n v="1418.8000000000002"/>
    <n v="851.28"/>
    <n v="709.40000000000009"/>
    <n v="8512.7999999999993"/>
    <n v="1560.68"/>
    <n v="6952.119999999999"/>
  </r>
  <r>
    <n v="1314"/>
    <x v="2"/>
    <n v="3423"/>
    <n v="684.6"/>
    <n v="410.76"/>
    <n v="342.3"/>
    <n v="4107.6000000000004"/>
    <n v="753.06"/>
    <n v="3354.5400000000004"/>
  </r>
  <r>
    <n v="1315"/>
    <x v="1"/>
    <n v="6674"/>
    <n v="1334.8000000000002"/>
    <n v="800.88"/>
    <n v="667.40000000000009"/>
    <n v="8008.8"/>
    <n v="1468.2800000000002"/>
    <n v="6540.52"/>
  </r>
  <r>
    <n v="1317"/>
    <x v="1"/>
    <n v="16880"/>
    <n v="3376"/>
    <n v="2025.6"/>
    <n v="1688"/>
    <n v="20256"/>
    <n v="3713.6"/>
    <n v="16542.400000000001"/>
  </r>
  <r>
    <n v="1318"/>
    <x v="0"/>
    <n v="9094"/>
    <n v="1818.8000000000002"/>
    <n v="1091.28"/>
    <n v="909.40000000000009"/>
    <n v="10912.8"/>
    <n v="2000.68"/>
    <n v="8912.119999999999"/>
  </r>
  <r>
    <n v="1319"/>
    <x v="0"/>
    <n v="8446"/>
    <n v="1689.2"/>
    <n v="1013.52"/>
    <n v="844.6"/>
    <n v="10135.200000000001"/>
    <n v="1858.12"/>
    <n v="8277.0800000000017"/>
  </r>
  <r>
    <n v="1321"/>
    <x v="1"/>
    <n v="11916"/>
    <n v="2383.2000000000003"/>
    <n v="1429.9199999999998"/>
    <n v="1191.6000000000001"/>
    <n v="14299.2"/>
    <n v="2621.52"/>
    <n v="11677.68"/>
  </r>
  <r>
    <n v="1322"/>
    <x v="1"/>
    <n v="4534"/>
    <n v="906.80000000000007"/>
    <n v="544.07999999999993"/>
    <n v="453.40000000000003"/>
    <n v="5440.8"/>
    <n v="997.48"/>
    <n v="4443.32"/>
  </r>
  <r>
    <n v="1324"/>
    <x v="0"/>
    <n v="9852"/>
    <n v="1970.4"/>
    <n v="1182.24"/>
    <n v="985.2"/>
    <n v="11822.4"/>
    <n v="2167.44"/>
    <n v="9654.9599999999991"/>
  </r>
  <r>
    <n v="1329"/>
    <x v="0"/>
    <n v="6151"/>
    <n v="1230.2"/>
    <n v="738.12"/>
    <n v="615.1"/>
    <n v="7381.2"/>
    <n v="1353.22"/>
    <n v="6027.98"/>
  </r>
  <r>
    <n v="1331"/>
    <x v="0"/>
    <n v="2302"/>
    <n v="460.40000000000003"/>
    <n v="276.24"/>
    <n v="230.20000000000002"/>
    <n v="2762.4"/>
    <n v="506.44000000000005"/>
    <n v="2255.96"/>
  </r>
  <r>
    <n v="1333"/>
    <x v="1"/>
    <n v="2362"/>
    <n v="472.40000000000003"/>
    <n v="283.44"/>
    <n v="236.20000000000002"/>
    <n v="2834.4"/>
    <n v="519.64"/>
    <n v="2314.7600000000002"/>
  </r>
  <r>
    <n v="1334"/>
    <x v="1"/>
    <n v="17861"/>
    <n v="3572.2000000000003"/>
    <n v="2143.3199999999997"/>
    <n v="1786.1000000000001"/>
    <n v="21433.200000000001"/>
    <n v="3929.42"/>
    <n v="17503.78"/>
  </r>
  <r>
    <n v="1336"/>
    <x v="1"/>
    <n v="19187"/>
    <n v="3837.4"/>
    <n v="2302.44"/>
    <n v="1918.7"/>
    <n v="23024.400000000001"/>
    <n v="4221.1400000000003"/>
    <n v="18803.260000000002"/>
  </r>
  <r>
    <n v="1338"/>
    <x v="2"/>
    <n v="19717"/>
    <n v="3943.4"/>
    <n v="2366.04"/>
    <n v="1971.7"/>
    <n v="23660.400000000001"/>
    <n v="4337.74"/>
    <n v="19322.660000000003"/>
  </r>
  <r>
    <n v="1340"/>
    <x v="1"/>
    <n v="3544"/>
    <n v="708.80000000000007"/>
    <n v="425.28"/>
    <n v="354.40000000000003"/>
    <n v="4252.8"/>
    <n v="779.68000000000006"/>
    <n v="3473.12"/>
  </r>
  <r>
    <n v="1344"/>
    <x v="1"/>
    <n v="8500"/>
    <n v="1700"/>
    <n v="1020"/>
    <n v="850"/>
    <n v="10200"/>
    <n v="1870"/>
    <n v="8330"/>
  </r>
  <r>
    <n v="1346"/>
    <x v="1"/>
    <n v="4661"/>
    <n v="932.2"/>
    <n v="559.31999999999994"/>
    <n v="466.1"/>
    <n v="5593.2"/>
    <n v="1025.42"/>
    <n v="4567.78"/>
  </r>
  <r>
    <n v="1349"/>
    <x v="0"/>
    <n v="4103"/>
    <n v="820.6"/>
    <n v="492.35999999999996"/>
    <n v="410.3"/>
    <n v="4923.6000000000004"/>
    <n v="902.66"/>
    <n v="4020.9400000000005"/>
  </r>
  <r>
    <n v="1350"/>
    <x v="1"/>
    <n v="4249"/>
    <n v="849.80000000000007"/>
    <n v="509.88"/>
    <n v="424.90000000000003"/>
    <n v="5098.8"/>
    <n v="934.78"/>
    <n v="4164.0200000000004"/>
  </r>
  <r>
    <n v="1352"/>
    <x v="2"/>
    <n v="14026"/>
    <n v="2805.2000000000003"/>
    <n v="1683.12"/>
    <n v="1402.6000000000001"/>
    <n v="16831.2"/>
    <n v="3085.7200000000003"/>
    <n v="13745.48"/>
  </r>
  <r>
    <n v="1355"/>
    <x v="0"/>
    <n v="6893"/>
    <n v="1378.6000000000001"/>
    <n v="827.16"/>
    <n v="689.30000000000007"/>
    <n v="8271.6"/>
    <n v="1516.46"/>
    <n v="6755.14"/>
  </r>
  <r>
    <n v="1356"/>
    <x v="0"/>
    <n v="6125"/>
    <n v="1225"/>
    <n v="735"/>
    <n v="612.5"/>
    <n v="7350"/>
    <n v="1347.5"/>
    <n v="6002.5"/>
  </r>
  <r>
    <n v="1358"/>
    <x v="1"/>
    <n v="3669"/>
    <n v="733.80000000000007"/>
    <n v="440.28"/>
    <n v="366.90000000000003"/>
    <n v="4402.8"/>
    <n v="807.18000000000006"/>
    <n v="3595.62"/>
  </r>
  <r>
    <n v="1360"/>
    <x v="1"/>
    <n v="10008"/>
    <n v="2001.6000000000001"/>
    <n v="1200.96"/>
    <n v="1000.8000000000001"/>
    <n v="12009.6"/>
    <n v="2201.7600000000002"/>
    <n v="9807.84"/>
  </r>
  <r>
    <n v="1361"/>
    <x v="1"/>
    <n v="2387"/>
    <n v="477.40000000000003"/>
    <n v="286.44"/>
    <n v="238.70000000000002"/>
    <n v="2864.4"/>
    <n v="525.14"/>
    <n v="2339.2600000000002"/>
  </r>
  <r>
    <n v="1362"/>
    <x v="0"/>
    <n v="4639"/>
    <n v="927.80000000000007"/>
    <n v="556.67999999999995"/>
    <n v="463.90000000000003"/>
    <n v="5566.8"/>
    <n v="1020.5799999999999"/>
    <n v="4546.22"/>
  </r>
  <r>
    <n v="1363"/>
    <x v="1"/>
    <n v="7898"/>
    <n v="1579.6000000000001"/>
    <n v="947.76"/>
    <n v="789.80000000000007"/>
    <n v="9477.6"/>
    <n v="1737.56"/>
    <n v="7740.0400000000009"/>
  </r>
  <r>
    <n v="1364"/>
    <x v="0"/>
    <n v="2534"/>
    <n v="506.8"/>
    <n v="304.08"/>
    <n v="253.4"/>
    <n v="3040.8"/>
    <n v="557.48"/>
    <n v="2483.3200000000002"/>
  </r>
  <r>
    <n v="1367"/>
    <x v="1"/>
    <n v="13142"/>
    <n v="2628.4"/>
    <n v="1577.04"/>
    <n v="1314.2"/>
    <n v="15770.4"/>
    <n v="2891.24"/>
    <n v="12879.16"/>
  </r>
  <r>
    <n v="1368"/>
    <x v="1"/>
    <n v="1611"/>
    <n v="322.20000000000005"/>
    <n v="193.32"/>
    <n v="161.10000000000002"/>
    <n v="1933.2"/>
    <n v="354.42"/>
    <n v="1578.78"/>
  </r>
  <r>
    <n v="1369"/>
    <x v="1"/>
    <n v="5363"/>
    <n v="1072.6000000000001"/>
    <n v="643.55999999999995"/>
    <n v="536.30000000000007"/>
    <n v="6435.6"/>
    <n v="1179.8600000000001"/>
    <n v="5255.74"/>
  </r>
  <r>
    <n v="1371"/>
    <x v="0"/>
    <n v="5071"/>
    <n v="1014.2"/>
    <n v="608.52"/>
    <n v="507.1"/>
    <n v="6085.2"/>
    <n v="1115.6199999999999"/>
    <n v="4969.58"/>
  </r>
  <r>
    <n v="1372"/>
    <x v="0"/>
    <n v="13695"/>
    <n v="2739"/>
    <n v="1643.3999999999999"/>
    <n v="1369.5"/>
    <n v="16434"/>
    <n v="3012.8999999999996"/>
    <n v="13421.1"/>
  </r>
  <r>
    <n v="1373"/>
    <x v="1"/>
    <n v="13402"/>
    <n v="2680.4"/>
    <n v="1608.24"/>
    <n v="1340.2"/>
    <n v="16082.4"/>
    <n v="2948.44"/>
    <n v="13133.96"/>
  </r>
  <r>
    <n v="1374"/>
    <x v="1"/>
    <n v="2029"/>
    <n v="405.8"/>
    <n v="243.48"/>
    <n v="202.9"/>
    <n v="2434.8000000000002"/>
    <n v="446.38"/>
    <n v="1988.42"/>
  </r>
  <r>
    <n v="1375"/>
    <x v="1"/>
    <n v="6377"/>
    <n v="1275.4000000000001"/>
    <n v="765.24"/>
    <n v="637.70000000000005"/>
    <n v="7652.4"/>
    <n v="1402.94"/>
    <n v="6249.4599999999991"/>
  </r>
  <r>
    <n v="1377"/>
    <x v="1"/>
    <n v="5429"/>
    <n v="1085.8"/>
    <n v="651.48"/>
    <n v="542.9"/>
    <n v="6514.8"/>
    <n v="1194.3800000000001"/>
    <n v="5320.42"/>
  </r>
  <r>
    <n v="1379"/>
    <x v="0"/>
    <n v="2785"/>
    <n v="557"/>
    <n v="334.2"/>
    <n v="278.5"/>
    <n v="3342"/>
    <n v="612.70000000000005"/>
    <n v="2729.3"/>
  </r>
  <r>
    <n v="1380"/>
    <x v="0"/>
    <n v="4614"/>
    <n v="922.80000000000007"/>
    <n v="553.67999999999995"/>
    <n v="461.40000000000003"/>
    <n v="5536.8"/>
    <n v="1015.0799999999999"/>
    <n v="4521.72"/>
  </r>
  <r>
    <n v="1382"/>
    <x v="1"/>
    <n v="2610"/>
    <n v="522"/>
    <n v="313.2"/>
    <n v="261"/>
    <n v="3132"/>
    <n v="574.20000000000005"/>
    <n v="2557.8000000000002"/>
  </r>
  <r>
    <n v="1383"/>
    <x v="1"/>
    <n v="6687"/>
    <n v="1337.4"/>
    <n v="802.43999999999994"/>
    <n v="668.7"/>
    <n v="8024.4"/>
    <n v="1471.1399999999999"/>
    <n v="6553.26"/>
  </r>
  <r>
    <n v="1387"/>
    <x v="0"/>
    <n v="4724"/>
    <n v="944.80000000000007"/>
    <n v="566.88"/>
    <n v="472.40000000000003"/>
    <n v="5668.8"/>
    <n v="1039.28"/>
    <n v="4629.5200000000004"/>
  </r>
  <r>
    <n v="1389"/>
    <x v="1"/>
    <n v="6179"/>
    <n v="1235.8000000000002"/>
    <n v="741.48"/>
    <n v="617.90000000000009"/>
    <n v="7414.8"/>
    <n v="1359.38"/>
    <n v="6055.42"/>
  </r>
  <r>
    <n v="1390"/>
    <x v="0"/>
    <n v="6120"/>
    <n v="1224"/>
    <n v="734.4"/>
    <n v="612"/>
    <n v="7344"/>
    <n v="1346.4"/>
    <n v="5997.6"/>
  </r>
  <r>
    <n v="1391"/>
    <x v="0"/>
    <n v="10596"/>
    <n v="2119.2000000000003"/>
    <n v="1271.52"/>
    <n v="1059.6000000000001"/>
    <n v="12715.2"/>
    <n v="2331.12"/>
    <n v="10384.080000000002"/>
  </r>
  <r>
    <n v="1392"/>
    <x v="1"/>
    <n v="5467"/>
    <n v="1093.4000000000001"/>
    <n v="656.04"/>
    <n v="546.70000000000005"/>
    <n v="6560.4"/>
    <n v="1202.74"/>
    <n v="5357.66"/>
  </r>
  <r>
    <n v="1394"/>
    <x v="1"/>
    <n v="2996"/>
    <n v="599.20000000000005"/>
    <n v="359.52"/>
    <n v="299.60000000000002"/>
    <n v="3595.2"/>
    <n v="659.12"/>
    <n v="2936.08"/>
  </r>
  <r>
    <n v="1395"/>
    <x v="0"/>
    <n v="9998"/>
    <n v="1999.6000000000001"/>
    <n v="1199.76"/>
    <n v="999.80000000000007"/>
    <n v="11997.6"/>
    <n v="2199.56"/>
    <n v="9798.0400000000009"/>
  </r>
  <r>
    <n v="1396"/>
    <x v="0"/>
    <n v="4078"/>
    <n v="815.6"/>
    <n v="489.35999999999996"/>
    <n v="407.8"/>
    <n v="4893.6000000000004"/>
    <n v="897.16"/>
    <n v="3996.4400000000005"/>
  </r>
  <r>
    <n v="1397"/>
    <x v="1"/>
    <n v="10920"/>
    <n v="2184"/>
    <n v="1310.3999999999999"/>
    <n v="1092"/>
    <n v="13104"/>
    <n v="2402.3999999999996"/>
    <n v="10701.6"/>
  </r>
  <r>
    <n v="1399"/>
    <x v="0"/>
    <n v="6232"/>
    <n v="1246.4000000000001"/>
    <n v="747.83999999999992"/>
    <n v="623.20000000000005"/>
    <n v="7478.4"/>
    <n v="1371.04"/>
    <n v="6107.36"/>
  </r>
  <r>
    <n v="1401"/>
    <x v="1"/>
    <n v="13247"/>
    <n v="2649.4"/>
    <n v="1589.6399999999999"/>
    <n v="1324.7"/>
    <n v="15896.4"/>
    <n v="2914.34"/>
    <n v="12982.06"/>
  </r>
  <r>
    <n v="1402"/>
    <x v="1"/>
    <n v="4081"/>
    <n v="816.2"/>
    <n v="489.71999999999997"/>
    <n v="408.1"/>
    <n v="4897.2"/>
    <n v="897.81999999999994"/>
    <n v="3999.38"/>
  </r>
  <r>
    <n v="1403"/>
    <x v="0"/>
    <n v="5769"/>
    <n v="1153.8"/>
    <n v="692.28"/>
    <n v="576.9"/>
    <n v="6922.8"/>
    <n v="1269.1799999999998"/>
    <n v="5653.6200000000008"/>
  </r>
  <r>
    <n v="1405"/>
    <x v="1"/>
    <n v="2394"/>
    <n v="478.8"/>
    <n v="287.27999999999997"/>
    <n v="239.4"/>
    <n v="2872.8"/>
    <n v="526.67999999999995"/>
    <n v="2346.1200000000003"/>
  </r>
  <r>
    <n v="1407"/>
    <x v="1"/>
    <n v="3904"/>
    <n v="780.80000000000007"/>
    <n v="468.47999999999996"/>
    <n v="390.40000000000003"/>
    <n v="4684.8"/>
    <n v="858.88"/>
    <n v="3825.92"/>
  </r>
  <r>
    <n v="1408"/>
    <x v="2"/>
    <n v="16799"/>
    <n v="3359.8"/>
    <n v="2015.8799999999999"/>
    <n v="1679.9"/>
    <n v="20158.8"/>
    <n v="3695.7799999999997"/>
    <n v="16463.02"/>
  </r>
  <r>
    <n v="1409"/>
    <x v="1"/>
    <n v="2950"/>
    <n v="590"/>
    <n v="354"/>
    <n v="295"/>
    <n v="3540"/>
    <n v="649"/>
    <n v="2891"/>
  </r>
  <r>
    <n v="1411"/>
    <x v="1"/>
    <n v="3629"/>
    <n v="725.80000000000007"/>
    <n v="435.47999999999996"/>
    <n v="362.90000000000003"/>
    <n v="4354.8"/>
    <n v="798.38"/>
    <n v="3556.42"/>
  </r>
  <r>
    <n v="1412"/>
    <x v="1"/>
    <n v="9362"/>
    <n v="1872.4"/>
    <n v="1123.44"/>
    <n v="936.2"/>
    <n v="11234.4"/>
    <n v="2059.6400000000003"/>
    <n v="9174.7599999999984"/>
  </r>
  <r>
    <n v="1415"/>
    <x v="1"/>
    <n v="3229"/>
    <n v="645.80000000000007"/>
    <n v="387.47999999999996"/>
    <n v="322.90000000000003"/>
    <n v="3874.8"/>
    <n v="710.38"/>
    <n v="3164.42"/>
  </r>
  <r>
    <n v="1417"/>
    <x v="1"/>
    <n v="3578"/>
    <n v="715.6"/>
    <n v="429.35999999999996"/>
    <n v="357.8"/>
    <n v="4293.6000000000004"/>
    <n v="787.16"/>
    <n v="3506.4400000000005"/>
  </r>
  <r>
    <n v="1419"/>
    <x v="2"/>
    <n v="7988"/>
    <n v="1597.6000000000001"/>
    <n v="958.56"/>
    <n v="798.80000000000007"/>
    <n v="9585.6"/>
    <n v="1757.3600000000001"/>
    <n v="7828.24"/>
  </r>
  <r>
    <n v="1420"/>
    <x v="1"/>
    <n v="4284"/>
    <n v="856.80000000000007"/>
    <n v="514.07999999999993"/>
    <n v="428.40000000000003"/>
    <n v="5140.8"/>
    <n v="942.48"/>
    <n v="4198.32"/>
  </r>
  <r>
    <n v="1421"/>
    <x v="1"/>
    <n v="7553"/>
    <n v="1510.6000000000001"/>
    <n v="906.36"/>
    <n v="755.30000000000007"/>
    <n v="9063.6"/>
    <n v="1661.66"/>
    <n v="7401.9400000000005"/>
  </r>
  <r>
    <n v="1422"/>
    <x v="1"/>
    <n v="17328"/>
    <n v="3465.6000000000004"/>
    <n v="2079.36"/>
    <n v="1732.8000000000002"/>
    <n v="20793.599999999999"/>
    <n v="3812.1600000000003"/>
    <n v="16981.439999999999"/>
  </r>
  <r>
    <n v="1423"/>
    <x v="1"/>
    <n v="19701"/>
    <n v="3940.2000000000003"/>
    <n v="2364.12"/>
    <n v="1970.1000000000001"/>
    <n v="23641.200000000001"/>
    <n v="4334.22"/>
    <n v="19306.98"/>
  </r>
  <r>
    <n v="1424"/>
    <x v="1"/>
    <n v="14732"/>
    <n v="2946.4"/>
    <n v="1767.84"/>
    <n v="1473.2"/>
    <n v="17678.400000000001"/>
    <n v="3241.04"/>
    <n v="14437.36"/>
  </r>
  <r>
    <n v="1425"/>
    <x v="0"/>
    <n v="9278"/>
    <n v="1855.6000000000001"/>
    <n v="1113.3599999999999"/>
    <n v="927.80000000000007"/>
    <n v="11133.6"/>
    <n v="2041.1599999999999"/>
    <n v="9092.44"/>
  </r>
  <r>
    <n v="1427"/>
    <x v="0"/>
    <n v="1359"/>
    <n v="271.8"/>
    <n v="163.07999999999998"/>
    <n v="135.9"/>
    <n v="1630.8"/>
    <n v="298.98"/>
    <n v="1331.82"/>
  </r>
  <r>
    <n v="1428"/>
    <x v="0"/>
    <n v="4779"/>
    <n v="955.80000000000007"/>
    <n v="573.48"/>
    <n v="477.90000000000003"/>
    <n v="5734.8"/>
    <n v="1051.3800000000001"/>
    <n v="4683.42"/>
  </r>
  <r>
    <n v="1430"/>
    <x v="1"/>
    <n v="16422"/>
    <n v="3284.4"/>
    <n v="1970.6399999999999"/>
    <n v="1642.2"/>
    <n v="19706.400000000001"/>
    <n v="3612.84"/>
    <n v="16093.560000000001"/>
  </r>
  <r>
    <n v="1431"/>
    <x v="1"/>
    <n v="2996"/>
    <n v="599.20000000000005"/>
    <n v="359.52"/>
    <n v="299.60000000000002"/>
    <n v="3595.2"/>
    <n v="659.12"/>
    <n v="2936.08"/>
  </r>
  <r>
    <n v="1433"/>
    <x v="1"/>
    <n v="1261"/>
    <n v="252.20000000000002"/>
    <n v="151.32"/>
    <n v="126.10000000000001"/>
    <n v="1513.2"/>
    <n v="277.42"/>
    <n v="1235.78"/>
  </r>
  <r>
    <n v="1434"/>
    <x v="1"/>
    <n v="2099"/>
    <n v="419.8"/>
    <n v="251.88"/>
    <n v="209.9"/>
    <n v="2518.8000000000002"/>
    <n v="461.78"/>
    <n v="2057.0200000000004"/>
  </r>
  <r>
    <n v="1435"/>
    <x v="1"/>
    <n v="5810"/>
    <n v="1162"/>
    <n v="697.19999999999993"/>
    <n v="581"/>
    <n v="6972"/>
    <n v="1278.1999999999998"/>
    <n v="5693.8"/>
  </r>
  <r>
    <n v="1436"/>
    <x v="0"/>
    <n v="5647"/>
    <n v="1129.4000000000001"/>
    <n v="677.64"/>
    <n v="564.70000000000005"/>
    <n v="6776.4"/>
    <n v="1242.3400000000001"/>
    <n v="5534.0599999999995"/>
  </r>
  <r>
    <n v="1438"/>
    <x v="1"/>
    <n v="3420"/>
    <n v="684"/>
    <n v="410.4"/>
    <n v="342"/>
    <n v="4104"/>
    <n v="752.4"/>
    <n v="3351.6"/>
  </r>
  <r>
    <n v="1439"/>
    <x v="0"/>
    <n v="4400"/>
    <n v="880"/>
    <n v="528"/>
    <n v="440"/>
    <n v="5280"/>
    <n v="968"/>
    <n v="4312"/>
  </r>
  <r>
    <n v="1440"/>
    <x v="1"/>
    <n v="3500"/>
    <n v="700"/>
    <n v="420"/>
    <n v="350"/>
    <n v="4200"/>
    <n v="770"/>
    <n v="3430"/>
  </r>
  <r>
    <n v="1441"/>
    <x v="1"/>
    <n v="2066"/>
    <n v="413.20000000000005"/>
    <n v="247.92"/>
    <n v="206.60000000000002"/>
    <n v="2479.1999999999998"/>
    <n v="454.52"/>
    <n v="2024.6799999999998"/>
  </r>
  <r>
    <n v="1443"/>
    <x v="1"/>
    <n v="17169"/>
    <n v="3433.8"/>
    <n v="2060.2799999999997"/>
    <n v="1716.9"/>
    <n v="20602.8"/>
    <n v="3777.18"/>
    <n v="16825.62"/>
  </r>
  <r>
    <n v="1445"/>
    <x v="0"/>
    <n v="4162"/>
    <n v="832.40000000000009"/>
    <n v="499.44"/>
    <n v="416.20000000000005"/>
    <n v="4994.3999999999996"/>
    <n v="915.6400000000001"/>
    <n v="4078.7599999999993"/>
  </r>
  <r>
    <n v="1446"/>
    <x v="0"/>
    <n v="9204"/>
    <n v="1840.8000000000002"/>
    <n v="1104.48"/>
    <n v="920.40000000000009"/>
    <n v="11044.8"/>
    <n v="2024.88"/>
    <n v="9019.9199999999983"/>
  </r>
  <r>
    <n v="1447"/>
    <x v="1"/>
    <n v="3294"/>
    <n v="658.80000000000007"/>
    <n v="395.28"/>
    <n v="329.40000000000003"/>
    <n v="3952.8"/>
    <n v="724.68000000000006"/>
    <n v="3228.12"/>
  </r>
  <r>
    <n v="1448"/>
    <x v="1"/>
    <n v="2127"/>
    <n v="425.40000000000003"/>
    <n v="255.23999999999998"/>
    <n v="212.70000000000002"/>
    <n v="2552.4"/>
    <n v="467.94"/>
    <n v="2084.46"/>
  </r>
  <r>
    <n v="1449"/>
    <x v="1"/>
    <n v="3975"/>
    <n v="795"/>
    <n v="477"/>
    <n v="397.5"/>
    <n v="4770"/>
    <n v="874.5"/>
    <n v="3895.5"/>
  </r>
  <r>
    <n v="1453"/>
    <x v="0"/>
    <n v="10793"/>
    <n v="2158.6"/>
    <n v="1295.1599999999999"/>
    <n v="1079.3"/>
    <n v="12951.6"/>
    <n v="2374.46"/>
    <n v="10577.14"/>
  </r>
  <r>
    <n v="1457"/>
    <x v="0"/>
    <n v="10096"/>
    <n v="2019.2"/>
    <n v="1211.52"/>
    <n v="1009.6"/>
    <n v="12115.2"/>
    <n v="2221.12"/>
    <n v="9894.0800000000017"/>
  </r>
  <r>
    <n v="1458"/>
    <x v="1"/>
    <n v="3646"/>
    <n v="729.2"/>
    <n v="437.52"/>
    <n v="364.6"/>
    <n v="4375.2"/>
    <n v="802.12"/>
    <n v="3573.08"/>
  </r>
  <r>
    <n v="1459"/>
    <x v="1"/>
    <n v="7446"/>
    <n v="1489.2"/>
    <n v="893.52"/>
    <n v="744.6"/>
    <n v="8935.2000000000007"/>
    <n v="1638.12"/>
    <n v="7297.0800000000008"/>
  </r>
  <r>
    <n v="1460"/>
    <x v="1"/>
    <n v="10851"/>
    <n v="2170.2000000000003"/>
    <n v="1302.1199999999999"/>
    <n v="1085.1000000000001"/>
    <n v="13021.2"/>
    <n v="2387.2200000000003"/>
    <n v="10633.98"/>
  </r>
  <r>
    <n v="1461"/>
    <x v="2"/>
    <n v="2109"/>
    <n v="421.8"/>
    <n v="253.07999999999998"/>
    <n v="210.9"/>
    <n v="2530.8000000000002"/>
    <n v="463.98"/>
    <n v="2066.8200000000002"/>
  </r>
  <r>
    <n v="1464"/>
    <x v="1"/>
    <n v="3722"/>
    <n v="744.40000000000009"/>
    <n v="446.64"/>
    <n v="372.20000000000005"/>
    <n v="4466.3999999999996"/>
    <n v="818.84"/>
    <n v="3647.5599999999995"/>
  </r>
  <r>
    <n v="1465"/>
    <x v="1"/>
    <n v="9380"/>
    <n v="1876"/>
    <n v="1125.5999999999999"/>
    <n v="938"/>
    <n v="11256"/>
    <n v="2063.6"/>
    <n v="9192.4"/>
  </r>
  <r>
    <n v="1466"/>
    <x v="0"/>
    <n v="5486"/>
    <n v="1097.2"/>
    <n v="658.31999999999994"/>
    <n v="548.6"/>
    <n v="6583.2"/>
    <n v="1206.92"/>
    <n v="5376.28"/>
  </r>
  <r>
    <n v="1467"/>
    <x v="2"/>
    <n v="2742"/>
    <n v="548.4"/>
    <n v="329.03999999999996"/>
    <n v="274.2"/>
    <n v="3290.4"/>
    <n v="603.24"/>
    <n v="2687.16"/>
  </r>
  <r>
    <n v="1468"/>
    <x v="1"/>
    <n v="13757"/>
    <n v="2751.4"/>
    <n v="1650.84"/>
    <n v="1375.7"/>
    <n v="16508.400000000001"/>
    <n v="3026.54"/>
    <n v="13481.86"/>
  </r>
  <r>
    <n v="1469"/>
    <x v="0"/>
    <n v="8463"/>
    <n v="1692.6000000000001"/>
    <n v="1015.56"/>
    <n v="846.30000000000007"/>
    <n v="10155.6"/>
    <n v="1861.8600000000001"/>
    <n v="8293.74"/>
  </r>
  <r>
    <n v="1471"/>
    <x v="1"/>
    <n v="3162"/>
    <n v="632.40000000000009"/>
    <n v="379.44"/>
    <n v="316.20000000000005"/>
    <n v="3794.4"/>
    <n v="695.6400000000001"/>
    <n v="3098.76"/>
  </r>
  <r>
    <n v="1472"/>
    <x v="1"/>
    <n v="16598"/>
    <n v="3319.6000000000004"/>
    <n v="1991.76"/>
    <n v="1659.8000000000002"/>
    <n v="19917.599999999999"/>
    <n v="3651.5600000000004"/>
    <n v="16266.039999999997"/>
  </r>
  <r>
    <n v="1473"/>
    <x v="1"/>
    <n v="6651"/>
    <n v="1330.2"/>
    <n v="798.12"/>
    <n v="665.1"/>
    <n v="7981.2"/>
    <n v="1463.22"/>
    <n v="6517.98"/>
  </r>
  <r>
    <n v="1474"/>
    <x v="1"/>
    <n v="2345"/>
    <n v="469"/>
    <n v="281.39999999999998"/>
    <n v="234.5"/>
    <n v="2814"/>
    <n v="515.9"/>
    <n v="2298.1"/>
  </r>
  <r>
    <n v="1475"/>
    <x v="1"/>
    <n v="3420"/>
    <n v="684"/>
    <n v="410.4"/>
    <n v="342"/>
    <n v="4104"/>
    <n v="752.4"/>
    <n v="3351.6"/>
  </r>
  <r>
    <n v="1477"/>
    <x v="0"/>
    <n v="4373"/>
    <n v="874.6"/>
    <n v="524.76"/>
    <n v="437.3"/>
    <n v="5247.6"/>
    <n v="962.06"/>
    <n v="4285.5400000000009"/>
  </r>
  <r>
    <n v="1478"/>
    <x v="0"/>
    <n v="4759"/>
    <n v="951.80000000000007"/>
    <n v="571.07999999999993"/>
    <n v="475.90000000000003"/>
    <n v="5710.8"/>
    <n v="1046.98"/>
    <n v="4663.82"/>
  </r>
  <r>
    <n v="1479"/>
    <x v="0"/>
    <n v="5301"/>
    <n v="1060.2"/>
    <n v="636.12"/>
    <n v="530.1"/>
    <n v="6361.2"/>
    <n v="1166.22"/>
    <n v="5194.9799999999996"/>
  </r>
  <r>
    <n v="1480"/>
    <x v="1"/>
    <n v="3673"/>
    <n v="734.6"/>
    <n v="440.76"/>
    <n v="367.3"/>
    <n v="4407.6000000000004"/>
    <n v="808.06"/>
    <n v="3599.5400000000004"/>
  </r>
  <r>
    <n v="1481"/>
    <x v="0"/>
    <n v="4768"/>
    <n v="953.6"/>
    <n v="572.16"/>
    <n v="476.8"/>
    <n v="5721.6"/>
    <n v="1048.96"/>
    <n v="4672.6400000000003"/>
  </r>
  <r>
    <n v="1482"/>
    <x v="1"/>
    <n v="1274"/>
    <n v="254.8"/>
    <n v="152.88"/>
    <n v="127.4"/>
    <n v="1528.8"/>
    <n v="280.27999999999997"/>
    <n v="1248.52"/>
  </r>
  <r>
    <n v="1483"/>
    <x v="1"/>
    <n v="4900"/>
    <n v="980"/>
    <n v="588"/>
    <n v="490"/>
    <n v="5880"/>
    <n v="1078"/>
    <n v="4802"/>
  </r>
  <r>
    <n v="1484"/>
    <x v="1"/>
    <n v="10466"/>
    <n v="2093.2000000000003"/>
    <n v="1255.9199999999998"/>
    <n v="1046.6000000000001"/>
    <n v="12559.2"/>
    <n v="2302.52"/>
    <n v="10256.68"/>
  </r>
  <r>
    <n v="1485"/>
    <x v="1"/>
    <n v="17007"/>
    <n v="3401.4"/>
    <n v="2040.84"/>
    <n v="1700.7"/>
    <n v="20408.400000000001"/>
    <n v="3741.54"/>
    <n v="16666.86"/>
  </r>
  <r>
    <n v="1486"/>
    <x v="0"/>
    <n v="2909"/>
    <n v="581.80000000000007"/>
    <n v="349.08"/>
    <n v="290.90000000000003"/>
    <n v="3490.8"/>
    <n v="639.98"/>
    <n v="2850.82"/>
  </r>
  <r>
    <n v="1487"/>
    <x v="0"/>
    <n v="5765"/>
    <n v="1153"/>
    <n v="691.8"/>
    <n v="576.5"/>
    <n v="6918"/>
    <n v="1268.3"/>
    <n v="5649.7"/>
  </r>
  <r>
    <n v="1489"/>
    <x v="0"/>
    <n v="4599"/>
    <n v="919.80000000000007"/>
    <n v="551.88"/>
    <n v="459.90000000000003"/>
    <n v="5518.8"/>
    <n v="1011.78"/>
    <n v="4507.0200000000004"/>
  </r>
  <r>
    <n v="1492"/>
    <x v="0"/>
    <n v="2404"/>
    <n v="480.8"/>
    <n v="288.47999999999996"/>
    <n v="240.4"/>
    <n v="2884.8"/>
    <n v="528.88"/>
    <n v="2355.92"/>
  </r>
  <r>
    <n v="1494"/>
    <x v="1"/>
    <n v="3172"/>
    <n v="634.40000000000009"/>
    <n v="380.64"/>
    <n v="317.20000000000005"/>
    <n v="3806.4"/>
    <n v="697.84"/>
    <n v="3108.56"/>
  </r>
  <r>
    <n v="1495"/>
    <x v="0"/>
    <n v="2033"/>
    <n v="406.6"/>
    <n v="243.95999999999998"/>
    <n v="203.3"/>
    <n v="2439.6"/>
    <n v="447.26"/>
    <n v="1992.34"/>
  </r>
  <r>
    <n v="1496"/>
    <x v="1"/>
    <n v="10209"/>
    <n v="2041.8000000000002"/>
    <n v="1225.08"/>
    <n v="1020.9000000000001"/>
    <n v="12250.8"/>
    <n v="2245.98"/>
    <n v="10004.82"/>
  </r>
  <r>
    <n v="1497"/>
    <x v="0"/>
    <n v="8620"/>
    <n v="1724"/>
    <n v="1034.3999999999999"/>
    <n v="862"/>
    <n v="10344"/>
    <n v="1896.3999999999999"/>
    <n v="8447.6"/>
  </r>
  <r>
    <n v="1499"/>
    <x v="2"/>
    <n v="2064"/>
    <n v="412.8"/>
    <n v="247.67999999999998"/>
    <n v="206.4"/>
    <n v="2476.8000000000002"/>
    <n v="454.08"/>
    <n v="2022.7200000000003"/>
  </r>
  <r>
    <n v="1501"/>
    <x v="1"/>
    <n v="4035"/>
    <n v="807"/>
    <n v="484.2"/>
    <n v="403.5"/>
    <n v="4842"/>
    <n v="887.7"/>
    <n v="3954.3"/>
  </r>
  <r>
    <n v="1502"/>
    <x v="1"/>
    <n v="3838"/>
    <n v="767.6"/>
    <n v="460.56"/>
    <n v="383.8"/>
    <n v="4605.6000000000004"/>
    <n v="844.36"/>
    <n v="3761.2400000000002"/>
  </r>
  <r>
    <n v="1503"/>
    <x v="0"/>
    <n v="4591"/>
    <n v="918.2"/>
    <n v="550.91999999999996"/>
    <n v="459.1"/>
    <n v="5509.2"/>
    <n v="1010.02"/>
    <n v="4499.18"/>
  </r>
  <r>
    <n v="1504"/>
    <x v="1"/>
    <n v="2561"/>
    <n v="512.20000000000005"/>
    <n v="307.32"/>
    <n v="256.10000000000002"/>
    <n v="3073.2"/>
    <n v="563.42000000000007"/>
    <n v="2509.7799999999997"/>
  </r>
  <r>
    <n v="1506"/>
    <x v="1"/>
    <n v="1563"/>
    <n v="312.60000000000002"/>
    <n v="187.56"/>
    <n v="156.30000000000001"/>
    <n v="1875.6"/>
    <n v="343.86"/>
    <n v="1531.7399999999998"/>
  </r>
  <r>
    <n v="1507"/>
    <x v="0"/>
    <n v="4898"/>
    <n v="979.6"/>
    <n v="587.76"/>
    <n v="489.8"/>
    <n v="5877.6"/>
    <n v="1077.56"/>
    <n v="4800.0400000000009"/>
  </r>
  <r>
    <n v="1509"/>
    <x v="1"/>
    <n v="4789"/>
    <n v="957.80000000000007"/>
    <n v="574.67999999999995"/>
    <n v="478.90000000000003"/>
    <n v="5746.8"/>
    <n v="1053.58"/>
    <n v="4693.22"/>
  </r>
  <r>
    <n v="1513"/>
    <x v="1"/>
    <n v="3180"/>
    <n v="636"/>
    <n v="381.59999999999997"/>
    <n v="318"/>
    <n v="3816"/>
    <n v="699.59999999999991"/>
    <n v="3116.4"/>
  </r>
  <r>
    <n v="1514"/>
    <x v="1"/>
    <n v="6549"/>
    <n v="1309.8000000000002"/>
    <n v="785.88"/>
    <n v="654.90000000000009"/>
    <n v="7858.8"/>
    <n v="1440.7800000000002"/>
    <n v="6418.02"/>
  </r>
  <r>
    <n v="1515"/>
    <x v="1"/>
    <n v="6388"/>
    <n v="1277.6000000000001"/>
    <n v="766.56"/>
    <n v="638.80000000000007"/>
    <n v="7665.6"/>
    <n v="1405.3600000000001"/>
    <n v="6260.24"/>
  </r>
  <r>
    <n v="1516"/>
    <x v="1"/>
    <n v="11244"/>
    <n v="2248.8000000000002"/>
    <n v="1349.28"/>
    <n v="1124.4000000000001"/>
    <n v="13492.8"/>
    <n v="2473.6800000000003"/>
    <n v="11019.119999999999"/>
  </r>
  <r>
    <n v="1520"/>
    <x v="1"/>
    <n v="16032"/>
    <n v="3206.4"/>
    <n v="1923.84"/>
    <n v="1603.2"/>
    <n v="19238.400000000001"/>
    <n v="3527.04"/>
    <n v="15711.36"/>
  </r>
  <r>
    <n v="1522"/>
    <x v="1"/>
    <n v="2362"/>
    <n v="472.40000000000003"/>
    <n v="283.44"/>
    <n v="236.20000000000002"/>
    <n v="2834.4"/>
    <n v="519.64"/>
    <n v="2314.7600000000002"/>
  </r>
  <r>
    <n v="1523"/>
    <x v="1"/>
    <n v="16328"/>
    <n v="3265.6000000000004"/>
    <n v="1959.36"/>
    <n v="1632.8000000000002"/>
    <n v="19593.599999999999"/>
    <n v="3592.16"/>
    <n v="16001.439999999999"/>
  </r>
  <r>
    <n v="1525"/>
    <x v="1"/>
    <n v="8376"/>
    <n v="1675.2"/>
    <n v="1005.12"/>
    <n v="837.6"/>
    <n v="10051.200000000001"/>
    <n v="1842.72"/>
    <n v="8208.4800000000014"/>
  </r>
  <r>
    <n v="1527"/>
    <x v="0"/>
    <n v="16606"/>
    <n v="3321.2000000000003"/>
    <n v="1992.72"/>
    <n v="1660.6000000000001"/>
    <n v="19927.2"/>
    <n v="3653.32"/>
    <n v="16273.880000000001"/>
  </r>
  <r>
    <n v="1529"/>
    <x v="1"/>
    <n v="8606"/>
    <n v="1721.2"/>
    <n v="1032.72"/>
    <n v="860.6"/>
    <n v="10327.200000000001"/>
    <n v="1893.3200000000002"/>
    <n v="8433.880000000001"/>
  </r>
  <r>
    <n v="1533"/>
    <x v="1"/>
    <n v="2272"/>
    <n v="454.40000000000003"/>
    <n v="272.64"/>
    <n v="227.20000000000002"/>
    <n v="2726.4"/>
    <n v="499.84000000000003"/>
    <n v="2226.56"/>
  </r>
  <r>
    <n v="1534"/>
    <x v="1"/>
    <n v="2018"/>
    <n v="403.6"/>
    <n v="242.16"/>
    <n v="201.8"/>
    <n v="2421.6"/>
    <n v="443.96000000000004"/>
    <n v="1977.6399999999999"/>
  </r>
  <r>
    <n v="1535"/>
    <x v="0"/>
    <n v="7083"/>
    <n v="1416.6000000000001"/>
    <n v="849.95999999999992"/>
    <n v="708.30000000000007"/>
    <n v="8499.6"/>
    <n v="1558.26"/>
    <n v="6941.34"/>
  </r>
  <r>
    <n v="1537"/>
    <x v="1"/>
    <n v="4084"/>
    <n v="816.80000000000007"/>
    <n v="490.08"/>
    <n v="408.40000000000003"/>
    <n v="4900.8"/>
    <n v="898.48"/>
    <n v="4002.32"/>
  </r>
  <r>
    <n v="1539"/>
    <x v="1"/>
    <n v="14411"/>
    <n v="2882.2000000000003"/>
    <n v="1729.32"/>
    <n v="1441.1000000000001"/>
    <n v="17293.2"/>
    <n v="3170.42"/>
    <n v="14122.78"/>
  </r>
  <r>
    <n v="1541"/>
    <x v="0"/>
    <n v="2308"/>
    <n v="461.6"/>
    <n v="276.95999999999998"/>
    <n v="230.8"/>
    <n v="2769.6"/>
    <n v="507.76"/>
    <n v="2261.84"/>
  </r>
  <r>
    <n v="1542"/>
    <x v="1"/>
    <n v="4841"/>
    <n v="968.2"/>
    <n v="580.91999999999996"/>
    <n v="484.1"/>
    <n v="5809.2"/>
    <n v="1065.02"/>
    <n v="4744.18"/>
  </r>
  <r>
    <n v="1543"/>
    <x v="1"/>
    <n v="4285"/>
    <n v="857"/>
    <n v="514.19999999999993"/>
    <n v="428.5"/>
    <n v="5142"/>
    <n v="942.69999999999993"/>
    <n v="4199.3"/>
  </r>
  <r>
    <n v="1544"/>
    <x v="1"/>
    <n v="9715"/>
    <n v="1943"/>
    <n v="1165.8"/>
    <n v="971.5"/>
    <n v="11658"/>
    <n v="2137.3000000000002"/>
    <n v="9520.7000000000007"/>
  </r>
  <r>
    <n v="1545"/>
    <x v="1"/>
    <n v="4320"/>
    <n v="864"/>
    <n v="518.4"/>
    <n v="432"/>
    <n v="5184"/>
    <n v="950.4"/>
    <n v="4233.6000000000004"/>
  </r>
  <r>
    <n v="1546"/>
    <x v="1"/>
    <n v="2132"/>
    <n v="426.40000000000003"/>
    <n v="255.84"/>
    <n v="213.20000000000002"/>
    <n v="2558.4"/>
    <n v="469.04"/>
    <n v="2089.36"/>
  </r>
  <r>
    <n v="1547"/>
    <x v="1"/>
    <n v="10124"/>
    <n v="2024.8000000000002"/>
    <n v="1214.8799999999999"/>
    <n v="1012.4000000000001"/>
    <n v="12148.8"/>
    <n v="2227.2799999999997"/>
    <n v="9921.52"/>
  </r>
  <r>
    <n v="1548"/>
    <x v="0"/>
    <n v="5473"/>
    <n v="1094.6000000000001"/>
    <n v="656.76"/>
    <n v="547.30000000000007"/>
    <n v="6567.6"/>
    <n v="1204.06"/>
    <n v="5363.5400000000009"/>
  </r>
  <r>
    <n v="1549"/>
    <x v="1"/>
    <n v="5207"/>
    <n v="1041.4000000000001"/>
    <n v="624.84"/>
    <n v="520.70000000000005"/>
    <n v="6248.4"/>
    <n v="1145.54"/>
    <n v="5102.8599999999997"/>
  </r>
  <r>
    <n v="1550"/>
    <x v="2"/>
    <n v="16437"/>
    <n v="3287.4"/>
    <n v="1972.4399999999998"/>
    <n v="1643.7"/>
    <n v="19724.400000000001"/>
    <n v="3616.14"/>
    <n v="16108.260000000002"/>
  </r>
  <r>
    <n v="1551"/>
    <x v="1"/>
    <n v="2296"/>
    <n v="459.20000000000005"/>
    <n v="275.52"/>
    <n v="229.60000000000002"/>
    <n v="2755.2"/>
    <n v="505.12"/>
    <n v="2250.08"/>
  </r>
  <r>
    <n v="1552"/>
    <x v="1"/>
    <n v="4069"/>
    <n v="813.80000000000007"/>
    <n v="488.28"/>
    <n v="406.90000000000003"/>
    <n v="4882.8"/>
    <n v="895.18000000000006"/>
    <n v="3987.62"/>
  </r>
  <r>
    <n v="1553"/>
    <x v="1"/>
    <n v="7441"/>
    <n v="1488.2"/>
    <n v="892.92"/>
    <n v="744.1"/>
    <n v="8929.2000000000007"/>
    <n v="1637.02"/>
    <n v="7292.18"/>
  </r>
  <r>
    <n v="1554"/>
    <x v="0"/>
    <n v="2430"/>
    <n v="486"/>
    <n v="291.59999999999997"/>
    <n v="243"/>
    <n v="2916"/>
    <n v="534.59999999999991"/>
    <n v="2381.4"/>
  </r>
  <r>
    <n v="1555"/>
    <x v="1"/>
    <n v="5878"/>
    <n v="1175.6000000000001"/>
    <n v="705.36"/>
    <n v="587.80000000000007"/>
    <n v="7053.6"/>
    <n v="1293.1600000000001"/>
    <n v="5760.4400000000005"/>
  </r>
  <r>
    <n v="1556"/>
    <x v="0"/>
    <n v="2644"/>
    <n v="528.80000000000007"/>
    <n v="317.27999999999997"/>
    <n v="264.40000000000003"/>
    <n v="3172.8"/>
    <n v="581.68000000000006"/>
    <n v="2591.12"/>
  </r>
  <r>
    <n v="1557"/>
    <x v="0"/>
    <n v="6439"/>
    <n v="1287.8000000000002"/>
    <n v="772.68"/>
    <n v="643.90000000000009"/>
    <n v="7726.8"/>
    <n v="1416.58"/>
    <n v="6310.22"/>
  </r>
  <r>
    <n v="1558"/>
    <x v="1"/>
    <n v="2451"/>
    <n v="490.20000000000005"/>
    <n v="294.12"/>
    <n v="245.10000000000002"/>
    <n v="2941.2"/>
    <n v="539.22"/>
    <n v="2401.9799999999996"/>
  </r>
  <r>
    <n v="1560"/>
    <x v="0"/>
    <n v="6392"/>
    <n v="1278.4000000000001"/>
    <n v="767.04"/>
    <n v="639.20000000000005"/>
    <n v="7670.4"/>
    <n v="1406.24"/>
    <n v="6264.16"/>
  </r>
  <r>
    <n v="1562"/>
    <x v="0"/>
    <n v="9714"/>
    <n v="1942.8000000000002"/>
    <n v="1165.68"/>
    <n v="971.40000000000009"/>
    <n v="11656.8"/>
    <n v="2137.08"/>
    <n v="9519.7199999999993"/>
  </r>
  <r>
    <n v="1563"/>
    <x v="2"/>
    <n v="6077"/>
    <n v="1215.4000000000001"/>
    <n v="729.24"/>
    <n v="607.70000000000005"/>
    <n v="7292.4"/>
    <n v="1336.94"/>
    <n v="5955.4599999999991"/>
  </r>
  <r>
    <n v="1564"/>
    <x v="1"/>
    <n v="2450"/>
    <n v="490"/>
    <n v="294"/>
    <n v="245"/>
    <n v="2940"/>
    <n v="539"/>
    <n v="2401"/>
  </r>
  <r>
    <n v="1568"/>
    <x v="0"/>
    <n v="9250"/>
    <n v="1850"/>
    <n v="1110"/>
    <n v="925"/>
    <n v="11100"/>
    <n v="2035"/>
    <n v="9065"/>
  </r>
  <r>
    <n v="1569"/>
    <x v="1"/>
    <n v="2074"/>
    <n v="414.8"/>
    <n v="248.88"/>
    <n v="207.4"/>
    <n v="2488.8000000000002"/>
    <n v="456.28"/>
    <n v="2032.5200000000002"/>
  </r>
  <r>
    <n v="1572"/>
    <x v="1"/>
    <n v="10169"/>
    <n v="2033.8000000000002"/>
    <n v="1220.28"/>
    <n v="1016.9000000000001"/>
    <n v="12202.8"/>
    <n v="2237.1800000000003"/>
    <n v="9965.619999999999"/>
  </r>
  <r>
    <n v="1573"/>
    <x v="1"/>
    <n v="4855"/>
    <n v="971"/>
    <n v="582.6"/>
    <n v="485.5"/>
    <n v="5826"/>
    <n v="1068.0999999999999"/>
    <n v="4757.8999999999996"/>
  </r>
  <r>
    <n v="1574"/>
    <x v="1"/>
    <n v="4087"/>
    <n v="817.40000000000009"/>
    <n v="490.44"/>
    <n v="408.70000000000005"/>
    <n v="4904.3999999999996"/>
    <n v="899.1400000000001"/>
    <n v="4005.2599999999993"/>
  </r>
  <r>
    <n v="1576"/>
    <x v="1"/>
    <n v="2367"/>
    <n v="473.40000000000003"/>
    <n v="284.03999999999996"/>
    <n v="236.70000000000002"/>
    <n v="2840.4"/>
    <n v="520.74"/>
    <n v="2319.66"/>
  </r>
  <r>
    <n v="1577"/>
    <x v="1"/>
    <n v="2972"/>
    <n v="594.4"/>
    <n v="356.64"/>
    <n v="297.2"/>
    <n v="3566.4"/>
    <n v="653.83999999999992"/>
    <n v="2912.5600000000004"/>
  </r>
  <r>
    <n v="1578"/>
    <x v="0"/>
    <n v="19586"/>
    <n v="3917.2000000000003"/>
    <n v="2350.3199999999997"/>
    <n v="1958.6000000000001"/>
    <n v="23503.200000000001"/>
    <n v="4308.92"/>
    <n v="19194.28"/>
  </r>
  <r>
    <n v="1580"/>
    <x v="1"/>
    <n v="5484"/>
    <n v="1096.8"/>
    <n v="658.07999999999993"/>
    <n v="548.4"/>
    <n v="6580.8"/>
    <n v="1206.48"/>
    <n v="5374.32"/>
  </r>
  <r>
    <n v="1581"/>
    <x v="1"/>
    <n v="2061"/>
    <n v="412.20000000000005"/>
    <n v="247.32"/>
    <n v="206.10000000000002"/>
    <n v="2473.1999999999998"/>
    <n v="453.42"/>
    <n v="2019.7799999999997"/>
  </r>
  <r>
    <n v="1582"/>
    <x v="0"/>
    <n v="9924"/>
    <n v="1984.8000000000002"/>
    <n v="1190.8799999999999"/>
    <n v="992.40000000000009"/>
    <n v="11908.8"/>
    <n v="2183.2799999999997"/>
    <n v="9725.52"/>
  </r>
  <r>
    <n v="1583"/>
    <x v="0"/>
    <n v="4198"/>
    <n v="839.6"/>
    <n v="503.76"/>
    <n v="419.8"/>
    <n v="5037.6000000000004"/>
    <n v="923.56"/>
    <n v="4114.0400000000009"/>
  </r>
  <r>
    <n v="1585"/>
    <x v="0"/>
    <n v="6815"/>
    <n v="1363"/>
    <n v="817.8"/>
    <n v="681.5"/>
    <n v="8178"/>
    <n v="1499.3"/>
    <n v="6678.7"/>
  </r>
  <r>
    <n v="1586"/>
    <x v="1"/>
    <n v="4723"/>
    <n v="944.6"/>
    <n v="566.76"/>
    <n v="472.3"/>
    <n v="5667.6"/>
    <n v="1039.06"/>
    <n v="4628.5400000000009"/>
  </r>
  <r>
    <n v="1587"/>
    <x v="1"/>
    <n v="6142"/>
    <n v="1228.4000000000001"/>
    <n v="737.04"/>
    <n v="614.20000000000005"/>
    <n v="7370.4"/>
    <n v="1351.24"/>
    <n v="6019.16"/>
  </r>
  <r>
    <n v="1588"/>
    <x v="0"/>
    <n v="8237"/>
    <n v="1647.4"/>
    <n v="988.43999999999994"/>
    <n v="823.7"/>
    <n v="9884.4"/>
    <n v="1812.1399999999999"/>
    <n v="8072.26"/>
  </r>
  <r>
    <n v="1590"/>
    <x v="1"/>
    <n v="8853"/>
    <n v="1770.6000000000001"/>
    <n v="1062.3599999999999"/>
    <n v="885.30000000000007"/>
    <n v="10623.6"/>
    <n v="1947.6599999999999"/>
    <n v="8675.94"/>
  </r>
  <r>
    <n v="1591"/>
    <x v="0"/>
    <n v="19331"/>
    <n v="3866.2000000000003"/>
    <n v="2319.7199999999998"/>
    <n v="1933.1000000000001"/>
    <n v="23197.200000000001"/>
    <n v="4252.82"/>
    <n v="18944.38"/>
  </r>
  <r>
    <n v="1592"/>
    <x v="1"/>
    <n v="2073"/>
    <n v="414.6"/>
    <n v="248.76"/>
    <n v="207.3"/>
    <n v="2487.6"/>
    <n v="456.06"/>
    <n v="2031.54"/>
  </r>
  <r>
    <n v="1594"/>
    <x v="1"/>
    <n v="5562"/>
    <n v="1112.4000000000001"/>
    <n v="667.43999999999994"/>
    <n v="556.20000000000005"/>
    <n v="6674.4"/>
    <n v="1223.6399999999999"/>
    <n v="5450.76"/>
  </r>
  <r>
    <n v="1595"/>
    <x v="1"/>
    <n v="19613"/>
    <n v="3922.6000000000004"/>
    <n v="2353.56"/>
    <n v="1961.3000000000002"/>
    <n v="23535.599999999999"/>
    <n v="4314.8600000000006"/>
    <n v="19220.739999999998"/>
  </r>
  <r>
    <n v="1596"/>
    <x v="1"/>
    <n v="3407"/>
    <n v="681.40000000000009"/>
    <n v="408.84"/>
    <n v="340.70000000000005"/>
    <n v="4088.4"/>
    <n v="749.54"/>
    <n v="3338.86"/>
  </r>
  <r>
    <n v="1597"/>
    <x v="1"/>
    <n v="5063"/>
    <n v="1012.6"/>
    <n v="607.55999999999995"/>
    <n v="506.3"/>
    <n v="6075.6"/>
    <n v="1113.8599999999999"/>
    <n v="4961.7400000000007"/>
  </r>
  <r>
    <n v="1598"/>
    <x v="0"/>
    <n v="4639"/>
    <n v="927.80000000000007"/>
    <n v="556.67999999999995"/>
    <n v="463.90000000000003"/>
    <n v="5566.8"/>
    <n v="1020.5799999999999"/>
    <n v="4546.22"/>
  </r>
  <r>
    <n v="1599"/>
    <x v="1"/>
    <n v="4876"/>
    <n v="975.2"/>
    <n v="585.12"/>
    <n v="487.6"/>
    <n v="5851.2"/>
    <n v="1072.72"/>
    <n v="4778.4799999999996"/>
  </r>
  <r>
    <n v="1601"/>
    <x v="1"/>
    <n v="2690"/>
    <n v="538"/>
    <n v="322.8"/>
    <n v="269"/>
    <n v="3228"/>
    <n v="591.79999999999995"/>
    <n v="2636.2"/>
  </r>
  <r>
    <n v="1602"/>
    <x v="0"/>
    <n v="17567"/>
    <n v="3513.4"/>
    <n v="2108.04"/>
    <n v="1756.7"/>
    <n v="21080.400000000001"/>
    <n v="3864.74"/>
    <n v="17215.660000000003"/>
  </r>
  <r>
    <n v="1604"/>
    <x v="1"/>
    <n v="2408"/>
    <n v="481.6"/>
    <n v="288.95999999999998"/>
    <n v="240.8"/>
    <n v="2889.6"/>
    <n v="529.76"/>
    <n v="2359.84"/>
  </r>
  <r>
    <n v="1605"/>
    <x v="1"/>
    <n v="2814"/>
    <n v="562.80000000000007"/>
    <n v="337.68"/>
    <n v="281.40000000000003"/>
    <n v="3376.8"/>
    <n v="619.08000000000004"/>
    <n v="2757.7200000000003"/>
  </r>
  <r>
    <n v="1606"/>
    <x v="1"/>
    <n v="11245"/>
    <n v="2249"/>
    <n v="1349.3999999999999"/>
    <n v="1124.5"/>
    <n v="13494"/>
    <n v="2473.8999999999996"/>
    <n v="11020.1"/>
  </r>
  <r>
    <n v="1607"/>
    <x v="1"/>
    <n v="3312"/>
    <n v="662.40000000000009"/>
    <n v="397.44"/>
    <n v="331.20000000000005"/>
    <n v="3974.4"/>
    <n v="728.6400000000001"/>
    <n v="3245.76"/>
  </r>
  <r>
    <n v="1608"/>
    <x v="1"/>
    <n v="19049"/>
    <n v="3809.8"/>
    <n v="2285.88"/>
    <n v="1904.9"/>
    <n v="22858.799999999999"/>
    <n v="4190.7800000000007"/>
    <n v="18668.019999999997"/>
  </r>
  <r>
    <n v="1609"/>
    <x v="1"/>
    <n v="2141"/>
    <n v="428.20000000000005"/>
    <n v="256.92"/>
    <n v="214.10000000000002"/>
    <n v="2569.1999999999998"/>
    <n v="471.02000000000004"/>
    <n v="2098.1799999999998"/>
  </r>
  <r>
    <n v="1611"/>
    <x v="1"/>
    <n v="5769"/>
    <n v="1153.8"/>
    <n v="692.28"/>
    <n v="576.9"/>
    <n v="6922.8"/>
    <n v="1269.1799999999998"/>
    <n v="5653.6200000000008"/>
  </r>
  <r>
    <n v="1612"/>
    <x v="0"/>
    <n v="4385"/>
    <n v="877"/>
    <n v="526.19999999999993"/>
    <n v="438.5"/>
    <n v="5262"/>
    <n v="964.69999999999993"/>
    <n v="4297.3"/>
  </r>
  <r>
    <n v="1613"/>
    <x v="0"/>
    <n v="5332"/>
    <n v="1066.4000000000001"/>
    <n v="639.84"/>
    <n v="533.20000000000005"/>
    <n v="6398.4"/>
    <n v="1173.04"/>
    <n v="5225.3599999999997"/>
  </r>
  <r>
    <n v="1614"/>
    <x v="1"/>
    <n v="4663"/>
    <n v="932.6"/>
    <n v="559.55999999999995"/>
    <n v="466.3"/>
    <n v="5595.6"/>
    <n v="1025.8599999999999"/>
    <n v="4569.7400000000007"/>
  </r>
  <r>
    <n v="1615"/>
    <x v="1"/>
    <n v="4724"/>
    <n v="944.80000000000007"/>
    <n v="566.88"/>
    <n v="472.40000000000003"/>
    <n v="5668.8"/>
    <n v="1039.28"/>
    <n v="4629.5200000000004"/>
  </r>
  <r>
    <n v="1617"/>
    <x v="1"/>
    <n v="3211"/>
    <n v="642.20000000000005"/>
    <n v="385.32"/>
    <n v="321.10000000000002"/>
    <n v="3853.2"/>
    <n v="706.42000000000007"/>
    <n v="3146.7799999999997"/>
  </r>
  <r>
    <n v="1618"/>
    <x v="1"/>
    <n v="5377"/>
    <n v="1075.4000000000001"/>
    <n v="645.24"/>
    <n v="537.70000000000005"/>
    <n v="6452.4"/>
    <n v="1182.94"/>
    <n v="5269.4599999999991"/>
  </r>
  <r>
    <n v="1619"/>
    <x v="1"/>
    <n v="4066"/>
    <n v="813.2"/>
    <n v="487.91999999999996"/>
    <n v="406.6"/>
    <n v="4879.2"/>
    <n v="894.52"/>
    <n v="3984.68"/>
  </r>
  <r>
    <n v="1621"/>
    <x v="1"/>
    <n v="5208"/>
    <n v="1041.6000000000001"/>
    <n v="624.95999999999992"/>
    <n v="520.80000000000007"/>
    <n v="6249.6"/>
    <n v="1145.76"/>
    <n v="5103.84"/>
  </r>
  <r>
    <n v="1622"/>
    <x v="1"/>
    <n v="4877"/>
    <n v="975.40000000000009"/>
    <n v="585.24"/>
    <n v="487.70000000000005"/>
    <n v="5852.4"/>
    <n v="1072.94"/>
    <n v="4779.4599999999991"/>
  </r>
  <r>
    <n v="1623"/>
    <x v="1"/>
    <n v="3117"/>
    <n v="623.40000000000009"/>
    <n v="374.03999999999996"/>
    <n v="311.70000000000005"/>
    <n v="3740.4"/>
    <n v="685.74"/>
    <n v="3054.66"/>
  </r>
  <r>
    <n v="1624"/>
    <x v="0"/>
    <n v="1569"/>
    <n v="313.8"/>
    <n v="188.28"/>
    <n v="156.9"/>
    <n v="1882.8"/>
    <n v="345.18"/>
    <n v="1537.62"/>
  </r>
  <r>
    <n v="1625"/>
    <x v="2"/>
    <n v="19658"/>
    <n v="3931.6000000000004"/>
    <n v="2358.96"/>
    <n v="1965.8000000000002"/>
    <n v="23589.599999999999"/>
    <n v="4324.76"/>
    <n v="19264.839999999997"/>
  </r>
  <r>
    <n v="1627"/>
    <x v="1"/>
    <n v="3069"/>
    <n v="613.80000000000007"/>
    <n v="368.28"/>
    <n v="306.90000000000003"/>
    <n v="3682.8"/>
    <n v="675.18000000000006"/>
    <n v="3007.62"/>
  </r>
  <r>
    <n v="1628"/>
    <x v="1"/>
    <n v="10435"/>
    <n v="2087"/>
    <n v="1252.2"/>
    <n v="1043.5"/>
    <n v="12522"/>
    <n v="2295.6999999999998"/>
    <n v="10226.299999999999"/>
  </r>
  <r>
    <n v="1630"/>
    <x v="1"/>
    <n v="4148"/>
    <n v="829.6"/>
    <n v="497.76"/>
    <n v="414.8"/>
    <n v="4977.6000000000004"/>
    <n v="912.56"/>
    <n v="4065.0400000000004"/>
  </r>
  <r>
    <n v="1631"/>
    <x v="1"/>
    <n v="5768"/>
    <n v="1153.6000000000001"/>
    <n v="692.16"/>
    <n v="576.80000000000007"/>
    <n v="6921.6"/>
    <n v="1268.96"/>
    <n v="5652.64"/>
  </r>
  <r>
    <n v="1633"/>
    <x v="1"/>
    <n v="5042"/>
    <n v="1008.4000000000001"/>
    <n v="605.04"/>
    <n v="504.20000000000005"/>
    <n v="6050.4"/>
    <n v="1109.24"/>
    <n v="4941.16"/>
  </r>
  <r>
    <n v="1635"/>
    <x v="1"/>
    <n v="5770"/>
    <n v="1154"/>
    <n v="692.4"/>
    <n v="577"/>
    <n v="6924"/>
    <n v="1269.4000000000001"/>
    <n v="5654.6"/>
  </r>
  <r>
    <n v="1638"/>
    <x v="1"/>
    <n v="7756"/>
    <n v="1551.2"/>
    <n v="930.71999999999991"/>
    <n v="775.6"/>
    <n v="9307.2000000000007"/>
    <n v="1706.32"/>
    <n v="7600.880000000001"/>
  </r>
  <r>
    <n v="1639"/>
    <x v="0"/>
    <n v="10306"/>
    <n v="2061.2000000000003"/>
    <n v="1236.72"/>
    <n v="1030.6000000000001"/>
    <n v="12367.2"/>
    <n v="2267.3200000000002"/>
    <n v="10099.880000000001"/>
  </r>
  <r>
    <n v="1640"/>
    <x v="1"/>
    <n v="3936"/>
    <n v="787.2"/>
    <n v="472.32"/>
    <n v="393.6"/>
    <n v="4723.2"/>
    <n v="865.92000000000007"/>
    <n v="3857.2799999999997"/>
  </r>
  <r>
    <n v="1641"/>
    <x v="1"/>
    <n v="7945"/>
    <n v="1589"/>
    <n v="953.4"/>
    <n v="794.5"/>
    <n v="9534"/>
    <n v="1747.9"/>
    <n v="7786.1"/>
  </r>
  <r>
    <n v="1642"/>
    <x v="2"/>
    <n v="5743"/>
    <n v="1148.6000000000001"/>
    <n v="689.16"/>
    <n v="574.30000000000007"/>
    <n v="6891.6"/>
    <n v="1263.46"/>
    <n v="5628.14"/>
  </r>
  <r>
    <n v="1644"/>
    <x v="1"/>
    <n v="15202"/>
    <n v="3040.4"/>
    <n v="1824.24"/>
    <n v="1520.2"/>
    <n v="18242.400000000001"/>
    <n v="3344.44"/>
    <n v="14897.960000000001"/>
  </r>
  <r>
    <n v="1645"/>
    <x v="0"/>
    <n v="5440"/>
    <n v="1088"/>
    <n v="652.79999999999995"/>
    <n v="544"/>
    <n v="6528"/>
    <n v="1196.8"/>
    <n v="5331.2"/>
  </r>
  <r>
    <n v="1646"/>
    <x v="1"/>
    <n v="3760"/>
    <n v="752"/>
    <n v="451.2"/>
    <n v="376"/>
    <n v="4512"/>
    <n v="827.2"/>
    <n v="3684.8"/>
  </r>
  <r>
    <n v="1647"/>
    <x v="1"/>
    <n v="3517"/>
    <n v="703.40000000000009"/>
    <n v="422.03999999999996"/>
    <n v="351.70000000000005"/>
    <n v="4220.3999999999996"/>
    <n v="773.74"/>
    <n v="3446.66"/>
  </r>
  <r>
    <n v="1648"/>
    <x v="1"/>
    <n v="2580"/>
    <n v="516"/>
    <n v="309.59999999999997"/>
    <n v="258"/>
    <n v="3096"/>
    <n v="567.59999999999991"/>
    <n v="2528.4"/>
  </r>
  <r>
    <n v="1649"/>
    <x v="1"/>
    <n v="2166"/>
    <n v="433.20000000000005"/>
    <n v="259.92"/>
    <n v="216.60000000000002"/>
    <n v="2599.1999999999998"/>
    <n v="476.52000000000004"/>
    <n v="2122.6799999999998"/>
  </r>
  <r>
    <n v="1650"/>
    <x v="0"/>
    <n v="5869"/>
    <n v="1173.8"/>
    <n v="704.28"/>
    <n v="586.9"/>
    <n v="7042.8"/>
    <n v="1291.1799999999998"/>
    <n v="5751.6200000000008"/>
  </r>
  <r>
    <n v="1651"/>
    <x v="1"/>
    <n v="8008"/>
    <n v="1601.6000000000001"/>
    <n v="960.95999999999992"/>
    <n v="800.80000000000007"/>
    <n v="9609.6"/>
    <n v="1761.76"/>
    <n v="7847.84"/>
  </r>
  <r>
    <n v="1653"/>
    <x v="1"/>
    <n v="5206"/>
    <n v="1041.2"/>
    <n v="624.72"/>
    <n v="520.6"/>
    <n v="6247.2"/>
    <n v="1145.3200000000002"/>
    <n v="5101.8799999999992"/>
  </r>
  <r>
    <n v="1654"/>
    <x v="1"/>
    <n v="5295"/>
    <n v="1059"/>
    <n v="635.4"/>
    <n v="529.5"/>
    <n v="6354"/>
    <n v="1164.9000000000001"/>
    <n v="5189.1000000000004"/>
  </r>
  <r>
    <n v="1655"/>
    <x v="1"/>
    <n v="16413"/>
    <n v="3282.6000000000004"/>
    <n v="1969.56"/>
    <n v="1641.3000000000002"/>
    <n v="19695.599999999999"/>
    <n v="3610.86"/>
    <n v="16084.739999999998"/>
  </r>
  <r>
    <n v="1656"/>
    <x v="1"/>
    <n v="13269"/>
    <n v="2653.8"/>
    <n v="1592.28"/>
    <n v="1326.9"/>
    <n v="15922.8"/>
    <n v="2919.1800000000003"/>
    <n v="13003.619999999999"/>
  </r>
  <r>
    <n v="1657"/>
    <x v="0"/>
    <n v="2783"/>
    <n v="556.6"/>
    <n v="333.96"/>
    <n v="278.3"/>
    <n v="3339.6"/>
    <n v="612.26"/>
    <n v="2727.34"/>
  </r>
  <r>
    <n v="1658"/>
    <x v="1"/>
    <n v="5433"/>
    <n v="1086.6000000000001"/>
    <n v="651.95999999999992"/>
    <n v="543.30000000000007"/>
    <n v="6519.6"/>
    <n v="1195.26"/>
    <n v="5324.34"/>
  </r>
  <r>
    <n v="1659"/>
    <x v="1"/>
    <n v="2013"/>
    <n v="402.6"/>
    <n v="241.56"/>
    <n v="201.3"/>
    <n v="2415.6"/>
    <n v="442.86"/>
    <n v="1972.7399999999998"/>
  </r>
  <r>
    <n v="1661"/>
    <x v="1"/>
    <n v="13966"/>
    <n v="2793.2000000000003"/>
    <n v="1675.9199999999998"/>
    <n v="1396.6000000000001"/>
    <n v="16759.2"/>
    <n v="3072.52"/>
    <n v="13686.68"/>
  </r>
  <r>
    <n v="1662"/>
    <x v="1"/>
    <n v="4374"/>
    <n v="874.80000000000007"/>
    <n v="524.88"/>
    <n v="437.40000000000003"/>
    <n v="5248.8"/>
    <n v="962.28"/>
    <n v="4286.5200000000004"/>
  </r>
  <r>
    <n v="1664"/>
    <x v="1"/>
    <n v="6842"/>
    <n v="1368.4"/>
    <n v="821.04"/>
    <n v="684.2"/>
    <n v="8210.4"/>
    <n v="1505.24"/>
    <n v="6705.16"/>
  </r>
  <r>
    <n v="1665"/>
    <x v="1"/>
    <n v="17426"/>
    <n v="3485.2000000000003"/>
    <n v="2091.12"/>
    <n v="1742.6000000000001"/>
    <n v="20911.2"/>
    <n v="3833.7200000000003"/>
    <n v="17077.48"/>
  </r>
  <r>
    <n v="1666"/>
    <x v="1"/>
    <n v="17603"/>
    <n v="3520.6000000000004"/>
    <n v="2112.36"/>
    <n v="1760.3000000000002"/>
    <n v="21123.599999999999"/>
    <n v="3872.6600000000003"/>
    <n v="17250.939999999999"/>
  </r>
  <r>
    <n v="1667"/>
    <x v="0"/>
    <n v="4581"/>
    <n v="916.2"/>
    <n v="549.72"/>
    <n v="458.1"/>
    <n v="5497.2"/>
    <n v="1007.82"/>
    <n v="4489.38"/>
  </r>
  <r>
    <n v="1668"/>
    <x v="1"/>
    <n v="4735"/>
    <n v="947"/>
    <n v="568.19999999999993"/>
    <n v="473.5"/>
    <n v="5682"/>
    <n v="1041.6999999999998"/>
    <n v="4640.3"/>
  </r>
  <r>
    <n v="1669"/>
    <x v="0"/>
    <n v="4187"/>
    <n v="837.40000000000009"/>
    <n v="502.44"/>
    <n v="418.70000000000005"/>
    <n v="5024.3999999999996"/>
    <n v="921.1400000000001"/>
    <n v="4103.2599999999993"/>
  </r>
  <r>
    <n v="1670"/>
    <x v="0"/>
    <n v="5505"/>
    <n v="1101"/>
    <n v="660.6"/>
    <n v="550.5"/>
    <n v="6606"/>
    <n v="1211.0999999999999"/>
    <n v="5394.9"/>
  </r>
  <r>
    <n v="1671"/>
    <x v="1"/>
    <n v="5470"/>
    <n v="1094"/>
    <n v="656.4"/>
    <n v="547"/>
    <n v="6564"/>
    <n v="1203.4000000000001"/>
    <n v="5360.6"/>
  </r>
  <r>
    <n v="1673"/>
    <x v="0"/>
    <n v="5476"/>
    <n v="1095.2"/>
    <n v="657.12"/>
    <n v="547.6"/>
    <n v="6571.2"/>
    <n v="1204.72"/>
    <n v="5366.48"/>
  </r>
  <r>
    <n v="1674"/>
    <x v="1"/>
    <n v="2587"/>
    <n v="517.4"/>
    <n v="310.44"/>
    <n v="258.7"/>
    <n v="3104.4"/>
    <n v="569.14"/>
    <n v="2535.2600000000002"/>
  </r>
  <r>
    <n v="1675"/>
    <x v="1"/>
    <n v="2440"/>
    <n v="488"/>
    <n v="292.8"/>
    <n v="244"/>
    <n v="2928"/>
    <n v="536.79999999999995"/>
    <n v="2391.1999999999998"/>
  </r>
  <r>
    <n v="1676"/>
    <x v="0"/>
    <n v="15972"/>
    <n v="3194.4"/>
    <n v="1916.6399999999999"/>
    <n v="1597.2"/>
    <n v="19166.400000000001"/>
    <n v="3513.84"/>
    <n v="15652.560000000001"/>
  </r>
  <r>
    <n v="1677"/>
    <x v="1"/>
    <n v="15379"/>
    <n v="3075.8"/>
    <n v="1845.48"/>
    <n v="1537.9"/>
    <n v="18454.8"/>
    <n v="3383.38"/>
    <n v="15071.419999999998"/>
  </r>
  <r>
    <n v="1678"/>
    <x v="0"/>
    <n v="7082"/>
    <n v="1416.4"/>
    <n v="849.83999999999992"/>
    <n v="708.2"/>
    <n v="8498.4"/>
    <n v="1558.04"/>
    <n v="6940.36"/>
  </r>
  <r>
    <n v="1680"/>
    <x v="0"/>
    <n v="2728"/>
    <n v="545.6"/>
    <n v="327.36"/>
    <n v="272.8"/>
    <n v="3273.6"/>
    <n v="600.16000000000008"/>
    <n v="2673.4399999999996"/>
  </r>
  <r>
    <n v="1681"/>
    <x v="0"/>
    <n v="5368"/>
    <n v="1073.6000000000001"/>
    <n v="644.16"/>
    <n v="536.80000000000007"/>
    <n v="6441.6"/>
    <n v="1180.96"/>
    <n v="5260.64"/>
  </r>
  <r>
    <n v="1682"/>
    <x v="1"/>
    <n v="5347"/>
    <n v="1069.4000000000001"/>
    <n v="641.64"/>
    <n v="534.70000000000005"/>
    <n v="6416.4"/>
    <n v="1176.3400000000001"/>
    <n v="5240.0599999999995"/>
  </r>
  <r>
    <n v="1683"/>
    <x v="2"/>
    <n v="3195"/>
    <n v="639"/>
    <n v="383.4"/>
    <n v="319.5"/>
    <n v="3834"/>
    <n v="702.9"/>
    <n v="3131.1"/>
  </r>
  <r>
    <n v="1684"/>
    <x v="1"/>
    <n v="3989"/>
    <n v="797.80000000000007"/>
    <n v="478.68"/>
    <n v="398.90000000000003"/>
    <n v="4786.8"/>
    <n v="877.58"/>
    <n v="3909.2200000000003"/>
  </r>
  <r>
    <n v="1687"/>
    <x v="1"/>
    <n v="3306"/>
    <n v="661.2"/>
    <n v="396.71999999999997"/>
    <n v="330.6"/>
    <n v="3967.2"/>
    <n v="727.31999999999994"/>
    <n v="3239.88"/>
  </r>
  <r>
    <n v="1689"/>
    <x v="1"/>
    <n v="7005"/>
    <n v="1401"/>
    <n v="840.6"/>
    <n v="700.5"/>
    <n v="8406"/>
    <n v="1541.1"/>
    <n v="6864.9"/>
  </r>
  <r>
    <n v="1691"/>
    <x v="0"/>
    <n v="2655"/>
    <n v="531"/>
    <n v="318.59999999999997"/>
    <n v="265.5"/>
    <n v="3186"/>
    <n v="584.09999999999991"/>
    <n v="2601.9"/>
  </r>
  <r>
    <n v="1692"/>
    <x v="1"/>
    <n v="1393"/>
    <n v="278.60000000000002"/>
    <n v="167.16"/>
    <n v="139.30000000000001"/>
    <n v="1671.6"/>
    <n v="306.46000000000004"/>
    <n v="1365.1399999999999"/>
  </r>
  <r>
    <n v="1693"/>
    <x v="1"/>
    <n v="2570"/>
    <n v="514"/>
    <n v="308.39999999999998"/>
    <n v="257"/>
    <n v="3084"/>
    <n v="565.4"/>
    <n v="2518.6"/>
  </r>
  <r>
    <n v="1694"/>
    <x v="1"/>
    <n v="3537"/>
    <n v="707.40000000000009"/>
    <n v="424.44"/>
    <n v="353.70000000000005"/>
    <n v="4244.3999999999996"/>
    <n v="778.1400000000001"/>
    <n v="3466.2599999999993"/>
  </r>
  <r>
    <n v="1696"/>
    <x v="1"/>
    <n v="3986"/>
    <n v="797.2"/>
    <n v="478.32"/>
    <n v="398.6"/>
    <n v="4783.2"/>
    <n v="876.92000000000007"/>
    <n v="3906.2799999999997"/>
  </r>
  <r>
    <n v="1697"/>
    <x v="1"/>
    <n v="10883"/>
    <n v="2176.6"/>
    <n v="1305.96"/>
    <n v="1088.3"/>
    <n v="13059.6"/>
    <n v="2394.2600000000002"/>
    <n v="10665.34"/>
  </r>
  <r>
    <n v="1698"/>
    <x v="1"/>
    <n v="2028"/>
    <n v="405.6"/>
    <n v="243.35999999999999"/>
    <n v="202.8"/>
    <n v="2433.6"/>
    <n v="446.15999999999997"/>
    <n v="1987.44"/>
  </r>
  <r>
    <n v="1700"/>
    <x v="0"/>
    <n v="9525"/>
    <n v="1905"/>
    <n v="1143"/>
    <n v="952.5"/>
    <n v="11430"/>
    <n v="2095.5"/>
    <n v="9334.5"/>
  </r>
  <r>
    <n v="1701"/>
    <x v="1"/>
    <n v="2929"/>
    <n v="585.80000000000007"/>
    <n v="351.47999999999996"/>
    <n v="292.90000000000003"/>
    <n v="3514.8"/>
    <n v="644.38"/>
    <n v="2870.42"/>
  </r>
  <r>
    <n v="1702"/>
    <x v="0"/>
    <n v="2275"/>
    <n v="455"/>
    <n v="273"/>
    <n v="227.5"/>
    <n v="2730"/>
    <n v="500.5"/>
    <n v="2229.5"/>
  </r>
  <r>
    <n v="1703"/>
    <x v="1"/>
    <n v="7879"/>
    <n v="1575.8000000000002"/>
    <n v="945.48"/>
    <n v="787.90000000000009"/>
    <n v="9454.7999999999993"/>
    <n v="1733.38"/>
    <n v="7721.4199999999992"/>
  </r>
  <r>
    <n v="1704"/>
    <x v="1"/>
    <n v="4930"/>
    <n v="986"/>
    <n v="591.6"/>
    <n v="493"/>
    <n v="5916"/>
    <n v="1084.5999999999999"/>
    <n v="4831.3999999999996"/>
  </r>
  <r>
    <n v="1706"/>
    <x v="0"/>
    <n v="7847"/>
    <n v="1569.4"/>
    <n v="941.64"/>
    <n v="784.7"/>
    <n v="9416.4"/>
    <n v="1726.3400000000001"/>
    <n v="7690.0599999999995"/>
  </r>
  <r>
    <n v="1707"/>
    <x v="1"/>
    <n v="4401"/>
    <n v="880.2"/>
    <n v="528.12"/>
    <n v="440.1"/>
    <n v="5281.2"/>
    <n v="968.22"/>
    <n v="4312.9799999999996"/>
  </r>
  <r>
    <n v="1708"/>
    <x v="0"/>
    <n v="9241"/>
    <n v="1848.2"/>
    <n v="1108.9199999999998"/>
    <n v="924.1"/>
    <n v="11089.2"/>
    <n v="2033.02"/>
    <n v="9056.18"/>
  </r>
  <r>
    <n v="1709"/>
    <x v="1"/>
    <n v="2974"/>
    <n v="594.80000000000007"/>
    <n v="356.88"/>
    <n v="297.40000000000003"/>
    <n v="3568.8"/>
    <n v="654.28"/>
    <n v="2914.5200000000004"/>
  </r>
  <r>
    <n v="1710"/>
    <x v="0"/>
    <n v="4502"/>
    <n v="900.40000000000009"/>
    <n v="540.24"/>
    <n v="450.20000000000005"/>
    <n v="5402.4"/>
    <n v="990.44"/>
    <n v="4411.9599999999991"/>
  </r>
  <r>
    <n v="1712"/>
    <x v="1"/>
    <n v="10748"/>
    <n v="2149.6"/>
    <n v="1289.76"/>
    <n v="1074.8"/>
    <n v="12897.6"/>
    <n v="2364.56"/>
    <n v="10533.04"/>
  </r>
  <r>
    <n v="1714"/>
    <x v="2"/>
    <n v="1555"/>
    <n v="311"/>
    <n v="186.6"/>
    <n v="155.5"/>
    <n v="1866"/>
    <n v="342.1"/>
    <n v="1523.9"/>
  </r>
  <r>
    <n v="1716"/>
    <x v="0"/>
    <n v="12936"/>
    <n v="2587.2000000000003"/>
    <n v="1552.32"/>
    <n v="1293.6000000000001"/>
    <n v="15523.2"/>
    <n v="2845.92"/>
    <n v="12677.28"/>
  </r>
  <r>
    <n v="1718"/>
    <x v="1"/>
    <n v="2305"/>
    <n v="461"/>
    <n v="276.59999999999997"/>
    <n v="230.5"/>
    <n v="2766"/>
    <n v="507.09999999999997"/>
    <n v="2258.9"/>
  </r>
  <r>
    <n v="1719"/>
    <x v="1"/>
    <n v="16704"/>
    <n v="3340.8"/>
    <n v="2004.48"/>
    <n v="1670.4"/>
    <n v="20044.8"/>
    <n v="3674.88"/>
    <n v="16369.919999999998"/>
  </r>
  <r>
    <n v="1720"/>
    <x v="1"/>
    <n v="3433"/>
    <n v="686.6"/>
    <n v="411.96"/>
    <n v="343.3"/>
    <n v="4119.6000000000004"/>
    <n v="755.26"/>
    <n v="3364.34"/>
  </r>
  <r>
    <n v="1721"/>
    <x v="1"/>
    <n v="3477"/>
    <n v="695.40000000000009"/>
    <n v="417.24"/>
    <n v="347.70000000000005"/>
    <n v="4172.3999999999996"/>
    <n v="764.94"/>
    <n v="3407.4599999999996"/>
  </r>
  <r>
    <n v="1722"/>
    <x v="2"/>
    <n v="6430"/>
    <n v="1286"/>
    <n v="771.6"/>
    <n v="643"/>
    <n v="7716"/>
    <n v="1414.6"/>
    <n v="6301.4"/>
  </r>
  <r>
    <n v="1724"/>
    <x v="1"/>
    <n v="6516"/>
    <n v="1303.2"/>
    <n v="781.92"/>
    <n v="651.6"/>
    <n v="7819.2"/>
    <n v="1433.52"/>
    <n v="6385.68"/>
  </r>
  <r>
    <n v="1725"/>
    <x v="1"/>
    <n v="3907"/>
    <n v="781.40000000000009"/>
    <n v="468.84"/>
    <n v="390.70000000000005"/>
    <n v="4688.3999999999996"/>
    <n v="859.54"/>
    <n v="3828.8599999999997"/>
  </r>
  <r>
    <n v="1727"/>
    <x v="1"/>
    <n v="5562"/>
    <n v="1112.4000000000001"/>
    <n v="667.43999999999994"/>
    <n v="556.20000000000005"/>
    <n v="6674.4"/>
    <n v="1223.6399999999999"/>
    <n v="5450.76"/>
  </r>
  <r>
    <n v="1728"/>
    <x v="1"/>
    <n v="6883"/>
    <n v="1376.6000000000001"/>
    <n v="825.95999999999992"/>
    <n v="688.30000000000007"/>
    <n v="8259.6"/>
    <n v="1514.26"/>
    <n v="6745.34"/>
  </r>
  <r>
    <n v="1729"/>
    <x v="1"/>
    <n v="2862"/>
    <n v="572.4"/>
    <n v="343.44"/>
    <n v="286.2"/>
    <n v="3434.4"/>
    <n v="629.64"/>
    <n v="2804.76"/>
  </r>
  <r>
    <n v="1731"/>
    <x v="0"/>
    <n v="4978"/>
    <n v="995.6"/>
    <n v="597.36"/>
    <n v="497.8"/>
    <n v="5973.6"/>
    <n v="1095.1600000000001"/>
    <n v="4878.4400000000005"/>
  </r>
  <r>
    <n v="1732"/>
    <x v="0"/>
    <n v="10368"/>
    <n v="2073.6"/>
    <n v="1244.1599999999999"/>
    <n v="1036.8"/>
    <n v="12441.6"/>
    <n v="2280.96"/>
    <n v="10160.64"/>
  </r>
  <r>
    <n v="1733"/>
    <x v="0"/>
    <n v="6134"/>
    <n v="1226.8"/>
    <n v="736.07999999999993"/>
    <n v="613.4"/>
    <n v="7360.8"/>
    <n v="1349.48"/>
    <n v="6011.32"/>
  </r>
  <r>
    <n v="1734"/>
    <x v="0"/>
    <n v="6735"/>
    <n v="1347"/>
    <n v="808.19999999999993"/>
    <n v="673.5"/>
    <n v="8082"/>
    <n v="1481.6999999999998"/>
    <n v="6600.3"/>
  </r>
  <r>
    <n v="1735"/>
    <x v="1"/>
    <n v="3295"/>
    <n v="659"/>
    <n v="395.4"/>
    <n v="329.5"/>
    <n v="3954"/>
    <n v="724.9"/>
    <n v="3229.1"/>
  </r>
  <r>
    <n v="1736"/>
    <x v="1"/>
    <n v="5238"/>
    <n v="1047.6000000000001"/>
    <n v="628.55999999999995"/>
    <n v="523.80000000000007"/>
    <n v="6285.6"/>
    <n v="1152.3600000000001"/>
    <n v="5133.24"/>
  </r>
  <r>
    <n v="1737"/>
    <x v="1"/>
    <n v="6472"/>
    <n v="1294.4000000000001"/>
    <n v="776.64"/>
    <n v="647.20000000000005"/>
    <n v="7766.4"/>
    <n v="1423.8400000000001"/>
    <n v="6342.5599999999995"/>
  </r>
  <r>
    <n v="1739"/>
    <x v="0"/>
    <n v="9610"/>
    <n v="1922"/>
    <n v="1153.2"/>
    <n v="961"/>
    <n v="11532"/>
    <n v="2114.1999999999998"/>
    <n v="9417.7999999999993"/>
  </r>
  <r>
    <n v="1740"/>
    <x v="0"/>
    <n v="19833"/>
    <n v="3966.6000000000004"/>
    <n v="2379.96"/>
    <n v="1983.3000000000002"/>
    <n v="23799.599999999999"/>
    <n v="4363.26"/>
    <n v="19436.339999999997"/>
  </r>
  <r>
    <n v="1744"/>
    <x v="2"/>
    <n v="9756"/>
    <n v="1951.2"/>
    <n v="1170.72"/>
    <n v="975.6"/>
    <n v="11707.2"/>
    <n v="2146.3200000000002"/>
    <n v="9560.880000000001"/>
  </r>
  <r>
    <n v="1745"/>
    <x v="1"/>
    <n v="4968"/>
    <n v="993.6"/>
    <n v="596.16"/>
    <n v="496.8"/>
    <n v="5961.6"/>
    <n v="1092.96"/>
    <n v="4868.6400000000003"/>
  </r>
  <r>
    <n v="1746"/>
    <x v="2"/>
    <n v="2145"/>
    <n v="429"/>
    <n v="257.39999999999998"/>
    <n v="214.5"/>
    <n v="2574"/>
    <n v="471.9"/>
    <n v="2102.1"/>
  </r>
  <r>
    <n v="1747"/>
    <x v="2"/>
    <n v="2180"/>
    <n v="436"/>
    <n v="261.59999999999997"/>
    <n v="218"/>
    <n v="2616"/>
    <n v="479.59999999999997"/>
    <n v="2136.4"/>
  </r>
  <r>
    <n v="1749"/>
    <x v="0"/>
    <n v="8346"/>
    <n v="1669.2"/>
    <n v="1001.52"/>
    <n v="834.6"/>
    <n v="10015.200000000001"/>
    <n v="1836.12"/>
    <n v="8179.0800000000008"/>
  </r>
  <r>
    <n v="1751"/>
    <x v="1"/>
    <n v="3445"/>
    <n v="689"/>
    <n v="413.4"/>
    <n v="344.5"/>
    <n v="4134"/>
    <n v="757.9"/>
    <n v="3376.1"/>
  </r>
  <r>
    <n v="1752"/>
    <x v="0"/>
    <n v="2760"/>
    <n v="552"/>
    <n v="331.2"/>
    <n v="276"/>
    <n v="3312"/>
    <n v="607.20000000000005"/>
    <n v="2704.8"/>
  </r>
  <r>
    <n v="1753"/>
    <x v="1"/>
    <n v="6294"/>
    <n v="1258.8000000000002"/>
    <n v="755.28"/>
    <n v="629.40000000000009"/>
    <n v="7552.8"/>
    <n v="1384.68"/>
    <n v="6168.12"/>
  </r>
  <r>
    <n v="1754"/>
    <x v="0"/>
    <n v="7140"/>
    <n v="1428"/>
    <n v="856.8"/>
    <n v="714"/>
    <n v="8568"/>
    <n v="1570.8"/>
    <n v="6997.2"/>
  </r>
  <r>
    <n v="1755"/>
    <x v="1"/>
    <n v="2932"/>
    <n v="586.4"/>
    <n v="351.84"/>
    <n v="293.2"/>
    <n v="3518.4"/>
    <n v="645.04"/>
    <n v="2873.36"/>
  </r>
  <r>
    <n v="1756"/>
    <x v="0"/>
    <n v="5147"/>
    <n v="1029.4000000000001"/>
    <n v="617.64"/>
    <n v="514.70000000000005"/>
    <n v="6176.4"/>
    <n v="1132.3400000000001"/>
    <n v="5044.0599999999995"/>
  </r>
  <r>
    <n v="1757"/>
    <x v="0"/>
    <n v="4507"/>
    <n v="901.40000000000009"/>
    <n v="540.84"/>
    <n v="450.70000000000005"/>
    <n v="5408.4"/>
    <n v="991.54000000000008"/>
    <n v="4416.8599999999997"/>
  </r>
  <r>
    <n v="1758"/>
    <x v="0"/>
    <n v="8564"/>
    <n v="1712.8000000000002"/>
    <n v="1027.68"/>
    <n v="856.40000000000009"/>
    <n v="10276.799999999999"/>
    <n v="1884.0800000000002"/>
    <n v="8392.7199999999993"/>
  </r>
  <r>
    <n v="1760"/>
    <x v="1"/>
    <n v="2468"/>
    <n v="493.6"/>
    <n v="296.15999999999997"/>
    <n v="246.8"/>
    <n v="2961.6"/>
    <n v="542.96"/>
    <n v="2418.64"/>
  </r>
  <r>
    <n v="1761"/>
    <x v="0"/>
    <n v="8161"/>
    <n v="1632.2"/>
    <n v="979.31999999999994"/>
    <n v="816.1"/>
    <n v="9793.2000000000007"/>
    <n v="1795.42"/>
    <n v="7997.7800000000007"/>
  </r>
  <r>
    <n v="1762"/>
    <x v="1"/>
    <n v="2109"/>
    <n v="421.8"/>
    <n v="253.07999999999998"/>
    <n v="210.9"/>
    <n v="2530.8000000000002"/>
    <n v="463.98"/>
    <n v="2066.8200000000002"/>
  </r>
  <r>
    <n v="1763"/>
    <x v="1"/>
    <n v="5294"/>
    <n v="1058.8"/>
    <n v="635.28"/>
    <n v="529.4"/>
    <n v="6352.8"/>
    <n v="1164.6799999999998"/>
    <n v="5188.1200000000008"/>
  </r>
  <r>
    <n v="1764"/>
    <x v="1"/>
    <n v="2718"/>
    <n v="543.6"/>
    <n v="326.15999999999997"/>
    <n v="271.8"/>
    <n v="3261.6"/>
    <n v="597.96"/>
    <n v="2663.64"/>
  </r>
  <r>
    <n v="1766"/>
    <x v="1"/>
    <n v="5811"/>
    <n v="1162.2"/>
    <n v="697.31999999999994"/>
    <n v="581.1"/>
    <n v="6973.2"/>
    <n v="1278.42"/>
    <n v="5694.78"/>
  </r>
  <r>
    <n v="1767"/>
    <x v="1"/>
    <n v="2437"/>
    <n v="487.40000000000003"/>
    <n v="292.44"/>
    <n v="243.70000000000002"/>
    <n v="2924.4"/>
    <n v="536.14"/>
    <n v="2388.2600000000002"/>
  </r>
  <r>
    <n v="1768"/>
    <x v="1"/>
    <n v="2766"/>
    <n v="553.20000000000005"/>
    <n v="331.92"/>
    <n v="276.60000000000002"/>
    <n v="3319.2"/>
    <n v="608.52"/>
    <n v="2710.68"/>
  </r>
  <r>
    <n v="1770"/>
    <x v="1"/>
    <n v="19038"/>
    <n v="3807.6000000000004"/>
    <n v="2284.56"/>
    <n v="1903.8000000000002"/>
    <n v="22845.599999999999"/>
    <n v="4188.3600000000006"/>
    <n v="18657.239999999998"/>
  </r>
  <r>
    <n v="1771"/>
    <x v="1"/>
    <n v="3055"/>
    <n v="611"/>
    <n v="366.59999999999997"/>
    <n v="305.5"/>
    <n v="3666"/>
    <n v="672.09999999999991"/>
    <n v="2993.9"/>
  </r>
  <r>
    <n v="1772"/>
    <x v="1"/>
    <n v="2289"/>
    <n v="457.8"/>
    <n v="274.68"/>
    <n v="228.9"/>
    <n v="2746.8"/>
    <n v="503.58000000000004"/>
    <n v="2243.2200000000003"/>
  </r>
  <r>
    <n v="1774"/>
    <x v="0"/>
    <n v="4001"/>
    <n v="800.2"/>
    <n v="480.12"/>
    <n v="400.1"/>
    <n v="4801.2"/>
    <n v="880.22"/>
    <n v="3920.9799999999996"/>
  </r>
  <r>
    <n v="1775"/>
    <x v="1"/>
    <n v="12965"/>
    <n v="2593"/>
    <n v="1555.8"/>
    <n v="1296.5"/>
    <n v="15558"/>
    <n v="2852.3"/>
    <n v="12705.7"/>
  </r>
  <r>
    <n v="1778"/>
    <x v="2"/>
    <n v="3539"/>
    <n v="707.80000000000007"/>
    <n v="424.68"/>
    <n v="353.90000000000003"/>
    <n v="4246.8"/>
    <n v="778.58"/>
    <n v="3468.2200000000003"/>
  </r>
  <r>
    <n v="1779"/>
    <x v="0"/>
    <n v="6029"/>
    <n v="1205.8"/>
    <n v="723.48"/>
    <n v="602.9"/>
    <n v="7234.8"/>
    <n v="1326.38"/>
    <n v="5908.42"/>
  </r>
  <r>
    <n v="1780"/>
    <x v="0"/>
    <n v="2679"/>
    <n v="535.80000000000007"/>
    <n v="321.47999999999996"/>
    <n v="267.90000000000003"/>
    <n v="3214.8"/>
    <n v="589.38"/>
    <n v="2625.42"/>
  </r>
  <r>
    <n v="1782"/>
    <x v="1"/>
    <n v="3702"/>
    <n v="740.40000000000009"/>
    <n v="444.24"/>
    <n v="370.20000000000005"/>
    <n v="4442.3999999999996"/>
    <n v="814.44"/>
    <n v="3627.9599999999996"/>
  </r>
  <r>
    <n v="1783"/>
    <x v="1"/>
    <n v="2398"/>
    <n v="479.6"/>
    <n v="287.76"/>
    <n v="239.8"/>
    <n v="2877.6"/>
    <n v="527.55999999999995"/>
    <n v="2350.04"/>
  </r>
  <r>
    <n v="1784"/>
    <x v="0"/>
    <n v="5468"/>
    <n v="1093.6000000000001"/>
    <n v="656.16"/>
    <n v="546.80000000000007"/>
    <n v="6561.6"/>
    <n v="1202.96"/>
    <n v="5358.64"/>
  </r>
  <r>
    <n v="1786"/>
    <x v="1"/>
    <n v="13116"/>
    <n v="2623.2000000000003"/>
    <n v="1573.9199999999998"/>
    <n v="1311.6000000000001"/>
    <n v="15739.2"/>
    <n v="2885.52"/>
    <n v="12853.68"/>
  </r>
  <r>
    <n v="1787"/>
    <x v="0"/>
    <n v="4189"/>
    <n v="837.80000000000007"/>
    <n v="502.68"/>
    <n v="418.90000000000003"/>
    <n v="5026.8"/>
    <n v="921.58"/>
    <n v="4105.22"/>
  </r>
  <r>
    <n v="1789"/>
    <x v="1"/>
    <n v="19328"/>
    <n v="3865.6000000000004"/>
    <n v="2319.36"/>
    <n v="1932.8000000000002"/>
    <n v="23193.599999999999"/>
    <n v="4252.16"/>
    <n v="18941.439999999999"/>
  </r>
  <r>
    <n v="1790"/>
    <x v="1"/>
    <n v="8321"/>
    <n v="1664.2"/>
    <n v="998.52"/>
    <n v="832.1"/>
    <n v="9985.2000000000007"/>
    <n v="1830.62"/>
    <n v="8154.5800000000008"/>
  </r>
  <r>
    <n v="1792"/>
    <x v="1"/>
    <n v="2342"/>
    <n v="468.40000000000003"/>
    <n v="281.03999999999996"/>
    <n v="234.20000000000002"/>
    <n v="2810.4"/>
    <n v="515.24"/>
    <n v="2295.16"/>
  </r>
  <r>
    <n v="1794"/>
    <x v="2"/>
    <n v="4071"/>
    <n v="814.2"/>
    <n v="488.52"/>
    <n v="407.1"/>
    <n v="4885.2"/>
    <n v="895.62"/>
    <n v="3989.58"/>
  </r>
  <r>
    <n v="1797"/>
    <x v="0"/>
    <n v="5813"/>
    <n v="1162.6000000000001"/>
    <n v="697.56"/>
    <n v="581.30000000000007"/>
    <n v="6975.6"/>
    <n v="1278.8600000000001"/>
    <n v="5696.74"/>
  </r>
  <r>
    <n v="1798"/>
    <x v="1"/>
    <n v="3143"/>
    <n v="628.6"/>
    <n v="377.15999999999997"/>
    <n v="314.3"/>
    <n v="3771.6"/>
    <n v="691.46"/>
    <n v="3080.14"/>
  </r>
  <r>
    <n v="1799"/>
    <x v="1"/>
    <n v="2044"/>
    <n v="408.8"/>
    <n v="245.28"/>
    <n v="204.4"/>
    <n v="2452.8000000000002"/>
    <n v="449.68"/>
    <n v="2003.1200000000001"/>
  </r>
  <r>
    <n v="1800"/>
    <x v="1"/>
    <n v="13464"/>
    <n v="2692.8"/>
    <n v="1615.6799999999998"/>
    <n v="1346.4"/>
    <n v="16156.8"/>
    <n v="2962.08"/>
    <n v="13194.72"/>
  </r>
  <r>
    <n v="1801"/>
    <x v="0"/>
    <n v="7991"/>
    <n v="1598.2"/>
    <n v="958.92"/>
    <n v="799.1"/>
    <n v="9589.2000000000007"/>
    <n v="1758.02"/>
    <n v="7831.18"/>
  </r>
  <r>
    <n v="1802"/>
    <x v="1"/>
    <n v="3377"/>
    <n v="675.40000000000009"/>
    <n v="405.24"/>
    <n v="337.70000000000005"/>
    <n v="4052.4"/>
    <n v="742.94"/>
    <n v="3309.46"/>
  </r>
  <r>
    <n v="1803"/>
    <x v="1"/>
    <n v="5538"/>
    <n v="1107.6000000000001"/>
    <n v="664.56"/>
    <n v="553.80000000000007"/>
    <n v="6645.6"/>
    <n v="1218.3600000000001"/>
    <n v="5427.24"/>
  </r>
  <r>
    <n v="1804"/>
    <x v="1"/>
    <n v="5762"/>
    <n v="1152.4000000000001"/>
    <n v="691.43999999999994"/>
    <n v="576.20000000000005"/>
    <n v="6914.4"/>
    <n v="1267.6399999999999"/>
    <n v="5646.76"/>
  </r>
  <r>
    <n v="1805"/>
    <x v="2"/>
    <n v="2592"/>
    <n v="518.4"/>
    <n v="311.03999999999996"/>
    <n v="259.2"/>
    <n v="3110.4"/>
    <n v="570.24"/>
    <n v="2540.16"/>
  </r>
  <r>
    <n v="1807"/>
    <x v="1"/>
    <n v="5346"/>
    <n v="1069.2"/>
    <n v="641.52"/>
    <n v="534.6"/>
    <n v="6415.2"/>
    <n v="1176.1199999999999"/>
    <n v="5239.08"/>
  </r>
  <r>
    <n v="1809"/>
    <x v="1"/>
    <n v="4213"/>
    <n v="842.6"/>
    <n v="505.56"/>
    <n v="421.3"/>
    <n v="5055.6000000000004"/>
    <n v="926.86"/>
    <n v="4128.7400000000007"/>
  </r>
  <r>
    <n v="1812"/>
    <x v="0"/>
    <n v="4127"/>
    <n v="825.40000000000009"/>
    <n v="495.24"/>
    <n v="412.70000000000005"/>
    <n v="4952.3999999999996"/>
    <n v="907.94"/>
    <n v="4044.4599999999996"/>
  </r>
  <r>
    <n v="1813"/>
    <x v="1"/>
    <n v="2438"/>
    <n v="487.6"/>
    <n v="292.56"/>
    <n v="243.8"/>
    <n v="2925.6"/>
    <n v="536.36"/>
    <n v="2389.2399999999998"/>
  </r>
  <r>
    <n v="1814"/>
    <x v="1"/>
    <n v="6870"/>
    <n v="1374"/>
    <n v="824.4"/>
    <n v="687"/>
    <n v="8244"/>
    <n v="1511.4"/>
    <n v="6732.6"/>
  </r>
  <r>
    <n v="1815"/>
    <x v="0"/>
    <n v="10447"/>
    <n v="2089.4"/>
    <n v="1253.6399999999999"/>
    <n v="1044.7"/>
    <n v="12536.4"/>
    <n v="2298.34"/>
    <n v="10238.06"/>
  </r>
  <r>
    <n v="1816"/>
    <x v="1"/>
    <n v="9667"/>
    <n v="1933.4"/>
    <n v="1160.04"/>
    <n v="966.7"/>
    <n v="11600.4"/>
    <n v="2126.7399999999998"/>
    <n v="9473.66"/>
  </r>
  <r>
    <n v="1818"/>
    <x v="2"/>
    <n v="2148"/>
    <n v="429.6"/>
    <n v="257.76"/>
    <n v="214.8"/>
    <n v="2577.6"/>
    <n v="472.56"/>
    <n v="2105.04"/>
  </r>
  <r>
    <n v="1821"/>
    <x v="1"/>
    <n v="8926"/>
    <n v="1785.2"/>
    <n v="1071.1199999999999"/>
    <n v="892.6"/>
    <n v="10711.2"/>
    <n v="1963.7199999999998"/>
    <n v="8747.4800000000014"/>
  </r>
  <r>
    <n v="1822"/>
    <x v="1"/>
    <n v="6513"/>
    <n v="1302.6000000000001"/>
    <n v="781.56"/>
    <n v="651.30000000000007"/>
    <n v="7815.6"/>
    <n v="1432.8600000000001"/>
    <n v="6382.74"/>
  </r>
  <r>
    <n v="1823"/>
    <x v="0"/>
    <n v="6799"/>
    <n v="1359.8000000000002"/>
    <n v="815.88"/>
    <n v="679.90000000000009"/>
    <n v="8158.8"/>
    <n v="1495.7800000000002"/>
    <n v="6663.02"/>
  </r>
  <r>
    <n v="1824"/>
    <x v="0"/>
    <n v="16291"/>
    <n v="3258.2000000000003"/>
    <n v="1954.9199999999998"/>
    <n v="1629.1000000000001"/>
    <n v="19549.2"/>
    <n v="3584.02"/>
    <n v="15965.18"/>
  </r>
  <r>
    <n v="1826"/>
    <x v="1"/>
    <n v="2705"/>
    <n v="541"/>
    <n v="324.59999999999997"/>
    <n v="270.5"/>
    <n v="3246"/>
    <n v="595.09999999999991"/>
    <n v="2650.9"/>
  </r>
  <r>
    <n v="1827"/>
    <x v="1"/>
    <n v="10333"/>
    <n v="2066.6"/>
    <n v="1239.96"/>
    <n v="1033.3"/>
    <n v="12399.6"/>
    <n v="2273.2600000000002"/>
    <n v="10126.34"/>
  </r>
  <r>
    <n v="1829"/>
    <x v="1"/>
    <n v="4448"/>
    <n v="889.6"/>
    <n v="533.76"/>
    <n v="444.8"/>
    <n v="5337.6"/>
    <n v="978.56"/>
    <n v="4359.0400000000009"/>
  </r>
  <r>
    <n v="1830"/>
    <x v="1"/>
    <n v="6854"/>
    <n v="1370.8000000000002"/>
    <n v="822.48"/>
    <n v="685.40000000000009"/>
    <n v="8224.7999999999993"/>
    <n v="1507.88"/>
    <n v="6716.9199999999992"/>
  </r>
  <r>
    <n v="1833"/>
    <x v="0"/>
    <n v="9637"/>
    <n v="1927.4"/>
    <n v="1156.44"/>
    <n v="963.7"/>
    <n v="11564.4"/>
    <n v="2120.1400000000003"/>
    <n v="9444.2599999999984"/>
  </r>
  <r>
    <n v="1834"/>
    <x v="1"/>
    <n v="3591"/>
    <n v="718.2"/>
    <n v="430.91999999999996"/>
    <n v="359.1"/>
    <n v="4309.2"/>
    <n v="790.02"/>
    <n v="3519.18"/>
  </r>
  <r>
    <n v="1835"/>
    <x v="0"/>
    <n v="5405"/>
    <n v="1081"/>
    <n v="648.6"/>
    <n v="540.5"/>
    <n v="6486"/>
    <n v="1189.0999999999999"/>
    <n v="5296.9"/>
  </r>
  <r>
    <n v="1836"/>
    <x v="0"/>
    <n v="4684"/>
    <n v="936.80000000000007"/>
    <n v="562.07999999999993"/>
    <n v="468.40000000000003"/>
    <n v="5620.8"/>
    <n v="1030.48"/>
    <n v="4590.32"/>
  </r>
  <r>
    <n v="1837"/>
    <x v="1"/>
    <n v="15787"/>
    <n v="3157.4"/>
    <n v="1894.4399999999998"/>
    <n v="1578.7"/>
    <n v="18944.400000000001"/>
    <n v="3473.14"/>
    <n v="15471.260000000002"/>
  </r>
  <r>
    <n v="1839"/>
    <x v="1"/>
    <n v="1514"/>
    <n v="302.8"/>
    <n v="181.68"/>
    <n v="151.4"/>
    <n v="1816.8"/>
    <n v="333.08000000000004"/>
    <n v="1483.7199999999998"/>
  </r>
  <r>
    <n v="1842"/>
    <x v="2"/>
    <n v="2956"/>
    <n v="591.20000000000005"/>
    <n v="354.71999999999997"/>
    <n v="295.60000000000002"/>
    <n v="3547.2"/>
    <n v="650.31999999999994"/>
    <n v="2896.88"/>
  </r>
  <r>
    <n v="1844"/>
    <x v="2"/>
    <n v="2335"/>
    <n v="467"/>
    <n v="280.2"/>
    <n v="233.5"/>
    <n v="2802"/>
    <n v="513.70000000000005"/>
    <n v="2288.3000000000002"/>
  </r>
  <r>
    <n v="1845"/>
    <x v="0"/>
    <n v="5154"/>
    <n v="1030.8"/>
    <n v="618.48"/>
    <n v="515.4"/>
    <n v="6184.8"/>
    <n v="1133.8800000000001"/>
    <n v="5050.92"/>
  </r>
  <r>
    <n v="1847"/>
    <x v="1"/>
    <n v="6962"/>
    <n v="1392.4"/>
    <n v="835.43999999999994"/>
    <n v="696.2"/>
    <n v="8354.4"/>
    <n v="1531.6399999999999"/>
    <n v="6822.76"/>
  </r>
  <r>
    <n v="1849"/>
    <x v="0"/>
    <n v="5675"/>
    <n v="1135"/>
    <n v="681"/>
    <n v="567.5"/>
    <n v="6810"/>
    <n v="1248.5"/>
    <n v="5561.5"/>
  </r>
  <r>
    <n v="1850"/>
    <x v="1"/>
    <n v="2379"/>
    <n v="475.8"/>
    <n v="285.47999999999996"/>
    <n v="237.9"/>
    <n v="2854.8"/>
    <n v="523.38"/>
    <n v="2331.42"/>
  </r>
  <r>
    <n v="1852"/>
    <x v="1"/>
    <n v="3812"/>
    <n v="762.40000000000009"/>
    <n v="457.44"/>
    <n v="381.20000000000005"/>
    <n v="4574.3999999999996"/>
    <n v="838.6400000000001"/>
    <n v="3735.7599999999993"/>
  </r>
  <r>
    <n v="1853"/>
    <x v="0"/>
    <n v="4648"/>
    <n v="929.6"/>
    <n v="557.76"/>
    <n v="464.8"/>
    <n v="5577.6"/>
    <n v="1022.56"/>
    <n v="4555.0400000000009"/>
  </r>
  <r>
    <n v="1854"/>
    <x v="1"/>
    <n v="2936"/>
    <n v="587.20000000000005"/>
    <n v="352.32"/>
    <n v="293.60000000000002"/>
    <n v="3523.2"/>
    <n v="645.92000000000007"/>
    <n v="2877.2799999999997"/>
  </r>
  <r>
    <n v="1856"/>
    <x v="1"/>
    <n v="2105"/>
    <n v="421"/>
    <n v="252.6"/>
    <n v="210.5"/>
    <n v="2526"/>
    <n v="463.1"/>
    <n v="2062.9"/>
  </r>
  <r>
    <n v="1857"/>
    <x v="1"/>
    <n v="8578"/>
    <n v="1715.6000000000001"/>
    <n v="1029.3599999999999"/>
    <n v="857.80000000000007"/>
    <n v="10293.6"/>
    <n v="1887.1599999999999"/>
    <n v="8406.44"/>
  </r>
  <r>
    <n v="1858"/>
    <x v="2"/>
    <n v="2706"/>
    <n v="541.20000000000005"/>
    <n v="324.71999999999997"/>
    <n v="270.60000000000002"/>
    <n v="3247.2"/>
    <n v="595.31999999999994"/>
    <n v="2651.88"/>
  </r>
  <r>
    <n v="1859"/>
    <x v="1"/>
    <n v="6384"/>
    <n v="1276.8000000000002"/>
    <n v="766.07999999999993"/>
    <n v="638.40000000000009"/>
    <n v="7660.8"/>
    <n v="1404.48"/>
    <n v="6256.32"/>
  </r>
  <r>
    <n v="1860"/>
    <x v="1"/>
    <n v="3968"/>
    <n v="793.6"/>
    <n v="476.15999999999997"/>
    <n v="396.8"/>
    <n v="4761.6000000000004"/>
    <n v="872.96"/>
    <n v="3888.6400000000003"/>
  </r>
  <r>
    <n v="1862"/>
    <x v="0"/>
    <n v="9907"/>
    <n v="1981.4"/>
    <n v="1188.8399999999999"/>
    <n v="990.7"/>
    <n v="11888.4"/>
    <n v="2179.54"/>
    <n v="9708.86"/>
  </r>
  <r>
    <n v="1863"/>
    <x v="0"/>
    <n v="13225"/>
    <n v="2645"/>
    <n v="1587"/>
    <n v="1322.5"/>
    <n v="15870"/>
    <n v="2909.5"/>
    <n v="12960.5"/>
  </r>
  <r>
    <n v="1864"/>
    <x v="0"/>
    <n v="3540"/>
    <n v="708"/>
    <n v="424.8"/>
    <n v="354"/>
    <n v="4248"/>
    <n v="778.8"/>
    <n v="3469.2"/>
  </r>
  <r>
    <n v="1865"/>
    <x v="2"/>
    <n v="2804"/>
    <n v="560.80000000000007"/>
    <n v="336.47999999999996"/>
    <n v="280.40000000000003"/>
    <n v="3364.8"/>
    <n v="616.88"/>
    <n v="2747.92"/>
  </r>
  <r>
    <n v="1866"/>
    <x v="1"/>
    <n v="19392"/>
    <n v="3878.4"/>
    <n v="2327.04"/>
    <n v="1939.2"/>
    <n v="23270.400000000001"/>
    <n v="4266.24"/>
    <n v="19004.160000000003"/>
  </r>
  <r>
    <n v="1867"/>
    <x v="1"/>
    <n v="19665"/>
    <n v="3933"/>
    <n v="2359.7999999999997"/>
    <n v="1966.5"/>
    <n v="23598"/>
    <n v="4326.2999999999993"/>
    <n v="19271.7"/>
  </r>
  <r>
    <n v="1868"/>
    <x v="1"/>
    <n v="2439"/>
    <n v="487.8"/>
    <n v="292.68"/>
    <n v="243.9"/>
    <n v="2926.8"/>
    <n v="536.58000000000004"/>
    <n v="2390.2200000000003"/>
  </r>
  <r>
    <n v="1869"/>
    <x v="0"/>
    <n v="7314"/>
    <n v="1462.8000000000002"/>
    <n v="877.68"/>
    <n v="731.40000000000009"/>
    <n v="8776.7999999999993"/>
    <n v="1609.08"/>
    <n v="7167.7199999999993"/>
  </r>
  <r>
    <n v="1870"/>
    <x v="1"/>
    <n v="4774"/>
    <n v="954.80000000000007"/>
    <n v="572.88"/>
    <n v="477.40000000000003"/>
    <n v="5728.8"/>
    <n v="1050.28"/>
    <n v="4678.5200000000004"/>
  </r>
  <r>
    <n v="1871"/>
    <x v="1"/>
    <n v="3902"/>
    <n v="780.40000000000009"/>
    <n v="468.24"/>
    <n v="390.20000000000005"/>
    <n v="4682.3999999999996"/>
    <n v="858.44"/>
    <n v="3823.9599999999996"/>
  </r>
  <r>
    <n v="1873"/>
    <x v="1"/>
    <n v="2662"/>
    <n v="532.4"/>
    <n v="319.44"/>
    <n v="266.2"/>
    <n v="3194.4"/>
    <n v="585.64"/>
    <n v="2608.7600000000002"/>
  </r>
  <r>
    <n v="1875"/>
    <x v="0"/>
    <n v="2856"/>
    <n v="571.20000000000005"/>
    <n v="342.71999999999997"/>
    <n v="285.60000000000002"/>
    <n v="3427.2"/>
    <n v="628.31999999999994"/>
    <n v="2798.88"/>
  </r>
  <r>
    <n v="1876"/>
    <x v="0"/>
    <n v="1081"/>
    <n v="216.20000000000002"/>
    <n v="129.72"/>
    <n v="108.10000000000001"/>
    <n v="1297.2"/>
    <n v="237.82"/>
    <n v="1059.3800000000001"/>
  </r>
  <r>
    <n v="1878"/>
    <x v="1"/>
    <n v="2472"/>
    <n v="494.40000000000003"/>
    <n v="296.64"/>
    <n v="247.20000000000002"/>
    <n v="2966.4"/>
    <n v="543.84"/>
    <n v="2422.56"/>
  </r>
  <r>
    <n v="1880"/>
    <x v="0"/>
    <n v="5673"/>
    <n v="1134.6000000000001"/>
    <n v="680.76"/>
    <n v="567.30000000000007"/>
    <n v="6807.6"/>
    <n v="1248.06"/>
    <n v="5559.5400000000009"/>
  </r>
  <r>
    <n v="1881"/>
    <x v="1"/>
    <n v="4197"/>
    <n v="839.40000000000009"/>
    <n v="503.64"/>
    <n v="419.70000000000005"/>
    <n v="5036.3999999999996"/>
    <n v="923.34"/>
    <n v="4113.0599999999995"/>
  </r>
  <r>
    <n v="1882"/>
    <x v="0"/>
    <n v="9713"/>
    <n v="1942.6000000000001"/>
    <n v="1165.56"/>
    <n v="971.30000000000007"/>
    <n v="11655.6"/>
    <n v="2136.86"/>
    <n v="9518.74"/>
  </r>
  <r>
    <n v="1883"/>
    <x v="1"/>
    <n v="2062"/>
    <n v="412.40000000000003"/>
    <n v="247.44"/>
    <n v="206.20000000000002"/>
    <n v="2474.4"/>
    <n v="453.64"/>
    <n v="2020.7600000000002"/>
  </r>
  <r>
    <n v="1885"/>
    <x v="1"/>
    <n v="4284"/>
    <n v="856.80000000000007"/>
    <n v="514.07999999999993"/>
    <n v="428.40000000000003"/>
    <n v="5140.8"/>
    <n v="942.48"/>
    <n v="4198.32"/>
  </r>
  <r>
    <n v="1886"/>
    <x v="1"/>
    <n v="4788"/>
    <n v="957.6"/>
    <n v="574.55999999999995"/>
    <n v="478.8"/>
    <n v="5745.6"/>
    <n v="1053.3599999999999"/>
    <n v="4692.2400000000007"/>
  </r>
  <r>
    <n v="1888"/>
    <x v="1"/>
    <n v="5906"/>
    <n v="1181.2"/>
    <n v="708.72"/>
    <n v="590.6"/>
    <n v="7087.2"/>
    <n v="1299.3200000000002"/>
    <n v="5787.8799999999992"/>
  </r>
  <r>
    <n v="1890"/>
    <x v="2"/>
    <n v="3886"/>
    <n v="777.2"/>
    <n v="466.32"/>
    <n v="388.6"/>
    <n v="4663.2"/>
    <n v="854.92000000000007"/>
    <n v="3808.2799999999997"/>
  </r>
  <r>
    <n v="1892"/>
    <x v="1"/>
    <n v="16823"/>
    <n v="3364.6000000000004"/>
    <n v="2018.76"/>
    <n v="1682.3000000000002"/>
    <n v="20187.599999999999"/>
    <n v="3701.0600000000004"/>
    <n v="16486.539999999997"/>
  </r>
  <r>
    <n v="1893"/>
    <x v="1"/>
    <n v="2933"/>
    <n v="586.6"/>
    <n v="351.96"/>
    <n v="293.3"/>
    <n v="3519.6"/>
    <n v="645.26"/>
    <n v="2874.34"/>
  </r>
  <r>
    <n v="1898"/>
    <x v="0"/>
    <n v="6500"/>
    <n v="1300"/>
    <n v="780"/>
    <n v="650"/>
    <n v="7800"/>
    <n v="1430"/>
    <n v="6370"/>
  </r>
  <r>
    <n v="1900"/>
    <x v="1"/>
    <n v="17174"/>
    <n v="3434.8"/>
    <n v="2060.88"/>
    <n v="1717.4"/>
    <n v="20608.8"/>
    <n v="3778.28"/>
    <n v="16830.52"/>
  </r>
  <r>
    <n v="1903"/>
    <x v="1"/>
    <n v="5033"/>
    <n v="1006.6"/>
    <n v="603.95999999999992"/>
    <n v="503.3"/>
    <n v="6039.6"/>
    <n v="1107.26"/>
    <n v="4932.34"/>
  </r>
  <r>
    <n v="1905"/>
    <x v="1"/>
    <n v="2307"/>
    <n v="461.40000000000003"/>
    <n v="276.83999999999997"/>
    <n v="230.70000000000002"/>
    <n v="2768.4"/>
    <n v="507.53999999999996"/>
    <n v="2260.86"/>
  </r>
  <r>
    <n v="1907"/>
    <x v="1"/>
    <n v="2587"/>
    <n v="517.4"/>
    <n v="310.44"/>
    <n v="258.7"/>
    <n v="3104.4"/>
    <n v="569.14"/>
    <n v="2535.2600000000002"/>
  </r>
  <r>
    <n v="1908"/>
    <x v="0"/>
    <n v="5507"/>
    <n v="1101.4000000000001"/>
    <n v="660.84"/>
    <n v="550.70000000000005"/>
    <n v="6608.4"/>
    <n v="1211.54"/>
    <n v="5396.86"/>
  </r>
  <r>
    <n v="1909"/>
    <x v="0"/>
    <n v="4393"/>
    <n v="878.6"/>
    <n v="527.16"/>
    <n v="439.3"/>
    <n v="5271.6"/>
    <n v="966.46"/>
    <n v="4305.1400000000003"/>
  </r>
  <r>
    <n v="1911"/>
    <x v="1"/>
    <n v="13348"/>
    <n v="2669.6000000000004"/>
    <n v="1601.76"/>
    <n v="1334.8000000000002"/>
    <n v="16017.6"/>
    <n v="2936.5600000000004"/>
    <n v="13081.04"/>
  </r>
  <r>
    <n v="1912"/>
    <x v="0"/>
    <n v="6583"/>
    <n v="1316.6000000000001"/>
    <n v="789.95999999999992"/>
    <n v="658.30000000000007"/>
    <n v="7899.6"/>
    <n v="1448.26"/>
    <n v="6451.34"/>
  </r>
  <r>
    <n v="1915"/>
    <x v="0"/>
    <n v="8103"/>
    <n v="1620.6000000000001"/>
    <n v="972.36"/>
    <n v="810.30000000000007"/>
    <n v="9723.6"/>
    <n v="1782.66"/>
    <n v="7940.9400000000005"/>
  </r>
  <r>
    <n v="1916"/>
    <x v="1"/>
    <n v="3978"/>
    <n v="795.6"/>
    <n v="477.35999999999996"/>
    <n v="397.8"/>
    <n v="4773.6000000000004"/>
    <n v="875.16"/>
    <n v="3898.4400000000005"/>
  </r>
  <r>
    <n v="1918"/>
    <x v="1"/>
    <n v="2544"/>
    <n v="508.8"/>
    <n v="305.27999999999997"/>
    <n v="254.4"/>
    <n v="3052.8"/>
    <n v="559.67999999999995"/>
    <n v="2493.1200000000003"/>
  </r>
  <r>
    <n v="1922"/>
    <x v="1"/>
    <n v="5399"/>
    <n v="1079.8"/>
    <n v="647.88"/>
    <n v="539.9"/>
    <n v="6478.8"/>
    <n v="1187.78"/>
    <n v="5291.02"/>
  </r>
  <r>
    <n v="1924"/>
    <x v="0"/>
    <n v="5487"/>
    <n v="1097.4000000000001"/>
    <n v="658.43999999999994"/>
    <n v="548.70000000000005"/>
    <n v="6584.4"/>
    <n v="1207.1399999999999"/>
    <n v="5377.26"/>
  </r>
  <r>
    <n v="1927"/>
    <x v="0"/>
    <n v="6834"/>
    <n v="1366.8000000000002"/>
    <n v="820.07999999999993"/>
    <n v="683.40000000000009"/>
    <n v="8200.7999999999993"/>
    <n v="1503.48"/>
    <n v="6697.32"/>
  </r>
  <r>
    <n v="1928"/>
    <x v="0"/>
    <n v="1091"/>
    <n v="218.20000000000002"/>
    <n v="130.91999999999999"/>
    <n v="109.10000000000001"/>
    <n v="1309.2"/>
    <n v="240.01999999999998"/>
    <n v="1069.18"/>
  </r>
  <r>
    <n v="1929"/>
    <x v="0"/>
    <n v="5736"/>
    <n v="1147.2"/>
    <n v="688.31999999999994"/>
    <n v="573.6"/>
    <n v="6883.2"/>
    <n v="1261.92"/>
    <n v="5621.28"/>
  </r>
  <r>
    <n v="1931"/>
    <x v="1"/>
    <n v="2226"/>
    <n v="445.20000000000005"/>
    <n v="267.12"/>
    <n v="222.60000000000002"/>
    <n v="2671.2"/>
    <n v="489.72"/>
    <n v="2181.4799999999996"/>
  </r>
  <r>
    <n v="1932"/>
    <x v="1"/>
    <n v="5747"/>
    <n v="1149.4000000000001"/>
    <n v="689.64"/>
    <n v="574.70000000000005"/>
    <n v="6896.4"/>
    <n v="1264.3400000000001"/>
    <n v="5632.0599999999995"/>
  </r>
  <r>
    <n v="1933"/>
    <x v="0"/>
    <n v="9854"/>
    <n v="1970.8000000000002"/>
    <n v="1182.48"/>
    <n v="985.40000000000009"/>
    <n v="11824.8"/>
    <n v="2167.88"/>
    <n v="9656.9199999999983"/>
  </r>
  <r>
    <n v="1934"/>
    <x v="1"/>
    <n v="5467"/>
    <n v="1093.4000000000001"/>
    <n v="656.04"/>
    <n v="546.70000000000005"/>
    <n v="6560.4"/>
    <n v="1202.74"/>
    <n v="5357.66"/>
  </r>
  <r>
    <n v="1935"/>
    <x v="0"/>
    <n v="5380"/>
    <n v="1076"/>
    <n v="645.6"/>
    <n v="538"/>
    <n v="6456"/>
    <n v="1183.5999999999999"/>
    <n v="5272.4"/>
  </r>
  <r>
    <n v="1936"/>
    <x v="1"/>
    <n v="5151"/>
    <n v="1030.2"/>
    <n v="618.12"/>
    <n v="515.1"/>
    <n v="6181.2"/>
    <n v="1133.22"/>
    <n v="5047.9799999999996"/>
  </r>
  <r>
    <n v="1937"/>
    <x v="1"/>
    <n v="2133"/>
    <n v="426.6"/>
    <n v="255.95999999999998"/>
    <n v="213.3"/>
    <n v="2559.6"/>
    <n v="469.26"/>
    <n v="2090.34"/>
  </r>
  <r>
    <n v="1938"/>
    <x v="0"/>
    <n v="17875"/>
    <n v="3575"/>
    <n v="2145"/>
    <n v="1787.5"/>
    <n v="21450"/>
    <n v="3932.5"/>
    <n v="17517.5"/>
  </r>
  <r>
    <n v="1939"/>
    <x v="1"/>
    <n v="2432"/>
    <n v="486.40000000000003"/>
    <n v="291.83999999999997"/>
    <n v="243.20000000000002"/>
    <n v="2918.4"/>
    <n v="535.04"/>
    <n v="2383.36"/>
  </r>
  <r>
    <n v="1940"/>
    <x v="1"/>
    <n v="4771"/>
    <n v="954.2"/>
    <n v="572.52"/>
    <n v="477.1"/>
    <n v="5725.2"/>
    <n v="1049.6199999999999"/>
    <n v="4675.58"/>
  </r>
  <r>
    <n v="1941"/>
    <x v="1"/>
    <n v="19161"/>
    <n v="3832.2000000000003"/>
    <n v="2299.3199999999997"/>
    <n v="1916.1000000000001"/>
    <n v="22993.200000000001"/>
    <n v="4215.42"/>
    <n v="18777.78"/>
  </r>
  <r>
    <n v="1943"/>
    <x v="0"/>
    <n v="5087"/>
    <n v="1017.4000000000001"/>
    <n v="610.43999999999994"/>
    <n v="508.70000000000005"/>
    <n v="6104.4"/>
    <n v="1119.1399999999999"/>
    <n v="4985.26"/>
  </r>
  <r>
    <n v="1944"/>
    <x v="2"/>
    <n v="2863"/>
    <n v="572.6"/>
    <n v="343.56"/>
    <n v="286.3"/>
    <n v="3435.6"/>
    <n v="629.86"/>
    <n v="2805.74"/>
  </r>
  <r>
    <n v="1945"/>
    <x v="0"/>
    <n v="5561"/>
    <n v="1112.2"/>
    <n v="667.31999999999994"/>
    <n v="556.1"/>
    <n v="6673.2"/>
    <n v="1223.42"/>
    <n v="5449.78"/>
  </r>
  <r>
    <n v="1947"/>
    <x v="1"/>
    <n v="2144"/>
    <n v="428.8"/>
    <n v="257.27999999999997"/>
    <n v="214.4"/>
    <n v="2572.8000000000002"/>
    <n v="471.67999999999995"/>
    <n v="2101.1200000000003"/>
  </r>
  <r>
    <n v="1948"/>
    <x v="1"/>
    <n v="3065"/>
    <n v="613"/>
    <n v="367.8"/>
    <n v="306.5"/>
    <n v="3678"/>
    <n v="674.3"/>
    <n v="3003.7"/>
  </r>
  <r>
    <n v="1949"/>
    <x v="1"/>
    <n v="2810"/>
    <n v="562"/>
    <n v="337.2"/>
    <n v="281"/>
    <n v="3372"/>
    <n v="618.20000000000005"/>
    <n v="2753.8"/>
  </r>
  <r>
    <n v="1950"/>
    <x v="0"/>
    <n v="9888"/>
    <n v="1977.6000000000001"/>
    <n v="1186.56"/>
    <n v="988.80000000000007"/>
    <n v="11865.6"/>
    <n v="2175.36"/>
    <n v="9690.24"/>
  </r>
  <r>
    <n v="1951"/>
    <x v="0"/>
    <n v="8628"/>
    <n v="1725.6000000000001"/>
    <n v="1035.3599999999999"/>
    <n v="862.80000000000007"/>
    <n v="10353.6"/>
    <n v="1898.1599999999999"/>
    <n v="8455.44"/>
  </r>
  <r>
    <n v="1952"/>
    <x v="1"/>
    <n v="2867"/>
    <n v="573.4"/>
    <n v="344.03999999999996"/>
    <n v="286.7"/>
    <n v="3440.4"/>
    <n v="630.74"/>
    <n v="2809.66"/>
  </r>
  <r>
    <n v="1954"/>
    <x v="1"/>
    <n v="5373"/>
    <n v="1074.6000000000001"/>
    <n v="644.76"/>
    <n v="537.30000000000007"/>
    <n v="6447.6"/>
    <n v="1182.06"/>
    <n v="5265.5400000000009"/>
  </r>
  <r>
    <n v="1955"/>
    <x v="1"/>
    <n v="6667"/>
    <n v="1333.4"/>
    <n v="800.04"/>
    <n v="666.7"/>
    <n v="8000.4"/>
    <n v="1466.74"/>
    <n v="6533.66"/>
  </r>
  <r>
    <n v="1956"/>
    <x v="1"/>
    <n v="5003"/>
    <n v="1000.6"/>
    <n v="600.36"/>
    <n v="500.3"/>
    <n v="6003.6"/>
    <n v="1100.6600000000001"/>
    <n v="4902.9400000000005"/>
  </r>
  <r>
    <n v="1960"/>
    <x v="1"/>
    <n v="2367"/>
    <n v="473.40000000000003"/>
    <n v="284.03999999999996"/>
    <n v="236.70000000000002"/>
    <n v="2840.4"/>
    <n v="520.74"/>
    <n v="2319.66"/>
  </r>
  <r>
    <n v="1961"/>
    <x v="0"/>
    <n v="2858"/>
    <n v="571.6"/>
    <n v="342.96"/>
    <n v="285.8"/>
    <n v="3429.6"/>
    <n v="628.76"/>
    <n v="2800.84"/>
  </r>
  <r>
    <n v="1962"/>
    <x v="0"/>
    <n v="5204"/>
    <n v="1040.8"/>
    <n v="624.48"/>
    <n v="520.4"/>
    <n v="6244.8"/>
    <n v="1144.8800000000001"/>
    <n v="5099.92"/>
  </r>
  <r>
    <n v="1965"/>
    <x v="0"/>
    <n v="4105"/>
    <n v="821"/>
    <n v="492.59999999999997"/>
    <n v="410.5"/>
    <n v="4926"/>
    <n v="903.09999999999991"/>
    <n v="4022.9"/>
  </r>
  <r>
    <n v="1966"/>
    <x v="1"/>
    <n v="9679"/>
    <n v="1935.8000000000002"/>
    <n v="1161.48"/>
    <n v="967.90000000000009"/>
    <n v="11614.8"/>
    <n v="2129.38"/>
    <n v="9485.4199999999983"/>
  </r>
  <r>
    <n v="1967"/>
    <x v="0"/>
    <n v="5617"/>
    <n v="1123.4000000000001"/>
    <n v="674.04"/>
    <n v="561.70000000000005"/>
    <n v="6740.4"/>
    <n v="1235.74"/>
    <n v="5504.66"/>
  </r>
  <r>
    <n v="1968"/>
    <x v="0"/>
    <n v="10448"/>
    <n v="2089.6"/>
    <n v="1253.76"/>
    <n v="1044.8"/>
    <n v="12537.6"/>
    <n v="2298.56"/>
    <n v="10239.040000000001"/>
  </r>
  <r>
    <n v="1969"/>
    <x v="1"/>
    <n v="2897"/>
    <n v="579.4"/>
    <n v="347.64"/>
    <n v="289.7"/>
    <n v="3476.4"/>
    <n v="637.33999999999992"/>
    <n v="2839.0600000000004"/>
  </r>
  <r>
    <n v="1970"/>
    <x v="1"/>
    <n v="5968"/>
    <n v="1193.6000000000001"/>
    <n v="716.16"/>
    <n v="596.80000000000007"/>
    <n v="7161.6"/>
    <n v="1312.96"/>
    <n v="5848.64"/>
  </r>
  <r>
    <n v="1971"/>
    <x v="1"/>
    <n v="7510"/>
    <n v="1502"/>
    <n v="901.19999999999993"/>
    <n v="751"/>
    <n v="9012"/>
    <n v="1652.1999999999998"/>
    <n v="7359.8"/>
  </r>
  <r>
    <n v="1972"/>
    <x v="2"/>
    <n v="2991"/>
    <n v="598.20000000000005"/>
    <n v="358.91999999999996"/>
    <n v="299.10000000000002"/>
    <n v="3589.2"/>
    <n v="658.02"/>
    <n v="2931.18"/>
  </r>
  <r>
    <n v="1973"/>
    <x v="2"/>
    <n v="19636"/>
    <n v="3927.2000000000003"/>
    <n v="2356.3199999999997"/>
    <n v="1963.6000000000001"/>
    <n v="23563.200000000001"/>
    <n v="4319.92"/>
    <n v="19243.28"/>
  </r>
  <r>
    <n v="1974"/>
    <x v="1"/>
    <n v="1129"/>
    <n v="225.8"/>
    <n v="135.47999999999999"/>
    <n v="112.9"/>
    <n v="1354.8"/>
    <n v="248.38"/>
    <n v="1106.42"/>
  </r>
  <r>
    <n v="1975"/>
    <x v="0"/>
    <n v="13341"/>
    <n v="2668.2000000000003"/>
    <n v="1600.9199999999998"/>
    <n v="1334.1000000000001"/>
    <n v="16009.2"/>
    <n v="2935.02"/>
    <n v="13074.18"/>
  </r>
  <r>
    <n v="1976"/>
    <x v="1"/>
    <n v="4332"/>
    <n v="866.40000000000009"/>
    <n v="519.84"/>
    <n v="433.20000000000005"/>
    <n v="5198.3999999999996"/>
    <n v="953.04000000000008"/>
    <n v="4245.3599999999997"/>
  </r>
  <r>
    <n v="1979"/>
    <x v="1"/>
    <n v="11031"/>
    <n v="2206.2000000000003"/>
    <n v="1323.72"/>
    <n v="1103.1000000000001"/>
    <n v="13237.2"/>
    <n v="2426.8200000000002"/>
    <n v="10810.380000000001"/>
  </r>
  <r>
    <n v="1980"/>
    <x v="1"/>
    <n v="4440"/>
    <n v="888"/>
    <n v="532.79999999999995"/>
    <n v="444"/>
    <n v="5328"/>
    <n v="976.8"/>
    <n v="4351.2"/>
  </r>
  <r>
    <n v="1981"/>
    <x v="1"/>
    <n v="4617"/>
    <n v="923.40000000000009"/>
    <n v="554.04"/>
    <n v="461.70000000000005"/>
    <n v="5540.4"/>
    <n v="1015.74"/>
    <n v="4524.66"/>
  </r>
  <r>
    <n v="1982"/>
    <x v="1"/>
    <n v="2647"/>
    <n v="529.4"/>
    <n v="317.64"/>
    <n v="264.7"/>
    <n v="3176.4"/>
    <n v="582.33999999999992"/>
    <n v="2594.0600000000004"/>
  </r>
  <r>
    <n v="1985"/>
    <x v="1"/>
    <n v="6323"/>
    <n v="1264.6000000000001"/>
    <n v="758.76"/>
    <n v="632.30000000000007"/>
    <n v="7587.6"/>
    <n v="1391.06"/>
    <n v="6196.5400000000009"/>
  </r>
  <r>
    <n v="1986"/>
    <x v="0"/>
    <n v="5677"/>
    <n v="1135.4000000000001"/>
    <n v="681.24"/>
    <n v="567.70000000000005"/>
    <n v="6812.4"/>
    <n v="1248.94"/>
    <n v="5563.4599999999991"/>
  </r>
  <r>
    <n v="1987"/>
    <x v="2"/>
    <n v="2187"/>
    <n v="437.40000000000003"/>
    <n v="262.44"/>
    <n v="218.70000000000002"/>
    <n v="2624.4"/>
    <n v="481.14"/>
    <n v="2143.2600000000002"/>
  </r>
  <r>
    <n v="1989"/>
    <x v="1"/>
    <n v="3748"/>
    <n v="749.6"/>
    <n v="449.76"/>
    <n v="374.8"/>
    <n v="4497.6000000000004"/>
    <n v="824.56"/>
    <n v="3673.0400000000004"/>
  </r>
  <r>
    <n v="1992"/>
    <x v="1"/>
    <n v="3977"/>
    <n v="795.40000000000009"/>
    <n v="477.24"/>
    <n v="397.70000000000005"/>
    <n v="4772.3999999999996"/>
    <n v="874.94"/>
    <n v="3897.4599999999996"/>
  </r>
  <r>
    <n v="1993"/>
    <x v="1"/>
    <n v="8633"/>
    <n v="1726.6000000000001"/>
    <n v="1035.96"/>
    <n v="863.30000000000007"/>
    <n v="10359.6"/>
    <n v="1899.2600000000002"/>
    <n v="8460.34"/>
  </r>
  <r>
    <n v="1994"/>
    <x v="1"/>
    <n v="2008"/>
    <n v="401.6"/>
    <n v="240.95999999999998"/>
    <n v="200.8"/>
    <n v="2409.6"/>
    <n v="441.76"/>
    <n v="1967.84"/>
  </r>
  <r>
    <n v="1995"/>
    <x v="0"/>
    <n v="4440"/>
    <n v="888"/>
    <n v="532.79999999999995"/>
    <n v="444"/>
    <n v="5328"/>
    <n v="976.8"/>
    <n v="4351.2"/>
  </r>
  <r>
    <n v="1996"/>
    <x v="0"/>
    <n v="3067"/>
    <n v="613.4"/>
    <n v="368.03999999999996"/>
    <n v="306.7"/>
    <n v="3680.4"/>
    <n v="674.74"/>
    <n v="3005.66"/>
  </r>
  <r>
    <n v="1997"/>
    <x v="1"/>
    <n v="5321"/>
    <n v="1064.2"/>
    <n v="638.52"/>
    <n v="532.1"/>
    <n v="6385.2"/>
    <n v="1170.6199999999999"/>
    <n v="5214.58"/>
  </r>
  <r>
    <n v="1998"/>
    <x v="1"/>
    <n v="5410"/>
    <n v="1082"/>
    <n v="649.19999999999993"/>
    <n v="541"/>
    <n v="6492"/>
    <n v="1190.1999999999998"/>
    <n v="5301.8"/>
  </r>
  <r>
    <n v="1999"/>
    <x v="1"/>
    <n v="2782"/>
    <n v="556.4"/>
    <n v="333.84"/>
    <n v="278.2"/>
    <n v="3338.4"/>
    <n v="612.04"/>
    <n v="2726.36"/>
  </r>
  <r>
    <n v="2000"/>
    <x v="1"/>
    <n v="11957"/>
    <n v="2391.4"/>
    <n v="1434.84"/>
    <n v="1195.7"/>
    <n v="14348.4"/>
    <n v="2630.54"/>
    <n v="11717.86"/>
  </r>
  <r>
    <n v="2003"/>
    <x v="1"/>
    <n v="2660"/>
    <n v="532"/>
    <n v="319.2"/>
    <n v="266"/>
    <n v="3192"/>
    <n v="585.20000000000005"/>
    <n v="2606.8000000000002"/>
  </r>
  <r>
    <n v="2007"/>
    <x v="1"/>
    <n v="3375"/>
    <n v="675"/>
    <n v="405"/>
    <n v="337.5"/>
    <n v="4050"/>
    <n v="742.5"/>
    <n v="3307.5"/>
  </r>
  <r>
    <n v="2008"/>
    <x v="1"/>
    <n v="5098"/>
    <n v="1019.6"/>
    <n v="611.76"/>
    <n v="509.8"/>
    <n v="6117.6"/>
    <n v="1121.56"/>
    <n v="4996.0400000000009"/>
  </r>
  <r>
    <n v="2009"/>
    <x v="1"/>
    <n v="4878"/>
    <n v="975.6"/>
    <n v="585.36"/>
    <n v="487.8"/>
    <n v="5853.6"/>
    <n v="1073.1600000000001"/>
    <n v="4780.4400000000005"/>
  </r>
  <r>
    <n v="2010"/>
    <x v="1"/>
    <n v="2837"/>
    <n v="567.4"/>
    <n v="340.44"/>
    <n v="283.7"/>
    <n v="3404.4"/>
    <n v="624.14"/>
    <n v="2780.26"/>
  </r>
  <r>
    <n v="2012"/>
    <x v="1"/>
    <n v="2406"/>
    <n v="481.20000000000005"/>
    <n v="288.71999999999997"/>
    <n v="240.60000000000002"/>
    <n v="2887.2"/>
    <n v="529.31999999999994"/>
    <n v="2357.88"/>
  </r>
  <r>
    <n v="2013"/>
    <x v="0"/>
    <n v="2269"/>
    <n v="453.8"/>
    <n v="272.27999999999997"/>
    <n v="226.9"/>
    <n v="2722.8"/>
    <n v="499.17999999999995"/>
    <n v="2223.6200000000003"/>
  </r>
  <r>
    <n v="2014"/>
    <x v="1"/>
    <n v="4108"/>
    <n v="821.6"/>
    <n v="492.96"/>
    <n v="410.8"/>
    <n v="4929.6000000000004"/>
    <n v="903.76"/>
    <n v="4025.84"/>
  </r>
  <r>
    <n v="2015"/>
    <x v="1"/>
    <n v="13206"/>
    <n v="2641.2000000000003"/>
    <n v="1584.72"/>
    <n v="1320.6000000000001"/>
    <n v="15847.2"/>
    <n v="2905.32"/>
    <n v="12941.880000000001"/>
  </r>
  <r>
    <n v="2016"/>
    <x v="0"/>
    <n v="10422"/>
    <n v="2084.4"/>
    <n v="1250.6399999999999"/>
    <n v="1042.2"/>
    <n v="12506.4"/>
    <n v="2292.84"/>
    <n v="10213.56"/>
  </r>
  <r>
    <n v="2017"/>
    <x v="1"/>
    <n v="13744"/>
    <n v="2748.8"/>
    <n v="1649.28"/>
    <n v="1374.4"/>
    <n v="16492.8"/>
    <n v="3023.6800000000003"/>
    <n v="13469.119999999999"/>
  </r>
  <r>
    <n v="2018"/>
    <x v="0"/>
    <n v="4907"/>
    <n v="981.40000000000009"/>
    <n v="588.84"/>
    <n v="490.70000000000005"/>
    <n v="5888.4"/>
    <n v="1079.54"/>
    <n v="4808.8599999999997"/>
  </r>
  <r>
    <n v="2019"/>
    <x v="0"/>
    <n v="3482"/>
    <n v="696.40000000000009"/>
    <n v="417.84"/>
    <n v="348.20000000000005"/>
    <n v="4178.3999999999996"/>
    <n v="766.04"/>
    <n v="3412.3599999999997"/>
  </r>
  <r>
    <n v="2020"/>
    <x v="1"/>
    <n v="2436"/>
    <n v="487.20000000000005"/>
    <n v="292.32"/>
    <n v="243.60000000000002"/>
    <n v="2923.2"/>
    <n v="535.92000000000007"/>
    <n v="2387.2799999999997"/>
  </r>
  <r>
    <n v="2021"/>
    <x v="0"/>
    <n v="2380"/>
    <n v="476"/>
    <n v="285.59999999999997"/>
    <n v="238"/>
    <n v="2856"/>
    <n v="523.59999999999991"/>
    <n v="2332.4"/>
  </r>
  <r>
    <n v="2022"/>
    <x v="1"/>
    <n v="19431"/>
    <n v="3886.2000000000003"/>
    <n v="2331.7199999999998"/>
    <n v="1943.1000000000001"/>
    <n v="23317.200000000001"/>
    <n v="4274.82"/>
    <n v="19042.38"/>
  </r>
  <r>
    <n v="2023"/>
    <x v="0"/>
    <n v="1790"/>
    <n v="358"/>
    <n v="214.79999999999998"/>
    <n v="179"/>
    <n v="2148"/>
    <n v="393.79999999999995"/>
    <n v="1754.2"/>
  </r>
  <r>
    <n v="2024"/>
    <x v="0"/>
    <n v="7644"/>
    <n v="1528.8000000000002"/>
    <n v="917.28"/>
    <n v="764.40000000000009"/>
    <n v="9172.7999999999993"/>
    <n v="1681.68"/>
    <n v="7491.119999999999"/>
  </r>
  <r>
    <n v="2025"/>
    <x v="1"/>
    <n v="5131"/>
    <n v="1026.2"/>
    <n v="615.72"/>
    <n v="513.1"/>
    <n v="6157.2"/>
    <n v="1128.8200000000002"/>
    <n v="5028.3799999999992"/>
  </r>
  <r>
    <n v="2026"/>
    <x v="1"/>
    <n v="6306"/>
    <n v="1261.2"/>
    <n v="756.72"/>
    <n v="630.6"/>
    <n v="7567.2"/>
    <n v="1387.3200000000002"/>
    <n v="6179.8799999999992"/>
  </r>
  <r>
    <n v="2027"/>
    <x v="1"/>
    <n v="4787"/>
    <n v="957.40000000000009"/>
    <n v="574.43999999999994"/>
    <n v="478.70000000000005"/>
    <n v="5744.4"/>
    <n v="1053.1399999999999"/>
    <n v="4691.26"/>
  </r>
  <r>
    <n v="2031"/>
    <x v="1"/>
    <n v="18880"/>
    <n v="3776"/>
    <n v="2265.6"/>
    <n v="1888"/>
    <n v="22656"/>
    <n v="4153.6000000000004"/>
    <n v="18502.400000000001"/>
  </r>
  <r>
    <n v="2032"/>
    <x v="1"/>
    <n v="2339"/>
    <n v="467.8"/>
    <n v="280.68"/>
    <n v="233.9"/>
    <n v="2806.8"/>
    <n v="514.58000000000004"/>
    <n v="2292.2200000000003"/>
  </r>
  <r>
    <n v="2034"/>
    <x v="1"/>
    <n v="13570"/>
    <n v="2714"/>
    <n v="1628.3999999999999"/>
    <n v="1357"/>
    <n v="16284"/>
    <n v="2985.3999999999996"/>
    <n v="13298.6"/>
  </r>
  <r>
    <n v="2035"/>
    <x v="0"/>
    <n v="6712"/>
    <n v="1342.4"/>
    <n v="805.43999999999994"/>
    <n v="671.2"/>
    <n v="8054.4"/>
    <n v="1476.6399999999999"/>
    <n v="6577.76"/>
  </r>
  <r>
    <n v="2036"/>
    <x v="0"/>
    <n v="5406"/>
    <n v="1081.2"/>
    <n v="648.72"/>
    <n v="540.6"/>
    <n v="6487.2"/>
    <n v="1189.3200000000002"/>
    <n v="5297.8799999999992"/>
  </r>
  <r>
    <n v="2037"/>
    <x v="0"/>
    <n v="8938"/>
    <n v="1787.6000000000001"/>
    <n v="1072.56"/>
    <n v="893.80000000000007"/>
    <n v="10725.6"/>
    <n v="1966.3600000000001"/>
    <n v="8759.24"/>
  </r>
  <r>
    <n v="2038"/>
    <x v="1"/>
    <n v="2439"/>
    <n v="487.8"/>
    <n v="292.68"/>
    <n v="243.9"/>
    <n v="2926.8"/>
    <n v="536.58000000000004"/>
    <n v="2390.2200000000003"/>
  </r>
  <r>
    <n v="2040"/>
    <x v="2"/>
    <n v="8837"/>
    <n v="1767.4"/>
    <n v="1060.44"/>
    <n v="883.7"/>
    <n v="10604.4"/>
    <n v="1944.14"/>
    <n v="8660.26"/>
  </r>
  <r>
    <n v="2041"/>
    <x v="0"/>
    <n v="5343"/>
    <n v="1068.6000000000001"/>
    <n v="641.16"/>
    <n v="534.30000000000007"/>
    <n v="6411.6"/>
    <n v="1175.46"/>
    <n v="5236.1400000000003"/>
  </r>
  <r>
    <n v="2044"/>
    <x v="0"/>
    <n v="6728"/>
    <n v="1345.6000000000001"/>
    <n v="807.36"/>
    <n v="672.80000000000007"/>
    <n v="8073.6"/>
    <n v="1480.16"/>
    <n v="6593.4400000000005"/>
  </r>
  <r>
    <n v="2045"/>
    <x v="0"/>
    <n v="6652"/>
    <n v="1330.4"/>
    <n v="798.24"/>
    <n v="665.2"/>
    <n v="7982.4"/>
    <n v="1463.44"/>
    <n v="6518.9599999999991"/>
  </r>
  <r>
    <n v="2046"/>
    <x v="0"/>
    <n v="4850"/>
    <n v="970"/>
    <n v="582"/>
    <n v="485"/>
    <n v="5820"/>
    <n v="1067"/>
    <n v="4753"/>
  </r>
  <r>
    <n v="2048"/>
    <x v="1"/>
    <n v="2809"/>
    <n v="561.80000000000007"/>
    <n v="337.08"/>
    <n v="280.90000000000003"/>
    <n v="3370.8"/>
    <n v="617.98"/>
    <n v="2752.82"/>
  </r>
  <r>
    <n v="2049"/>
    <x v="1"/>
    <n v="5689"/>
    <n v="1137.8"/>
    <n v="682.68"/>
    <n v="568.9"/>
    <n v="6826.8"/>
    <n v="1251.58"/>
    <n v="5575.22"/>
  </r>
  <r>
    <n v="2051"/>
    <x v="1"/>
    <n v="2001"/>
    <n v="400.20000000000005"/>
    <n v="240.12"/>
    <n v="200.10000000000002"/>
    <n v="2401.1999999999998"/>
    <n v="440.22"/>
    <n v="1960.9799999999998"/>
  </r>
  <r>
    <n v="2052"/>
    <x v="1"/>
    <n v="2977"/>
    <n v="595.4"/>
    <n v="357.24"/>
    <n v="297.7"/>
    <n v="3572.4"/>
    <n v="654.94000000000005"/>
    <n v="2917.46"/>
  </r>
  <r>
    <n v="2053"/>
    <x v="1"/>
    <n v="4025"/>
    <n v="805"/>
    <n v="483"/>
    <n v="402.5"/>
    <n v="4830"/>
    <n v="885.5"/>
    <n v="3944.5"/>
  </r>
  <r>
    <n v="2054"/>
    <x v="1"/>
    <n v="3785"/>
    <n v="757"/>
    <n v="454.2"/>
    <n v="378.5"/>
    <n v="4542"/>
    <n v="832.7"/>
    <n v="3709.3"/>
  </r>
  <r>
    <n v="2055"/>
    <x v="0"/>
    <n v="10854"/>
    <n v="2170.8000000000002"/>
    <n v="1302.48"/>
    <n v="1085.4000000000001"/>
    <n v="13024.8"/>
    <n v="2387.88"/>
    <n v="10636.919999999998"/>
  </r>
  <r>
    <n v="2056"/>
    <x v="0"/>
    <n v="12031"/>
    <n v="2406.2000000000003"/>
    <n v="1443.72"/>
    <n v="1203.1000000000001"/>
    <n v="14437.2"/>
    <n v="2646.82"/>
    <n v="11790.380000000001"/>
  </r>
  <r>
    <n v="2057"/>
    <x v="1"/>
    <n v="9936"/>
    <n v="1987.2"/>
    <n v="1192.32"/>
    <n v="993.6"/>
    <n v="11923.2"/>
    <n v="2185.92"/>
    <n v="9737.2800000000007"/>
  </r>
  <r>
    <n v="2060"/>
    <x v="0"/>
    <n v="2966"/>
    <n v="593.20000000000005"/>
    <n v="355.91999999999996"/>
    <n v="296.60000000000002"/>
    <n v="3559.2"/>
    <n v="652.52"/>
    <n v="2906.68"/>
  </r>
  <r>
    <n v="2061"/>
    <x v="1"/>
    <n v="2571"/>
    <n v="514.20000000000005"/>
    <n v="308.52"/>
    <n v="257.10000000000002"/>
    <n v="3085.2"/>
    <n v="565.62"/>
    <n v="2519.58"/>
  </r>
  <r>
    <n v="2062"/>
    <x v="1"/>
    <n v="9991"/>
    <n v="1998.2"/>
    <n v="1198.9199999999998"/>
    <n v="999.1"/>
    <n v="11989.2"/>
    <n v="2198.02"/>
    <n v="9791.18"/>
  </r>
  <r>
    <n v="2064"/>
    <x v="1"/>
    <n v="6142"/>
    <n v="1228.4000000000001"/>
    <n v="737.04"/>
    <n v="614.20000000000005"/>
    <n v="7370.4"/>
    <n v="1351.24"/>
    <n v="6019.16"/>
  </r>
  <r>
    <n v="2065"/>
    <x v="0"/>
    <n v="5390"/>
    <n v="1078"/>
    <n v="646.79999999999995"/>
    <n v="539"/>
    <n v="6468"/>
    <n v="1185.8"/>
    <n v="5282.2"/>
  </r>
  <r>
    <n v="2068"/>
    <x v="1"/>
    <n v="4404"/>
    <n v="880.80000000000007"/>
    <n v="528.48"/>
    <n v="440.40000000000003"/>
    <n v="5284.8"/>
    <n v="968.88000000000011"/>
    <n v="4315.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6EE5D-3B33-4EFA-99F6-C70D11A2ABF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4:G40" firstHeaderRow="1" firstDataRow="3" firstDataCol="1"/>
  <pivotFields count="10"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8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Employee Count" fld="0" subtotal="count" baseField="2" baseItem="0"/>
    <dataField name="%" fld="0" subtotal="count" showDataAs="percentOfRow" baseField="2" baseItem="0" numFmtId="10"/>
  </dataFields>
  <formats count="40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8" type="button" dataOnly="0" labelOnly="1" outline="0" axis="axisCol" fieldPosition="0"/>
    </format>
    <format dxfId="35">
      <pivotArea field="-2" type="button" dataOnly="0" labelOnly="1" outline="0" axis="axisCol" fieldPosition="1"/>
    </format>
    <format dxfId="34">
      <pivotArea type="topRight" dataOnly="0" labelOnly="1" outline="0" fieldPosition="0"/>
    </format>
    <format dxfId="33">
      <pivotArea field="2" type="button" dataOnly="0" labelOnly="1" outline="0" axis="axisRow" fieldPosition="0"/>
    </format>
    <format dxfId="32">
      <pivotArea dataOnly="0" labelOnly="1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8" count="0"/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8" type="button" dataOnly="0" labelOnly="1" outline="0" axis="axisCol" fieldPosition="0"/>
    </format>
    <format dxfId="25">
      <pivotArea field="-2" type="button" dataOnly="0" labelOnly="1" outline="0" axis="axisCol" fieldPosition="1"/>
    </format>
    <format dxfId="24">
      <pivotArea type="topRight" dataOnly="0" labelOnly="1" outline="0" fieldPosition="0"/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8" count="0"/>
        </references>
      </pivotArea>
    </format>
    <format dxfId="19">
      <pivotArea outline="0" fieldPosition="0">
        <references count="1">
          <reference field="4294967294" count="1">
            <x v="1"/>
          </reference>
        </references>
      </pivotArea>
    </format>
    <format dxfId="18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format>
    <format dxfId="17">
      <pivotArea dataOnly="0" labelOnly="1" outline="0" fieldPosition="0">
        <references count="2">
          <reference field="4294967294" count="1">
            <x v="1"/>
          </reference>
          <reference field="8" count="1" selected="0">
            <x v="0"/>
          </reference>
        </references>
      </pivotArea>
    </format>
    <format dxfId="16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format>
    <format dxfId="15">
      <pivotArea dataOnly="0" labelOnly="1" outline="0" fieldPosition="0">
        <references count="2">
          <reference field="4294967294" count="1">
            <x v="1"/>
          </reference>
          <reference field="8" count="1" selected="0">
            <x v="1"/>
          </reference>
        </references>
      </pivotArea>
    </format>
    <format dxfId="14">
      <pivotArea field="8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2">
          <reference field="4294967294" count="1">
            <x v="1"/>
          </reference>
          <reference field="8" count="1" selected="0">
            <x v="0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8" type="button" dataOnly="0" labelOnly="1" outline="0" axis="axisCol" fieldPosition="0"/>
    </format>
    <format dxfId="8">
      <pivotArea field="-2" type="button" dataOnly="0" labelOnly="1" outline="0" axis="axisCol" fieldPosition="1"/>
    </format>
    <format dxfId="7">
      <pivotArea type="topRight" dataOnly="0" labelOnly="1" outline="0" fieldPosition="0"/>
    </format>
    <format dxfId="6">
      <pivotArea field="2" type="button" dataOnly="0" labelOnly="1" outline="0" axis="axisRow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8" count="0"/>
        </references>
      </pivotArea>
    </format>
    <format dxfId="2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2">
          <reference field="4294967294" count="2">
            <x v="0"/>
            <x v="1"/>
          </reference>
          <reference field="8" count="0" selected="0"/>
        </references>
      </pivotArea>
    </format>
  </formats>
  <chartFormats count="6">
    <chartFormat chart="0" format="4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3346B-0FDC-4069-B52B-27B90AE8391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1:B25" firstHeaderRow="1" firstDataRow="1" firstDataCol="1"/>
  <pivotFields count="9">
    <pivotField showAll="0"/>
    <pivotField axis="axisRow" showAll="0">
      <items count="4">
        <item x="2"/>
        <item x="1"/>
        <item x="0"/>
        <item t="default"/>
      </items>
    </pivotField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2" subtotal="average" baseField="1" baseItem="0" numFmtId="164"/>
  </dataFields>
  <formats count="18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" type="button" dataOnly="0" labelOnly="1" outline="0" axis="axisRow" fieldPosition="0"/>
    </format>
    <format dxfId="54">
      <pivotArea dataOnly="0" labelOnly="1" fieldPosition="0">
        <references count="1">
          <reference field="1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" type="button" dataOnly="0" labelOnly="1" outline="0" axis="axisRow" fieldPosition="0"/>
    </format>
    <format dxfId="48">
      <pivotArea dataOnly="0" labelOnly="1" fieldPosition="0">
        <references count="1">
          <reference field="1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E495F-59B1-4035-9D5E-CB4A5B6DA0E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0:B14" firstHeaderRow="1" firstDataRow="1" firstDataCol="1"/>
  <pivotFields count="10"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0" subtotal="count" baseField="2" baseItem="0"/>
  </dataFields>
  <formats count="18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2" type="button" dataOnly="0" labelOnly="1" outline="0" axis="axisRow" fieldPosition="0"/>
    </format>
    <format dxfId="72">
      <pivotArea dataOnly="0" labelOnly="1" fieldPosition="0">
        <references count="1">
          <reference field="2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2" type="button" dataOnly="0" labelOnly="1" outline="0" axis="axisRow" fieldPosition="0"/>
    </format>
    <format dxfId="66">
      <pivotArea dataOnly="0" labelOnly="1" fieldPosition="0">
        <references count="1">
          <reference field="2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2" type="button" dataOnly="0" labelOnly="1" outline="0" axis="axisRow" fieldPosition="0"/>
    </format>
    <format dxfId="60">
      <pivotArea dataOnly="0" labelOnly="1" fieldPosition="0">
        <references count="1">
          <reference field="2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54738C-762C-4916-8CB8-0800A1FBBF7E}" autoFormatId="16" applyNumberFormats="0" applyBorderFormats="0" applyFontFormats="0" applyPatternFormats="0" applyAlignmentFormats="0" applyWidthHeightFormats="0">
  <queryTableRefresh nextId="12" unboundColumnsRight="1">
    <queryTableFields count="10">
      <queryTableField id="1" name="EmployeeNumber" tableColumnId="1"/>
      <queryTableField id="2" name="Age" tableColumnId="2"/>
      <queryTableField id="3" name="Department" tableColumnId="3"/>
      <queryTableField id="4" name="JobRole" tableColumnId="4"/>
      <queryTableField id="5" name="JobLevel" tableColumnId="5"/>
      <queryTableField id="6" name="MonthlyIncome" tableColumnId="6"/>
      <queryTableField id="7" name="YearsAtCompany" tableColumnId="7"/>
      <queryTableField id="8" name="WorkLifeBalance" tableColumnId="8"/>
      <queryTableField id="11" name="Attrition" tableColumnId="11"/>
      <queryTableField id="9" dataBound="0" tableColumnId="9"/>
    </queryTableFields>
    <queryTableDeletedFields count="1">
      <deletedField name="Attri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E9A72-3079-41FB-AD65-7E377725AF51}" name="Employee" displayName="Employee" ref="A1:J1471" tableType="queryTable" totalsRowShown="0" headerRowDxfId="98" dataDxfId="97" headerRowCellStyle="Normal" dataCellStyle="Normal">
  <autoFilter ref="A1:J1471" xr:uid="{DC4E9A72-3079-41FB-AD65-7E377725AF51}"/>
  <tableColumns count="10">
    <tableColumn id="1" xr3:uid="{9430E6C6-A852-4A3E-BE60-02A28A3EACD7}" uniqueName="1" name="EmployeeNumber" queryTableFieldId="1" dataDxfId="96" dataCellStyle="Normal"/>
    <tableColumn id="2" xr3:uid="{68FF1234-046F-4F5B-A8C9-0F520ABCA081}" uniqueName="2" name="Age" queryTableFieldId="2" dataDxfId="95" dataCellStyle="Normal"/>
    <tableColumn id="3" xr3:uid="{2989EA21-9B19-4EB6-8828-655403983FB9}" uniqueName="3" name="Department" queryTableFieldId="3" dataDxfId="94" dataCellStyle="Normal"/>
    <tableColumn id="4" xr3:uid="{4382E15D-0311-4A3C-A401-B6A26E02F72F}" uniqueName="4" name="JobRole" queryTableFieldId="4" dataDxfId="93" dataCellStyle="Normal"/>
    <tableColumn id="5" xr3:uid="{71765989-3E14-4B79-8518-63FE0429C0CB}" uniqueName="5" name="JobLevel" queryTableFieldId="5" dataDxfId="92" dataCellStyle="Normal"/>
    <tableColumn id="6" xr3:uid="{1B685B73-7FD2-4084-B964-151E4C0B857E}" uniqueName="6" name="MonthlyIncome" queryTableFieldId="6" dataDxfId="91" dataCellStyle="Normal"/>
    <tableColumn id="7" xr3:uid="{BAC38FCC-9310-4663-9FA5-1B02F4CF430B}" uniqueName="7" name="YearsAtCompany" queryTableFieldId="7" dataDxfId="90" dataCellStyle="Normal"/>
    <tableColumn id="8" xr3:uid="{DCE7D375-C324-4A8E-8FC2-26B28FF4A843}" uniqueName="8" name="WorkLifeBalance" queryTableFieldId="8" dataDxfId="89" dataCellStyle="Normal"/>
    <tableColumn id="11" xr3:uid="{B0DCE1B7-91F9-4D80-BADE-E05CB1E8B740}" uniqueName="11" name="Attrition" queryTableFieldId="11" dataDxfId="88"/>
    <tableColumn id="9" xr3:uid="{AC8703D4-2CA9-4285-9426-EF8A58D41AD7}" uniqueName="9" name="Column2" queryTableFieldId="9" dataDxfId="87" dataCellStyle="Normal">
      <calculatedColumnFormula>IF(Employee[[#This Row],[Attrition]]="Yes","Resigned","Active")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EA7122-2D57-418B-96EE-7D4AC901D80A}" name="Payroll" displayName="Payroll" ref="A1:I1471" totalsRowShown="0" headerRowDxfId="86" dataDxfId="85">
  <autoFilter ref="A1:I1471" xr:uid="{C1EA7122-2D57-418B-96EE-7D4AC901D80A}"/>
  <tableColumns count="9">
    <tableColumn id="1" xr3:uid="{8A25BF9A-4987-438B-AB1A-F0A33747F570}" name="EmployeeID" dataDxfId="84"/>
    <tableColumn id="9" xr3:uid="{40A00BD2-A061-4029-98ED-C8D3121185FB}" name="Department" dataDxfId="83">
      <calculatedColumnFormula>VLOOKUP(A2, EmployeeMaster!$A:$D, 3, FALSE)</calculatedColumnFormula>
    </tableColumn>
    <tableColumn id="2" xr3:uid="{212DAD39-129A-4E3D-BD17-4F56E748CB57}" name="MonthlyIncome" dataDxfId="82"/>
    <tableColumn id="3" xr3:uid="{69A00DAD-454D-4AE8-99B5-A5DA3FAC7C3C}" name="HRA (20%)" dataDxfId="81">
      <calculatedColumnFormula>C2*20%</calculatedColumnFormula>
    </tableColumn>
    <tableColumn id="4" xr3:uid="{2E1954DB-02CB-4BD9-BDD8-44145C82CE77}" name="PF (12%)" dataDxfId="80">
      <calculatedColumnFormula>C2*12%</calculatedColumnFormula>
    </tableColumn>
    <tableColumn id="5" xr3:uid="{5C625494-68BD-441B-8172-4D3D1D4C1F2F}" name="TAX (10%)" dataDxfId="79">
      <calculatedColumnFormula>C2*10%</calculatedColumnFormula>
    </tableColumn>
    <tableColumn id="6" xr3:uid="{448D63A4-960E-44E0-B915-24D1F9A3F54E}" name="Gross Pay" dataDxfId="78">
      <calculatedColumnFormula>C2+D2</calculatedColumnFormula>
    </tableColumn>
    <tableColumn id="7" xr3:uid="{A4238B1A-C731-4BE4-ABAC-7BA4B9051F7A}" name="Deduction" dataDxfId="77">
      <calculatedColumnFormula>E2+F2</calculatedColumnFormula>
    </tableColumn>
    <tableColumn id="8" xr3:uid="{3F46C2F9-4776-40B6-AD28-EC2E66946951}" name="Net Pay" dataDxfId="76" dataCellStyle="60% - Accent5">
      <calculatedColumnFormula>G2-H2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B7CF-2A38-461D-9782-43934E7CD993}">
  <dimension ref="A9:G40"/>
  <sheetViews>
    <sheetView tabSelected="1" zoomScaleNormal="100" workbookViewId="0">
      <selection activeCell="I20" sqref="I20"/>
    </sheetView>
  </sheetViews>
  <sheetFormatPr defaultColWidth="25" defaultRowHeight="15" x14ac:dyDescent="0.25"/>
  <cols>
    <col min="1" max="1" width="33.28515625" customWidth="1"/>
    <col min="2" max="2" width="25.7109375" customWidth="1"/>
    <col min="3" max="3" width="10.42578125" customWidth="1"/>
    <col min="4" max="4" width="15.7109375" bestFit="1" customWidth="1"/>
    <col min="5" max="5" width="6.28515625" bestFit="1" customWidth="1"/>
    <col min="6" max="6" width="20.7109375" bestFit="1" customWidth="1"/>
    <col min="7" max="7" width="7.42578125" bestFit="1" customWidth="1"/>
  </cols>
  <sheetData>
    <row r="9" spans="1:7" x14ac:dyDescent="0.25">
      <c r="A9" s="14" t="s">
        <v>33</v>
      </c>
      <c r="B9" s="14"/>
      <c r="C9" s="4"/>
      <c r="D9" s="4"/>
      <c r="E9" s="4"/>
      <c r="F9" s="4"/>
      <c r="G9" s="4"/>
    </row>
    <row r="10" spans="1:7" x14ac:dyDescent="0.25">
      <c r="A10" s="7" t="s">
        <v>30</v>
      </c>
      <c r="B10" s="6" t="s">
        <v>32</v>
      </c>
      <c r="C10" s="4"/>
      <c r="D10" s="4"/>
      <c r="E10" s="4"/>
      <c r="F10" s="4"/>
      <c r="G10" s="4"/>
    </row>
    <row r="11" spans="1:7" x14ac:dyDescent="0.25">
      <c r="A11" s="6" t="s">
        <v>20</v>
      </c>
      <c r="B11" s="6">
        <v>63</v>
      </c>
      <c r="C11" s="4"/>
      <c r="D11" s="4"/>
      <c r="E11" s="4"/>
      <c r="F11" s="4"/>
      <c r="G11" s="4"/>
    </row>
    <row r="12" spans="1:7" x14ac:dyDescent="0.25">
      <c r="A12" s="6" t="s">
        <v>11</v>
      </c>
      <c r="B12" s="6">
        <v>961</v>
      </c>
      <c r="C12" s="4"/>
      <c r="D12" s="4"/>
      <c r="E12" s="4"/>
      <c r="F12" s="4"/>
      <c r="G12" s="4"/>
    </row>
    <row r="13" spans="1:7" x14ac:dyDescent="0.25">
      <c r="A13" s="6" t="s">
        <v>8</v>
      </c>
      <c r="B13" s="6">
        <v>446</v>
      </c>
      <c r="C13" s="4"/>
      <c r="D13" s="4"/>
      <c r="E13" s="4"/>
      <c r="F13" s="4"/>
      <c r="G13" s="4"/>
    </row>
    <row r="14" spans="1:7" x14ac:dyDescent="0.25">
      <c r="A14" s="6" t="s">
        <v>31</v>
      </c>
      <c r="B14" s="6">
        <v>1470</v>
      </c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8.75" x14ac:dyDescent="0.25">
      <c r="A20" s="13" t="s">
        <v>41</v>
      </c>
      <c r="B20" s="13"/>
      <c r="C20" s="4"/>
      <c r="D20" s="4"/>
      <c r="E20" s="4"/>
      <c r="F20" s="4"/>
      <c r="G20" s="4"/>
    </row>
    <row r="21" spans="1:7" x14ac:dyDescent="0.25">
      <c r="A21" s="7" t="s">
        <v>30</v>
      </c>
      <c r="B21" s="6" t="s">
        <v>34</v>
      </c>
      <c r="C21" s="4"/>
      <c r="D21" s="4"/>
      <c r="E21" s="4"/>
      <c r="F21" s="4"/>
      <c r="G21" s="4"/>
    </row>
    <row r="22" spans="1:7" x14ac:dyDescent="0.25">
      <c r="A22" s="6" t="s">
        <v>20</v>
      </c>
      <c r="B22" s="8">
        <v>6654.5079365079364</v>
      </c>
      <c r="C22" s="4"/>
      <c r="D22" s="4"/>
      <c r="E22" s="4"/>
      <c r="F22" s="4"/>
      <c r="G22" s="4"/>
    </row>
    <row r="23" spans="1:7" x14ac:dyDescent="0.25">
      <c r="A23" s="6" t="s">
        <v>11</v>
      </c>
      <c r="B23" s="8">
        <v>6281.2528616024974</v>
      </c>
      <c r="C23" s="4"/>
      <c r="D23" s="4"/>
      <c r="E23" s="4"/>
      <c r="F23" s="4"/>
      <c r="G23" s="4"/>
    </row>
    <row r="24" spans="1:7" x14ac:dyDescent="0.25">
      <c r="A24" s="6" t="s">
        <v>8</v>
      </c>
      <c r="B24" s="8">
        <v>6959.17264573991</v>
      </c>
      <c r="C24" s="4"/>
      <c r="D24" s="4"/>
      <c r="E24" s="4"/>
      <c r="F24" s="4"/>
      <c r="G24" s="4"/>
    </row>
    <row r="25" spans="1:7" x14ac:dyDescent="0.25">
      <c r="A25" s="6" t="s">
        <v>31</v>
      </c>
      <c r="B25" s="8">
        <v>6502.931292517007</v>
      </c>
      <c r="C25" s="4"/>
      <c r="D25" s="4"/>
      <c r="E25" s="4"/>
      <c r="F25" s="4"/>
      <c r="G25" s="4"/>
    </row>
    <row r="26" spans="1:7" x14ac:dyDescent="0.25">
      <c r="C26" s="4"/>
      <c r="D26" s="4"/>
      <c r="E26" s="4"/>
      <c r="F26" s="4"/>
      <c r="G26" s="4"/>
    </row>
    <row r="27" spans="1:7" x14ac:dyDescent="0.25">
      <c r="C27" s="4"/>
      <c r="D27" s="4"/>
      <c r="E27" s="4"/>
      <c r="F27" s="4"/>
      <c r="G27" s="4"/>
    </row>
    <row r="28" spans="1:7" x14ac:dyDescent="0.25"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  <row r="31" spans="1:7" x14ac:dyDescent="0.25">
      <c r="A31" s="4"/>
      <c r="B31" s="4"/>
      <c r="C31" s="4"/>
      <c r="D31" s="4"/>
      <c r="E31" s="4"/>
      <c r="F31" s="4"/>
      <c r="G31" s="4"/>
    </row>
    <row r="32" spans="1:7" x14ac:dyDescent="0.25">
      <c r="A32" s="4"/>
      <c r="B32" s="4"/>
      <c r="C32" s="4"/>
      <c r="D32" s="4"/>
      <c r="E32" s="4"/>
      <c r="F32" s="4"/>
      <c r="G32" s="4"/>
    </row>
    <row r="33" spans="1:7" x14ac:dyDescent="0.25">
      <c r="A33" t="s">
        <v>35</v>
      </c>
      <c r="B33" s="4"/>
      <c r="C33" s="4"/>
      <c r="D33" s="4"/>
      <c r="E33" s="4"/>
      <c r="F33" s="4"/>
      <c r="G33" s="4"/>
    </row>
    <row r="34" spans="1:7" x14ac:dyDescent="0.25">
      <c r="A34" s="6"/>
      <c r="B34" s="7" t="s">
        <v>36</v>
      </c>
      <c r="C34" s="6"/>
      <c r="D34" s="6"/>
      <c r="E34" s="6"/>
      <c r="F34" s="6"/>
      <c r="G34" s="6"/>
    </row>
    <row r="35" spans="1:7" x14ac:dyDescent="0.25">
      <c r="A35" s="6"/>
      <c r="B35" s="6" t="s">
        <v>13</v>
      </c>
      <c r="C35" s="6"/>
      <c r="D35" s="6" t="s">
        <v>10</v>
      </c>
      <c r="E35" s="6"/>
      <c r="F35" s="6" t="s">
        <v>37</v>
      </c>
      <c r="G35" s="6" t="s">
        <v>39</v>
      </c>
    </row>
    <row r="36" spans="1:7" x14ac:dyDescent="0.25">
      <c r="A36" s="7" t="s">
        <v>30</v>
      </c>
      <c r="B36" s="6" t="s">
        <v>38</v>
      </c>
      <c r="C36" s="9" t="s">
        <v>40</v>
      </c>
      <c r="D36" s="6" t="s">
        <v>38</v>
      </c>
      <c r="E36" s="9" t="s">
        <v>40</v>
      </c>
      <c r="F36" s="6"/>
      <c r="G36" s="6"/>
    </row>
    <row r="37" spans="1:7" x14ac:dyDescent="0.25">
      <c r="A37" s="6" t="s">
        <v>20</v>
      </c>
      <c r="B37" s="6">
        <v>51</v>
      </c>
      <c r="C37" s="9">
        <v>0.80952380952380953</v>
      </c>
      <c r="D37" s="6">
        <v>12</v>
      </c>
      <c r="E37" s="9">
        <v>0.19047619047619047</v>
      </c>
      <c r="F37" s="6">
        <v>63</v>
      </c>
      <c r="G37" s="9">
        <v>1</v>
      </c>
    </row>
    <row r="38" spans="1:7" x14ac:dyDescent="0.25">
      <c r="A38" s="6" t="s">
        <v>11</v>
      </c>
      <c r="B38" s="6">
        <v>828</v>
      </c>
      <c r="C38" s="9">
        <v>0.86160249739854322</v>
      </c>
      <c r="D38" s="6">
        <v>133</v>
      </c>
      <c r="E38" s="9">
        <v>0.13839750260145681</v>
      </c>
      <c r="F38" s="6">
        <v>961</v>
      </c>
      <c r="G38" s="9">
        <v>1</v>
      </c>
    </row>
    <row r="39" spans="1:7" x14ac:dyDescent="0.25">
      <c r="A39" s="6" t="s">
        <v>8</v>
      </c>
      <c r="B39" s="6">
        <v>354</v>
      </c>
      <c r="C39" s="9">
        <v>0.79372197309417036</v>
      </c>
      <c r="D39" s="6">
        <v>92</v>
      </c>
      <c r="E39" s="9">
        <v>0.20627802690582961</v>
      </c>
      <c r="F39" s="6">
        <v>446</v>
      </c>
      <c r="G39" s="9">
        <v>1</v>
      </c>
    </row>
    <row r="40" spans="1:7" x14ac:dyDescent="0.25">
      <c r="A40" s="6" t="s">
        <v>31</v>
      </c>
      <c r="B40" s="6">
        <v>1233</v>
      </c>
      <c r="C40" s="9">
        <v>0.83877551020408159</v>
      </c>
      <c r="D40" s="6">
        <v>237</v>
      </c>
      <c r="E40" s="9">
        <v>0.16122448979591836</v>
      </c>
      <c r="F40" s="6">
        <v>1470</v>
      </c>
      <c r="G40" s="9">
        <v>1</v>
      </c>
    </row>
  </sheetData>
  <mergeCells count="2">
    <mergeCell ref="A20:B20"/>
    <mergeCell ref="A9:B9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CA48-AFED-42F1-AA2D-BA21D42FAF64}">
  <dimension ref="A1:J1471"/>
  <sheetViews>
    <sheetView topLeftCell="A77" workbookViewId="0">
      <selection activeCell="D1" sqref="D1"/>
    </sheetView>
  </sheetViews>
  <sheetFormatPr defaultRowHeight="15" x14ac:dyDescent="0.25"/>
  <cols>
    <col min="1" max="1" width="19.7109375" bestFit="1" customWidth="1"/>
    <col min="2" max="2" width="6.7109375" bestFit="1" customWidth="1"/>
    <col min="3" max="3" width="23.85546875" style="3" bestFit="1" customWidth="1"/>
    <col min="4" max="4" width="25" style="3" bestFit="1" customWidth="1"/>
    <col min="5" max="5" width="11" bestFit="1" customWidth="1"/>
    <col min="6" max="6" width="17.5703125" bestFit="1" customWidth="1"/>
    <col min="7" max="7" width="18.5703125" bestFit="1" customWidth="1"/>
    <col min="8" max="8" width="18.42578125" bestFit="1" customWidth="1"/>
    <col min="9" max="9" width="10.85546875" bestFit="1" customWidth="1"/>
    <col min="10" max="10" width="11.85546875" bestFit="1" customWidth="1"/>
    <col min="11" max="11" width="11.140625" bestFit="1" customWidth="1"/>
  </cols>
  <sheetData>
    <row r="1" spans="1:10" s="4" customFormat="1" x14ac:dyDescent="0.25">
      <c r="A1" s="4" t="s">
        <v>29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22</v>
      </c>
      <c r="J1" s="4" t="s">
        <v>21</v>
      </c>
    </row>
    <row r="2" spans="1:10" x14ac:dyDescent="0.25">
      <c r="A2" s="6">
        <v>1</v>
      </c>
      <c r="B2" s="6">
        <v>41</v>
      </c>
      <c r="C2" s="5" t="s">
        <v>8</v>
      </c>
      <c r="D2" s="5" t="s">
        <v>9</v>
      </c>
      <c r="E2" s="6">
        <v>2</v>
      </c>
      <c r="F2" s="6">
        <v>5993</v>
      </c>
      <c r="G2" s="6">
        <v>6</v>
      </c>
      <c r="H2" s="6">
        <v>1</v>
      </c>
      <c r="I2" s="6" t="s">
        <v>10</v>
      </c>
      <c r="J2" s="6" t="str">
        <f>IF(Employee[[#This Row],[Attrition]]="Yes","Resigned","Active")</f>
        <v>Resigned</v>
      </c>
    </row>
    <row r="3" spans="1:10" x14ac:dyDescent="0.25">
      <c r="A3" s="6">
        <v>2</v>
      </c>
      <c r="B3" s="6">
        <v>49</v>
      </c>
      <c r="C3" s="5" t="s">
        <v>11</v>
      </c>
      <c r="D3" s="5" t="s">
        <v>12</v>
      </c>
      <c r="E3" s="6">
        <v>2</v>
      </c>
      <c r="F3" s="6">
        <v>5130</v>
      </c>
      <c r="G3" s="6">
        <v>10</v>
      </c>
      <c r="H3" s="6">
        <v>3</v>
      </c>
      <c r="I3" s="6" t="s">
        <v>13</v>
      </c>
      <c r="J3" s="6" t="str">
        <f>IF(Employee[[#This Row],[Attrition]]="Yes","Resigned","Active")</f>
        <v>Active</v>
      </c>
    </row>
    <row r="4" spans="1:10" x14ac:dyDescent="0.25">
      <c r="A4" s="6">
        <v>4</v>
      </c>
      <c r="B4" s="6">
        <v>37</v>
      </c>
      <c r="C4" s="5" t="s">
        <v>11</v>
      </c>
      <c r="D4" s="5" t="s">
        <v>14</v>
      </c>
      <c r="E4" s="6">
        <v>1</v>
      </c>
      <c r="F4" s="6">
        <v>2090</v>
      </c>
      <c r="G4" s="6">
        <v>0</v>
      </c>
      <c r="H4" s="6">
        <v>3</v>
      </c>
      <c r="I4" s="6" t="s">
        <v>10</v>
      </c>
      <c r="J4" s="6" t="str">
        <f>IF(Employee[[#This Row],[Attrition]]="Yes","Resigned","Active")</f>
        <v>Resigned</v>
      </c>
    </row>
    <row r="5" spans="1:10" x14ac:dyDescent="0.25">
      <c r="A5" s="6">
        <v>5</v>
      </c>
      <c r="B5" s="6">
        <v>33</v>
      </c>
      <c r="C5" s="5" t="s">
        <v>11</v>
      </c>
      <c r="D5" s="5" t="s">
        <v>12</v>
      </c>
      <c r="E5" s="6">
        <v>1</v>
      </c>
      <c r="F5" s="6">
        <v>2909</v>
      </c>
      <c r="G5" s="6">
        <v>8</v>
      </c>
      <c r="H5" s="6">
        <v>3</v>
      </c>
      <c r="I5" s="6" t="s">
        <v>13</v>
      </c>
      <c r="J5" s="6" t="str">
        <f>IF(Employee[[#This Row],[Attrition]]="Yes","Resigned","Active")</f>
        <v>Active</v>
      </c>
    </row>
    <row r="6" spans="1:10" x14ac:dyDescent="0.25">
      <c r="A6" s="6">
        <v>7</v>
      </c>
      <c r="B6" s="6">
        <v>27</v>
      </c>
      <c r="C6" s="5" t="s">
        <v>11</v>
      </c>
      <c r="D6" s="5" t="s">
        <v>14</v>
      </c>
      <c r="E6" s="6">
        <v>1</v>
      </c>
      <c r="F6" s="6">
        <v>3468</v>
      </c>
      <c r="G6" s="6">
        <v>2</v>
      </c>
      <c r="H6" s="6">
        <v>3</v>
      </c>
      <c r="I6" s="6" t="s">
        <v>13</v>
      </c>
      <c r="J6" s="6" t="str">
        <f>IF(Employee[[#This Row],[Attrition]]="Yes","Resigned","Active")</f>
        <v>Active</v>
      </c>
    </row>
    <row r="7" spans="1:10" x14ac:dyDescent="0.25">
      <c r="A7" s="6">
        <v>8</v>
      </c>
      <c r="B7" s="6">
        <v>32</v>
      </c>
      <c r="C7" s="5" t="s">
        <v>11</v>
      </c>
      <c r="D7" s="5" t="s">
        <v>14</v>
      </c>
      <c r="E7" s="6">
        <v>1</v>
      </c>
      <c r="F7" s="6">
        <v>3068</v>
      </c>
      <c r="G7" s="6">
        <v>7</v>
      </c>
      <c r="H7" s="6">
        <v>2</v>
      </c>
      <c r="I7" s="6" t="s">
        <v>13</v>
      </c>
      <c r="J7" s="6" t="str">
        <f>IF(Employee[[#This Row],[Attrition]]="Yes","Resigned","Active")</f>
        <v>Active</v>
      </c>
    </row>
    <row r="8" spans="1:10" x14ac:dyDescent="0.25">
      <c r="A8" s="6">
        <v>10</v>
      </c>
      <c r="B8" s="6">
        <v>59</v>
      </c>
      <c r="C8" s="5" t="s">
        <v>11</v>
      </c>
      <c r="D8" s="5" t="s">
        <v>14</v>
      </c>
      <c r="E8" s="6">
        <v>1</v>
      </c>
      <c r="F8" s="6">
        <v>2670</v>
      </c>
      <c r="G8" s="6">
        <v>1</v>
      </c>
      <c r="H8" s="6">
        <v>2</v>
      </c>
      <c r="I8" s="6" t="s">
        <v>13</v>
      </c>
      <c r="J8" s="6" t="str">
        <f>IF(Employee[[#This Row],[Attrition]]="Yes","Resigned","Active")</f>
        <v>Active</v>
      </c>
    </row>
    <row r="9" spans="1:10" x14ac:dyDescent="0.25">
      <c r="A9" s="6">
        <v>11</v>
      </c>
      <c r="B9" s="6">
        <v>30</v>
      </c>
      <c r="C9" s="5" t="s">
        <v>11</v>
      </c>
      <c r="D9" s="5" t="s">
        <v>14</v>
      </c>
      <c r="E9" s="6">
        <v>1</v>
      </c>
      <c r="F9" s="6">
        <v>2693</v>
      </c>
      <c r="G9" s="6">
        <v>1</v>
      </c>
      <c r="H9" s="6">
        <v>3</v>
      </c>
      <c r="I9" s="6" t="s">
        <v>13</v>
      </c>
      <c r="J9" s="6" t="str">
        <f>IF(Employee[[#This Row],[Attrition]]="Yes","Resigned","Active")</f>
        <v>Active</v>
      </c>
    </row>
    <row r="10" spans="1:10" x14ac:dyDescent="0.25">
      <c r="A10" s="6">
        <v>12</v>
      </c>
      <c r="B10" s="6">
        <v>38</v>
      </c>
      <c r="C10" s="5" t="s">
        <v>11</v>
      </c>
      <c r="D10" s="5" t="s">
        <v>15</v>
      </c>
      <c r="E10" s="6">
        <v>3</v>
      </c>
      <c r="F10" s="6">
        <v>9526</v>
      </c>
      <c r="G10" s="6">
        <v>9</v>
      </c>
      <c r="H10" s="6">
        <v>3</v>
      </c>
      <c r="I10" s="6" t="s">
        <v>13</v>
      </c>
      <c r="J10" s="6" t="str">
        <f>IF(Employee[[#This Row],[Attrition]]="Yes","Resigned","Active")</f>
        <v>Active</v>
      </c>
    </row>
    <row r="11" spans="1:10" x14ac:dyDescent="0.25">
      <c r="A11" s="6">
        <v>13</v>
      </c>
      <c r="B11" s="6">
        <v>36</v>
      </c>
      <c r="C11" s="5" t="s">
        <v>11</v>
      </c>
      <c r="D11" s="5" t="s">
        <v>16</v>
      </c>
      <c r="E11" s="6">
        <v>2</v>
      </c>
      <c r="F11" s="6">
        <v>5237</v>
      </c>
      <c r="G11" s="6">
        <v>7</v>
      </c>
      <c r="H11" s="6">
        <v>2</v>
      </c>
      <c r="I11" s="6" t="s">
        <v>13</v>
      </c>
      <c r="J11" s="6" t="str">
        <f>IF(Employee[[#This Row],[Attrition]]="Yes","Resigned","Active")</f>
        <v>Active</v>
      </c>
    </row>
    <row r="12" spans="1:10" x14ac:dyDescent="0.25">
      <c r="A12" s="6">
        <v>14</v>
      </c>
      <c r="B12" s="6">
        <v>35</v>
      </c>
      <c r="C12" s="5" t="s">
        <v>11</v>
      </c>
      <c r="D12" s="5" t="s">
        <v>14</v>
      </c>
      <c r="E12" s="6">
        <v>1</v>
      </c>
      <c r="F12" s="6">
        <v>2426</v>
      </c>
      <c r="G12" s="6">
        <v>5</v>
      </c>
      <c r="H12" s="6">
        <v>3</v>
      </c>
      <c r="I12" s="6" t="s">
        <v>13</v>
      </c>
      <c r="J12" s="6" t="str">
        <f>IF(Employee[[#This Row],[Attrition]]="Yes","Resigned","Active")</f>
        <v>Active</v>
      </c>
    </row>
    <row r="13" spans="1:10" x14ac:dyDescent="0.25">
      <c r="A13" s="6">
        <v>15</v>
      </c>
      <c r="B13" s="6">
        <v>29</v>
      </c>
      <c r="C13" s="5" t="s">
        <v>11</v>
      </c>
      <c r="D13" s="5" t="s">
        <v>14</v>
      </c>
      <c r="E13" s="6">
        <v>2</v>
      </c>
      <c r="F13" s="6">
        <v>4193</v>
      </c>
      <c r="G13" s="6">
        <v>9</v>
      </c>
      <c r="H13" s="6">
        <v>3</v>
      </c>
      <c r="I13" s="6" t="s">
        <v>13</v>
      </c>
      <c r="J13" s="6" t="str">
        <f>IF(Employee[[#This Row],[Attrition]]="Yes","Resigned","Active")</f>
        <v>Active</v>
      </c>
    </row>
    <row r="14" spans="1:10" x14ac:dyDescent="0.25">
      <c r="A14" s="6">
        <v>16</v>
      </c>
      <c r="B14" s="6">
        <v>31</v>
      </c>
      <c r="C14" s="5" t="s">
        <v>11</v>
      </c>
      <c r="D14" s="5" t="s">
        <v>12</v>
      </c>
      <c r="E14" s="6">
        <v>1</v>
      </c>
      <c r="F14" s="6">
        <v>2911</v>
      </c>
      <c r="G14" s="6">
        <v>5</v>
      </c>
      <c r="H14" s="6">
        <v>2</v>
      </c>
      <c r="I14" s="6" t="s">
        <v>13</v>
      </c>
      <c r="J14" s="6" t="str">
        <f>IF(Employee[[#This Row],[Attrition]]="Yes","Resigned","Active")</f>
        <v>Active</v>
      </c>
    </row>
    <row r="15" spans="1:10" x14ac:dyDescent="0.25">
      <c r="A15" s="6">
        <v>18</v>
      </c>
      <c r="B15" s="6">
        <v>34</v>
      </c>
      <c r="C15" s="5" t="s">
        <v>11</v>
      </c>
      <c r="D15" s="5" t="s">
        <v>14</v>
      </c>
      <c r="E15" s="6">
        <v>1</v>
      </c>
      <c r="F15" s="6">
        <v>2661</v>
      </c>
      <c r="G15" s="6">
        <v>2</v>
      </c>
      <c r="H15" s="6">
        <v>3</v>
      </c>
      <c r="I15" s="6" t="s">
        <v>13</v>
      </c>
      <c r="J15" s="6" t="str">
        <f>IF(Employee[[#This Row],[Attrition]]="Yes","Resigned","Active")</f>
        <v>Active</v>
      </c>
    </row>
    <row r="16" spans="1:10" x14ac:dyDescent="0.25">
      <c r="A16" s="6">
        <v>19</v>
      </c>
      <c r="B16" s="6">
        <v>28</v>
      </c>
      <c r="C16" s="5" t="s">
        <v>11</v>
      </c>
      <c r="D16" s="5" t="s">
        <v>14</v>
      </c>
      <c r="E16" s="6">
        <v>1</v>
      </c>
      <c r="F16" s="6">
        <v>2028</v>
      </c>
      <c r="G16" s="6">
        <v>4</v>
      </c>
      <c r="H16" s="6">
        <v>3</v>
      </c>
      <c r="I16" s="6" t="s">
        <v>10</v>
      </c>
      <c r="J16" s="6" t="str">
        <f>IF(Employee[[#This Row],[Attrition]]="Yes","Resigned","Active")</f>
        <v>Resigned</v>
      </c>
    </row>
    <row r="17" spans="1:10" x14ac:dyDescent="0.25">
      <c r="A17" s="6">
        <v>20</v>
      </c>
      <c r="B17" s="6">
        <v>29</v>
      </c>
      <c r="C17" s="5" t="s">
        <v>11</v>
      </c>
      <c r="D17" s="5" t="s">
        <v>15</v>
      </c>
      <c r="E17" s="6">
        <v>3</v>
      </c>
      <c r="F17" s="6">
        <v>9980</v>
      </c>
      <c r="G17" s="6">
        <v>10</v>
      </c>
      <c r="H17" s="6">
        <v>3</v>
      </c>
      <c r="I17" s="6" t="s">
        <v>13</v>
      </c>
      <c r="J17" s="6" t="str">
        <f>IF(Employee[[#This Row],[Attrition]]="Yes","Resigned","Active")</f>
        <v>Active</v>
      </c>
    </row>
    <row r="18" spans="1:10" x14ac:dyDescent="0.25">
      <c r="A18" s="6">
        <v>21</v>
      </c>
      <c r="B18" s="6">
        <v>32</v>
      </c>
      <c r="C18" s="5" t="s">
        <v>11</v>
      </c>
      <c r="D18" s="5" t="s">
        <v>12</v>
      </c>
      <c r="E18" s="6">
        <v>1</v>
      </c>
      <c r="F18" s="6">
        <v>3298</v>
      </c>
      <c r="G18" s="6">
        <v>6</v>
      </c>
      <c r="H18" s="6">
        <v>2</v>
      </c>
      <c r="I18" s="6" t="s">
        <v>13</v>
      </c>
      <c r="J18" s="6" t="str">
        <f>IF(Employee[[#This Row],[Attrition]]="Yes","Resigned","Active")</f>
        <v>Active</v>
      </c>
    </row>
    <row r="19" spans="1:10" x14ac:dyDescent="0.25">
      <c r="A19" s="6">
        <v>22</v>
      </c>
      <c r="B19" s="6">
        <v>22</v>
      </c>
      <c r="C19" s="5" t="s">
        <v>11</v>
      </c>
      <c r="D19" s="5" t="s">
        <v>14</v>
      </c>
      <c r="E19" s="6">
        <v>1</v>
      </c>
      <c r="F19" s="6">
        <v>2935</v>
      </c>
      <c r="G19" s="6">
        <v>1</v>
      </c>
      <c r="H19" s="6">
        <v>2</v>
      </c>
      <c r="I19" s="6" t="s">
        <v>13</v>
      </c>
      <c r="J19" s="6" t="str">
        <f>IF(Employee[[#This Row],[Attrition]]="Yes","Resigned","Active")</f>
        <v>Active</v>
      </c>
    </row>
    <row r="20" spans="1:10" x14ac:dyDescent="0.25">
      <c r="A20" s="6">
        <v>23</v>
      </c>
      <c r="B20" s="6">
        <v>53</v>
      </c>
      <c r="C20" s="5" t="s">
        <v>8</v>
      </c>
      <c r="D20" s="5" t="s">
        <v>17</v>
      </c>
      <c r="E20" s="6">
        <v>4</v>
      </c>
      <c r="F20" s="6">
        <v>15427</v>
      </c>
      <c r="G20" s="6">
        <v>25</v>
      </c>
      <c r="H20" s="6">
        <v>3</v>
      </c>
      <c r="I20" s="6" t="s">
        <v>13</v>
      </c>
      <c r="J20" s="6" t="str">
        <f>IF(Employee[[#This Row],[Attrition]]="Yes","Resigned","Active")</f>
        <v>Active</v>
      </c>
    </row>
    <row r="21" spans="1:10" x14ac:dyDescent="0.25">
      <c r="A21" s="6">
        <v>24</v>
      </c>
      <c r="B21" s="6">
        <v>38</v>
      </c>
      <c r="C21" s="5" t="s">
        <v>11</v>
      </c>
      <c r="D21" s="5" t="s">
        <v>12</v>
      </c>
      <c r="E21" s="6">
        <v>1</v>
      </c>
      <c r="F21" s="6">
        <v>3944</v>
      </c>
      <c r="G21" s="6">
        <v>3</v>
      </c>
      <c r="H21" s="6">
        <v>3</v>
      </c>
      <c r="I21" s="6" t="s">
        <v>13</v>
      </c>
      <c r="J21" s="6" t="str">
        <f>IF(Employee[[#This Row],[Attrition]]="Yes","Resigned","Active")</f>
        <v>Active</v>
      </c>
    </row>
    <row r="22" spans="1:10" x14ac:dyDescent="0.25">
      <c r="A22" s="6">
        <v>26</v>
      </c>
      <c r="B22" s="6">
        <v>24</v>
      </c>
      <c r="C22" s="5" t="s">
        <v>11</v>
      </c>
      <c r="D22" s="5" t="s">
        <v>15</v>
      </c>
      <c r="E22" s="6">
        <v>2</v>
      </c>
      <c r="F22" s="6">
        <v>4011</v>
      </c>
      <c r="G22" s="6">
        <v>4</v>
      </c>
      <c r="H22" s="6">
        <v>2</v>
      </c>
      <c r="I22" s="6" t="s">
        <v>13</v>
      </c>
      <c r="J22" s="6" t="str">
        <f>IF(Employee[[#This Row],[Attrition]]="Yes","Resigned","Active")</f>
        <v>Active</v>
      </c>
    </row>
    <row r="23" spans="1:10" x14ac:dyDescent="0.25">
      <c r="A23" s="6">
        <v>27</v>
      </c>
      <c r="B23" s="6">
        <v>36</v>
      </c>
      <c r="C23" s="5" t="s">
        <v>8</v>
      </c>
      <c r="D23" s="5" t="s">
        <v>18</v>
      </c>
      <c r="E23" s="6">
        <v>1</v>
      </c>
      <c r="F23" s="6">
        <v>3407</v>
      </c>
      <c r="G23" s="6">
        <v>5</v>
      </c>
      <c r="H23" s="6">
        <v>3</v>
      </c>
      <c r="I23" s="6" t="s">
        <v>10</v>
      </c>
      <c r="J23" s="6" t="str">
        <f>IF(Employee[[#This Row],[Attrition]]="Yes","Resigned","Active")</f>
        <v>Resigned</v>
      </c>
    </row>
    <row r="24" spans="1:10" x14ac:dyDescent="0.25">
      <c r="A24" s="6">
        <v>28</v>
      </c>
      <c r="B24" s="6">
        <v>34</v>
      </c>
      <c r="C24" s="5" t="s">
        <v>11</v>
      </c>
      <c r="D24" s="5" t="s">
        <v>19</v>
      </c>
      <c r="E24" s="6">
        <v>3</v>
      </c>
      <c r="F24" s="6">
        <v>11994</v>
      </c>
      <c r="G24" s="6">
        <v>12</v>
      </c>
      <c r="H24" s="6">
        <v>3</v>
      </c>
      <c r="I24" s="6" t="s">
        <v>13</v>
      </c>
      <c r="J24" s="6" t="str">
        <f>IF(Employee[[#This Row],[Attrition]]="Yes","Resigned","Active")</f>
        <v>Active</v>
      </c>
    </row>
    <row r="25" spans="1:10" x14ac:dyDescent="0.25">
      <c r="A25" s="6">
        <v>30</v>
      </c>
      <c r="B25" s="6">
        <v>21</v>
      </c>
      <c r="C25" s="5" t="s">
        <v>11</v>
      </c>
      <c r="D25" s="5" t="s">
        <v>12</v>
      </c>
      <c r="E25" s="6">
        <v>1</v>
      </c>
      <c r="F25" s="6">
        <v>1232</v>
      </c>
      <c r="G25" s="6">
        <v>0</v>
      </c>
      <c r="H25" s="6">
        <v>3</v>
      </c>
      <c r="I25" s="6" t="s">
        <v>13</v>
      </c>
      <c r="J25" s="6" t="str">
        <f>IF(Employee[[#This Row],[Attrition]]="Yes","Resigned","Active")</f>
        <v>Active</v>
      </c>
    </row>
    <row r="26" spans="1:10" x14ac:dyDescent="0.25">
      <c r="A26" s="6">
        <v>31</v>
      </c>
      <c r="B26" s="6">
        <v>34</v>
      </c>
      <c r="C26" s="5" t="s">
        <v>11</v>
      </c>
      <c r="D26" s="5" t="s">
        <v>12</v>
      </c>
      <c r="E26" s="6">
        <v>1</v>
      </c>
      <c r="F26" s="6">
        <v>2960</v>
      </c>
      <c r="G26" s="6">
        <v>4</v>
      </c>
      <c r="H26" s="6">
        <v>3</v>
      </c>
      <c r="I26" s="6" t="s">
        <v>10</v>
      </c>
      <c r="J26" s="6" t="str">
        <f>IF(Employee[[#This Row],[Attrition]]="Yes","Resigned","Active")</f>
        <v>Resigned</v>
      </c>
    </row>
    <row r="27" spans="1:10" x14ac:dyDescent="0.25">
      <c r="A27" s="6">
        <v>32</v>
      </c>
      <c r="B27" s="6">
        <v>53</v>
      </c>
      <c r="C27" s="5" t="s">
        <v>11</v>
      </c>
      <c r="D27" s="5" t="s">
        <v>17</v>
      </c>
      <c r="E27" s="6">
        <v>5</v>
      </c>
      <c r="F27" s="6">
        <v>19094</v>
      </c>
      <c r="G27" s="6">
        <v>14</v>
      </c>
      <c r="H27" s="6">
        <v>2</v>
      </c>
      <c r="I27" s="6" t="s">
        <v>13</v>
      </c>
      <c r="J27" s="6" t="str">
        <f>IF(Employee[[#This Row],[Attrition]]="Yes","Resigned","Active")</f>
        <v>Active</v>
      </c>
    </row>
    <row r="28" spans="1:10" x14ac:dyDescent="0.25">
      <c r="A28" s="6">
        <v>33</v>
      </c>
      <c r="B28" s="6">
        <v>32</v>
      </c>
      <c r="C28" s="5" t="s">
        <v>11</v>
      </c>
      <c r="D28" s="5" t="s">
        <v>12</v>
      </c>
      <c r="E28" s="6">
        <v>1</v>
      </c>
      <c r="F28" s="6">
        <v>3919</v>
      </c>
      <c r="G28" s="6">
        <v>10</v>
      </c>
      <c r="H28" s="6">
        <v>3</v>
      </c>
      <c r="I28" s="6" t="s">
        <v>10</v>
      </c>
      <c r="J28" s="6" t="str">
        <f>IF(Employee[[#This Row],[Attrition]]="Yes","Resigned","Active")</f>
        <v>Resigned</v>
      </c>
    </row>
    <row r="29" spans="1:10" x14ac:dyDescent="0.25">
      <c r="A29" s="6">
        <v>35</v>
      </c>
      <c r="B29" s="6">
        <v>42</v>
      </c>
      <c r="C29" s="5" t="s">
        <v>8</v>
      </c>
      <c r="D29" s="5" t="s">
        <v>9</v>
      </c>
      <c r="E29" s="6">
        <v>2</v>
      </c>
      <c r="F29" s="6">
        <v>6825</v>
      </c>
      <c r="G29" s="6">
        <v>9</v>
      </c>
      <c r="H29" s="6">
        <v>3</v>
      </c>
      <c r="I29" s="6" t="s">
        <v>13</v>
      </c>
      <c r="J29" s="6" t="str">
        <f>IF(Employee[[#This Row],[Attrition]]="Yes","Resigned","Active")</f>
        <v>Active</v>
      </c>
    </row>
    <row r="30" spans="1:10" x14ac:dyDescent="0.25">
      <c r="A30" s="6">
        <v>36</v>
      </c>
      <c r="B30" s="6">
        <v>44</v>
      </c>
      <c r="C30" s="5" t="s">
        <v>11</v>
      </c>
      <c r="D30" s="5" t="s">
        <v>16</v>
      </c>
      <c r="E30" s="6">
        <v>3</v>
      </c>
      <c r="F30" s="6">
        <v>10248</v>
      </c>
      <c r="G30" s="6">
        <v>22</v>
      </c>
      <c r="H30" s="6">
        <v>3</v>
      </c>
      <c r="I30" s="6" t="s">
        <v>13</v>
      </c>
      <c r="J30" s="6" t="str">
        <f>IF(Employee[[#This Row],[Attrition]]="Yes","Resigned","Active")</f>
        <v>Active</v>
      </c>
    </row>
    <row r="31" spans="1:10" x14ac:dyDescent="0.25">
      <c r="A31" s="6">
        <v>38</v>
      </c>
      <c r="B31" s="6">
        <v>46</v>
      </c>
      <c r="C31" s="5" t="s">
        <v>8</v>
      </c>
      <c r="D31" s="5" t="s">
        <v>17</v>
      </c>
      <c r="E31" s="6">
        <v>5</v>
      </c>
      <c r="F31" s="6">
        <v>18947</v>
      </c>
      <c r="G31" s="6">
        <v>2</v>
      </c>
      <c r="H31" s="6">
        <v>2</v>
      </c>
      <c r="I31" s="6" t="s">
        <v>13</v>
      </c>
      <c r="J31" s="6" t="str">
        <f>IF(Employee[[#This Row],[Attrition]]="Yes","Resigned","Active")</f>
        <v>Active</v>
      </c>
    </row>
    <row r="32" spans="1:10" x14ac:dyDescent="0.25">
      <c r="A32" s="6">
        <v>39</v>
      </c>
      <c r="B32" s="6">
        <v>33</v>
      </c>
      <c r="C32" s="5" t="s">
        <v>11</v>
      </c>
      <c r="D32" s="5" t="s">
        <v>14</v>
      </c>
      <c r="E32" s="6">
        <v>1</v>
      </c>
      <c r="F32" s="6">
        <v>2496</v>
      </c>
      <c r="G32" s="6">
        <v>1</v>
      </c>
      <c r="H32" s="6">
        <v>3</v>
      </c>
      <c r="I32" s="6" t="s">
        <v>13</v>
      </c>
      <c r="J32" s="6" t="str">
        <f>IF(Employee[[#This Row],[Attrition]]="Yes","Resigned","Active")</f>
        <v>Active</v>
      </c>
    </row>
    <row r="33" spans="1:10" x14ac:dyDescent="0.25">
      <c r="A33" s="6">
        <v>40</v>
      </c>
      <c r="B33" s="6">
        <v>44</v>
      </c>
      <c r="C33" s="5" t="s">
        <v>11</v>
      </c>
      <c r="D33" s="5" t="s">
        <v>16</v>
      </c>
      <c r="E33" s="6">
        <v>2</v>
      </c>
      <c r="F33" s="6">
        <v>6465</v>
      </c>
      <c r="G33" s="6">
        <v>4</v>
      </c>
      <c r="H33" s="6">
        <v>4</v>
      </c>
      <c r="I33" s="6" t="s">
        <v>13</v>
      </c>
      <c r="J33" s="6" t="str">
        <f>IF(Employee[[#This Row],[Attrition]]="Yes","Resigned","Active")</f>
        <v>Active</v>
      </c>
    </row>
    <row r="34" spans="1:10" x14ac:dyDescent="0.25">
      <c r="A34" s="6">
        <v>41</v>
      </c>
      <c r="B34" s="6">
        <v>30</v>
      </c>
      <c r="C34" s="5" t="s">
        <v>11</v>
      </c>
      <c r="D34" s="5" t="s">
        <v>14</v>
      </c>
      <c r="E34" s="6">
        <v>1</v>
      </c>
      <c r="F34" s="6">
        <v>2206</v>
      </c>
      <c r="G34" s="6">
        <v>10</v>
      </c>
      <c r="H34" s="6">
        <v>3</v>
      </c>
      <c r="I34" s="6" t="s">
        <v>13</v>
      </c>
      <c r="J34" s="6" t="str">
        <f>IF(Employee[[#This Row],[Attrition]]="Yes","Resigned","Active")</f>
        <v>Active</v>
      </c>
    </row>
    <row r="35" spans="1:10" x14ac:dyDescent="0.25">
      <c r="A35" s="6">
        <v>42</v>
      </c>
      <c r="B35" s="6">
        <v>39</v>
      </c>
      <c r="C35" s="5" t="s">
        <v>8</v>
      </c>
      <c r="D35" s="5" t="s">
        <v>18</v>
      </c>
      <c r="E35" s="6">
        <v>2</v>
      </c>
      <c r="F35" s="6">
        <v>2086</v>
      </c>
      <c r="G35" s="6">
        <v>1</v>
      </c>
      <c r="H35" s="6">
        <v>4</v>
      </c>
      <c r="I35" s="6" t="s">
        <v>10</v>
      </c>
      <c r="J35" s="6" t="str">
        <f>IF(Employee[[#This Row],[Attrition]]="Yes","Resigned","Active")</f>
        <v>Resigned</v>
      </c>
    </row>
    <row r="36" spans="1:10" x14ac:dyDescent="0.25">
      <c r="A36" s="6">
        <v>45</v>
      </c>
      <c r="B36" s="6">
        <v>24</v>
      </c>
      <c r="C36" s="5" t="s">
        <v>11</v>
      </c>
      <c r="D36" s="5" t="s">
        <v>12</v>
      </c>
      <c r="E36" s="6">
        <v>1</v>
      </c>
      <c r="F36" s="6">
        <v>2293</v>
      </c>
      <c r="G36" s="6">
        <v>2</v>
      </c>
      <c r="H36" s="6">
        <v>2</v>
      </c>
      <c r="I36" s="6" t="s">
        <v>10</v>
      </c>
      <c r="J36" s="6" t="str">
        <f>IF(Employee[[#This Row],[Attrition]]="Yes","Resigned","Active")</f>
        <v>Resigned</v>
      </c>
    </row>
    <row r="37" spans="1:10" x14ac:dyDescent="0.25">
      <c r="A37" s="6">
        <v>46</v>
      </c>
      <c r="B37" s="6">
        <v>43</v>
      </c>
      <c r="C37" s="5" t="s">
        <v>11</v>
      </c>
      <c r="D37" s="5" t="s">
        <v>12</v>
      </c>
      <c r="E37" s="6">
        <v>1</v>
      </c>
      <c r="F37" s="6">
        <v>2645</v>
      </c>
      <c r="G37" s="6">
        <v>5</v>
      </c>
      <c r="H37" s="6">
        <v>2</v>
      </c>
      <c r="I37" s="6" t="s">
        <v>13</v>
      </c>
      <c r="J37" s="6" t="str">
        <f>IF(Employee[[#This Row],[Attrition]]="Yes","Resigned","Active")</f>
        <v>Active</v>
      </c>
    </row>
    <row r="38" spans="1:10" x14ac:dyDescent="0.25">
      <c r="A38" s="6">
        <v>47</v>
      </c>
      <c r="B38" s="6">
        <v>50</v>
      </c>
      <c r="C38" s="5" t="s">
        <v>8</v>
      </c>
      <c r="D38" s="5" t="s">
        <v>18</v>
      </c>
      <c r="E38" s="6">
        <v>1</v>
      </c>
      <c r="F38" s="6">
        <v>2683</v>
      </c>
      <c r="G38" s="6">
        <v>3</v>
      </c>
      <c r="H38" s="6">
        <v>3</v>
      </c>
      <c r="I38" s="6" t="s">
        <v>10</v>
      </c>
      <c r="J38" s="6" t="str">
        <f>IF(Employee[[#This Row],[Attrition]]="Yes","Resigned","Active")</f>
        <v>Resigned</v>
      </c>
    </row>
    <row r="39" spans="1:10" x14ac:dyDescent="0.25">
      <c r="A39" s="6">
        <v>49</v>
      </c>
      <c r="B39" s="6">
        <v>35</v>
      </c>
      <c r="C39" s="5" t="s">
        <v>8</v>
      </c>
      <c r="D39" s="5" t="s">
        <v>18</v>
      </c>
      <c r="E39" s="6">
        <v>1</v>
      </c>
      <c r="F39" s="6">
        <v>2014</v>
      </c>
      <c r="G39" s="6">
        <v>2</v>
      </c>
      <c r="H39" s="6">
        <v>3</v>
      </c>
      <c r="I39" s="6" t="s">
        <v>13</v>
      </c>
      <c r="J39" s="6" t="str">
        <f>IF(Employee[[#This Row],[Attrition]]="Yes","Resigned","Active")</f>
        <v>Active</v>
      </c>
    </row>
    <row r="40" spans="1:10" x14ac:dyDescent="0.25">
      <c r="A40" s="6">
        <v>51</v>
      </c>
      <c r="B40" s="6">
        <v>36</v>
      </c>
      <c r="C40" s="5" t="s">
        <v>11</v>
      </c>
      <c r="D40" s="5" t="s">
        <v>12</v>
      </c>
      <c r="E40" s="6">
        <v>1</v>
      </c>
      <c r="F40" s="6">
        <v>3419</v>
      </c>
      <c r="G40" s="6">
        <v>1</v>
      </c>
      <c r="H40" s="6">
        <v>4</v>
      </c>
      <c r="I40" s="6" t="s">
        <v>13</v>
      </c>
      <c r="J40" s="6" t="str">
        <f>IF(Employee[[#This Row],[Attrition]]="Yes","Resigned","Active")</f>
        <v>Active</v>
      </c>
    </row>
    <row r="41" spans="1:10" x14ac:dyDescent="0.25">
      <c r="A41" s="6">
        <v>52</v>
      </c>
      <c r="B41" s="6">
        <v>33</v>
      </c>
      <c r="C41" s="5" t="s">
        <v>8</v>
      </c>
      <c r="D41" s="5" t="s">
        <v>9</v>
      </c>
      <c r="E41" s="6">
        <v>2</v>
      </c>
      <c r="F41" s="6">
        <v>5376</v>
      </c>
      <c r="G41" s="6">
        <v>5</v>
      </c>
      <c r="H41" s="6">
        <v>3</v>
      </c>
      <c r="I41" s="6" t="s">
        <v>13</v>
      </c>
      <c r="J41" s="6" t="str">
        <f>IF(Employee[[#This Row],[Attrition]]="Yes","Resigned","Active")</f>
        <v>Active</v>
      </c>
    </row>
    <row r="42" spans="1:10" x14ac:dyDescent="0.25">
      <c r="A42" s="6">
        <v>53</v>
      </c>
      <c r="B42" s="6">
        <v>35</v>
      </c>
      <c r="C42" s="5" t="s">
        <v>11</v>
      </c>
      <c r="D42" s="5" t="s">
        <v>14</v>
      </c>
      <c r="E42" s="6">
        <v>1</v>
      </c>
      <c r="F42" s="6">
        <v>1951</v>
      </c>
      <c r="G42" s="6">
        <v>1</v>
      </c>
      <c r="H42" s="6">
        <v>3</v>
      </c>
      <c r="I42" s="6" t="s">
        <v>13</v>
      </c>
      <c r="J42" s="6" t="str">
        <f>IF(Employee[[#This Row],[Attrition]]="Yes","Resigned","Active")</f>
        <v>Active</v>
      </c>
    </row>
    <row r="43" spans="1:10" x14ac:dyDescent="0.25">
      <c r="A43" s="6">
        <v>54</v>
      </c>
      <c r="B43" s="6">
        <v>27</v>
      </c>
      <c r="C43" s="5" t="s">
        <v>11</v>
      </c>
      <c r="D43" s="5" t="s">
        <v>14</v>
      </c>
      <c r="E43" s="6">
        <v>1</v>
      </c>
      <c r="F43" s="6">
        <v>2341</v>
      </c>
      <c r="G43" s="6">
        <v>1</v>
      </c>
      <c r="H43" s="6">
        <v>3</v>
      </c>
      <c r="I43" s="6" t="s">
        <v>13</v>
      </c>
      <c r="J43" s="6" t="str">
        <f>IF(Employee[[#This Row],[Attrition]]="Yes","Resigned","Active")</f>
        <v>Active</v>
      </c>
    </row>
    <row r="44" spans="1:10" x14ac:dyDescent="0.25">
      <c r="A44" s="6">
        <v>55</v>
      </c>
      <c r="B44" s="6">
        <v>26</v>
      </c>
      <c r="C44" s="5" t="s">
        <v>11</v>
      </c>
      <c r="D44" s="5" t="s">
        <v>14</v>
      </c>
      <c r="E44" s="6">
        <v>1</v>
      </c>
      <c r="F44" s="6">
        <v>2293</v>
      </c>
      <c r="G44" s="6">
        <v>1</v>
      </c>
      <c r="H44" s="6">
        <v>2</v>
      </c>
      <c r="I44" s="6" t="s">
        <v>10</v>
      </c>
      <c r="J44" s="6" t="str">
        <f>IF(Employee[[#This Row],[Attrition]]="Yes","Resigned","Active")</f>
        <v>Resigned</v>
      </c>
    </row>
    <row r="45" spans="1:10" x14ac:dyDescent="0.25">
      <c r="A45" s="6">
        <v>56</v>
      </c>
      <c r="B45" s="6">
        <v>27</v>
      </c>
      <c r="C45" s="5" t="s">
        <v>8</v>
      </c>
      <c r="D45" s="5" t="s">
        <v>9</v>
      </c>
      <c r="E45" s="6">
        <v>3</v>
      </c>
      <c r="F45" s="6">
        <v>8726</v>
      </c>
      <c r="G45" s="6">
        <v>9</v>
      </c>
      <c r="H45" s="6">
        <v>3</v>
      </c>
      <c r="I45" s="6" t="s">
        <v>13</v>
      </c>
      <c r="J45" s="6" t="str">
        <f>IF(Employee[[#This Row],[Attrition]]="Yes","Resigned","Active")</f>
        <v>Active</v>
      </c>
    </row>
    <row r="46" spans="1:10" x14ac:dyDescent="0.25">
      <c r="A46" s="6">
        <v>57</v>
      </c>
      <c r="B46" s="6">
        <v>30</v>
      </c>
      <c r="C46" s="5" t="s">
        <v>11</v>
      </c>
      <c r="D46" s="5" t="s">
        <v>14</v>
      </c>
      <c r="E46" s="6">
        <v>2</v>
      </c>
      <c r="F46" s="6">
        <v>4011</v>
      </c>
      <c r="G46" s="6">
        <v>12</v>
      </c>
      <c r="H46" s="6">
        <v>3</v>
      </c>
      <c r="I46" s="6" t="s">
        <v>13</v>
      </c>
      <c r="J46" s="6" t="str">
        <f>IF(Employee[[#This Row],[Attrition]]="Yes","Resigned","Active")</f>
        <v>Active</v>
      </c>
    </row>
    <row r="47" spans="1:10" x14ac:dyDescent="0.25">
      <c r="A47" s="6">
        <v>58</v>
      </c>
      <c r="B47" s="6">
        <v>41</v>
      </c>
      <c r="C47" s="5" t="s">
        <v>11</v>
      </c>
      <c r="D47" s="5" t="s">
        <v>19</v>
      </c>
      <c r="E47" s="6">
        <v>5</v>
      </c>
      <c r="F47" s="6">
        <v>19545</v>
      </c>
      <c r="G47" s="6">
        <v>22</v>
      </c>
      <c r="H47" s="6">
        <v>3</v>
      </c>
      <c r="I47" s="6" t="s">
        <v>10</v>
      </c>
      <c r="J47" s="6" t="str">
        <f>IF(Employee[[#This Row],[Attrition]]="Yes","Resigned","Active")</f>
        <v>Resigned</v>
      </c>
    </row>
    <row r="48" spans="1:10" x14ac:dyDescent="0.25">
      <c r="A48" s="6">
        <v>60</v>
      </c>
      <c r="B48" s="6">
        <v>34</v>
      </c>
      <c r="C48" s="5" t="s">
        <v>8</v>
      </c>
      <c r="D48" s="5" t="s">
        <v>9</v>
      </c>
      <c r="E48" s="6">
        <v>2</v>
      </c>
      <c r="F48" s="6">
        <v>4568</v>
      </c>
      <c r="G48" s="6">
        <v>9</v>
      </c>
      <c r="H48" s="6">
        <v>3</v>
      </c>
      <c r="I48" s="6" t="s">
        <v>13</v>
      </c>
      <c r="J48" s="6" t="str">
        <f>IF(Employee[[#This Row],[Attrition]]="Yes","Resigned","Active")</f>
        <v>Active</v>
      </c>
    </row>
    <row r="49" spans="1:10" x14ac:dyDescent="0.25">
      <c r="A49" s="6">
        <v>61</v>
      </c>
      <c r="B49" s="6">
        <v>37</v>
      </c>
      <c r="C49" s="5" t="s">
        <v>11</v>
      </c>
      <c r="D49" s="5" t="s">
        <v>12</v>
      </c>
      <c r="E49" s="6">
        <v>1</v>
      </c>
      <c r="F49" s="6">
        <v>3022</v>
      </c>
      <c r="G49" s="6">
        <v>1</v>
      </c>
      <c r="H49" s="6">
        <v>3</v>
      </c>
      <c r="I49" s="6" t="s">
        <v>13</v>
      </c>
      <c r="J49" s="6" t="str">
        <f>IF(Employee[[#This Row],[Attrition]]="Yes","Resigned","Active")</f>
        <v>Active</v>
      </c>
    </row>
    <row r="50" spans="1:10" x14ac:dyDescent="0.25">
      <c r="A50" s="6">
        <v>62</v>
      </c>
      <c r="B50" s="6">
        <v>46</v>
      </c>
      <c r="C50" s="5" t="s">
        <v>8</v>
      </c>
      <c r="D50" s="5" t="s">
        <v>9</v>
      </c>
      <c r="E50" s="6">
        <v>2</v>
      </c>
      <c r="F50" s="6">
        <v>5772</v>
      </c>
      <c r="G50" s="6">
        <v>9</v>
      </c>
      <c r="H50" s="6">
        <v>3</v>
      </c>
      <c r="I50" s="6" t="s">
        <v>13</v>
      </c>
      <c r="J50" s="6" t="str">
        <f>IF(Employee[[#This Row],[Attrition]]="Yes","Resigned","Active")</f>
        <v>Active</v>
      </c>
    </row>
    <row r="51" spans="1:10" x14ac:dyDescent="0.25">
      <c r="A51" s="6">
        <v>63</v>
      </c>
      <c r="B51" s="6">
        <v>35</v>
      </c>
      <c r="C51" s="5" t="s">
        <v>11</v>
      </c>
      <c r="D51" s="5" t="s">
        <v>14</v>
      </c>
      <c r="E51" s="6">
        <v>1</v>
      </c>
      <c r="F51" s="6">
        <v>2269</v>
      </c>
      <c r="G51" s="6">
        <v>1</v>
      </c>
      <c r="H51" s="6">
        <v>3</v>
      </c>
      <c r="I51" s="6" t="s">
        <v>13</v>
      </c>
      <c r="J51" s="6" t="str">
        <f>IF(Employee[[#This Row],[Attrition]]="Yes","Resigned","Active")</f>
        <v>Active</v>
      </c>
    </row>
    <row r="52" spans="1:10" x14ac:dyDescent="0.25">
      <c r="A52" s="6">
        <v>64</v>
      </c>
      <c r="B52" s="6">
        <v>48</v>
      </c>
      <c r="C52" s="5" t="s">
        <v>11</v>
      </c>
      <c r="D52" s="5" t="s">
        <v>14</v>
      </c>
      <c r="E52" s="6">
        <v>3</v>
      </c>
      <c r="F52" s="6">
        <v>5381</v>
      </c>
      <c r="G52" s="6">
        <v>1</v>
      </c>
      <c r="H52" s="6">
        <v>3</v>
      </c>
      <c r="I52" s="6" t="s">
        <v>10</v>
      </c>
      <c r="J52" s="6" t="str">
        <f>IF(Employee[[#This Row],[Attrition]]="Yes","Resigned","Active")</f>
        <v>Resigned</v>
      </c>
    </row>
    <row r="53" spans="1:10" x14ac:dyDescent="0.25">
      <c r="A53" s="6">
        <v>65</v>
      </c>
      <c r="B53" s="6">
        <v>28</v>
      </c>
      <c r="C53" s="5" t="s">
        <v>11</v>
      </c>
      <c r="D53" s="5" t="s">
        <v>14</v>
      </c>
      <c r="E53" s="6">
        <v>1</v>
      </c>
      <c r="F53" s="6">
        <v>3441</v>
      </c>
      <c r="G53" s="6">
        <v>2</v>
      </c>
      <c r="H53" s="6">
        <v>2</v>
      </c>
      <c r="I53" s="6" t="s">
        <v>10</v>
      </c>
      <c r="J53" s="6" t="str">
        <f>IF(Employee[[#This Row],[Attrition]]="Yes","Resigned","Active")</f>
        <v>Resigned</v>
      </c>
    </row>
    <row r="54" spans="1:10" x14ac:dyDescent="0.25">
      <c r="A54" s="6">
        <v>68</v>
      </c>
      <c r="B54" s="6">
        <v>44</v>
      </c>
      <c r="C54" s="5" t="s">
        <v>8</v>
      </c>
      <c r="D54" s="5" t="s">
        <v>9</v>
      </c>
      <c r="E54" s="6">
        <v>2</v>
      </c>
      <c r="F54" s="6">
        <v>5454</v>
      </c>
      <c r="G54" s="6">
        <v>4</v>
      </c>
      <c r="H54" s="6">
        <v>2</v>
      </c>
      <c r="I54" s="6" t="s">
        <v>13</v>
      </c>
      <c r="J54" s="6" t="str">
        <f>IF(Employee[[#This Row],[Attrition]]="Yes","Resigned","Active")</f>
        <v>Active</v>
      </c>
    </row>
    <row r="55" spans="1:10" x14ac:dyDescent="0.25">
      <c r="A55" s="6">
        <v>70</v>
      </c>
      <c r="B55" s="6">
        <v>35</v>
      </c>
      <c r="C55" s="5" t="s">
        <v>11</v>
      </c>
      <c r="D55" s="5" t="s">
        <v>16</v>
      </c>
      <c r="E55" s="6">
        <v>3</v>
      </c>
      <c r="F55" s="6">
        <v>9884</v>
      </c>
      <c r="G55" s="6">
        <v>4</v>
      </c>
      <c r="H55" s="6">
        <v>3</v>
      </c>
      <c r="I55" s="6" t="s">
        <v>13</v>
      </c>
      <c r="J55" s="6" t="str">
        <f>IF(Employee[[#This Row],[Attrition]]="Yes","Resigned","Active")</f>
        <v>Active</v>
      </c>
    </row>
    <row r="56" spans="1:10" x14ac:dyDescent="0.25">
      <c r="A56" s="6">
        <v>72</v>
      </c>
      <c r="B56" s="6">
        <v>26</v>
      </c>
      <c r="C56" s="5" t="s">
        <v>8</v>
      </c>
      <c r="D56" s="5" t="s">
        <v>9</v>
      </c>
      <c r="E56" s="6">
        <v>2</v>
      </c>
      <c r="F56" s="6">
        <v>4157</v>
      </c>
      <c r="G56" s="6">
        <v>2</v>
      </c>
      <c r="H56" s="6">
        <v>2</v>
      </c>
      <c r="I56" s="6" t="s">
        <v>13</v>
      </c>
      <c r="J56" s="6" t="str">
        <f>IF(Employee[[#This Row],[Attrition]]="Yes","Resigned","Active")</f>
        <v>Active</v>
      </c>
    </row>
    <row r="57" spans="1:10" x14ac:dyDescent="0.25">
      <c r="A57" s="6">
        <v>73</v>
      </c>
      <c r="B57" s="6">
        <v>33</v>
      </c>
      <c r="C57" s="5" t="s">
        <v>11</v>
      </c>
      <c r="D57" s="5" t="s">
        <v>19</v>
      </c>
      <c r="E57" s="6">
        <v>3</v>
      </c>
      <c r="F57" s="6">
        <v>13458</v>
      </c>
      <c r="G57" s="6">
        <v>15</v>
      </c>
      <c r="H57" s="6">
        <v>3</v>
      </c>
      <c r="I57" s="6" t="s">
        <v>13</v>
      </c>
      <c r="J57" s="6" t="str">
        <f>IF(Employee[[#This Row],[Attrition]]="Yes","Resigned","Active")</f>
        <v>Active</v>
      </c>
    </row>
    <row r="58" spans="1:10" x14ac:dyDescent="0.25">
      <c r="A58" s="6">
        <v>74</v>
      </c>
      <c r="B58" s="6">
        <v>35</v>
      </c>
      <c r="C58" s="5" t="s">
        <v>8</v>
      </c>
      <c r="D58" s="5" t="s">
        <v>9</v>
      </c>
      <c r="E58" s="6">
        <v>3</v>
      </c>
      <c r="F58" s="6">
        <v>9069</v>
      </c>
      <c r="G58" s="6">
        <v>9</v>
      </c>
      <c r="H58" s="6">
        <v>2</v>
      </c>
      <c r="I58" s="6" t="s">
        <v>13</v>
      </c>
      <c r="J58" s="6" t="str">
        <f>IF(Employee[[#This Row],[Attrition]]="Yes","Resigned","Active")</f>
        <v>Active</v>
      </c>
    </row>
    <row r="59" spans="1:10" x14ac:dyDescent="0.25">
      <c r="A59" s="6">
        <v>75</v>
      </c>
      <c r="B59" s="6">
        <v>35</v>
      </c>
      <c r="C59" s="5" t="s">
        <v>11</v>
      </c>
      <c r="D59" s="5" t="s">
        <v>14</v>
      </c>
      <c r="E59" s="6">
        <v>1</v>
      </c>
      <c r="F59" s="6">
        <v>4014</v>
      </c>
      <c r="G59" s="6">
        <v>2</v>
      </c>
      <c r="H59" s="6">
        <v>3</v>
      </c>
      <c r="I59" s="6" t="s">
        <v>13</v>
      </c>
      <c r="J59" s="6" t="str">
        <f>IF(Employee[[#This Row],[Attrition]]="Yes","Resigned","Active")</f>
        <v>Active</v>
      </c>
    </row>
    <row r="60" spans="1:10" x14ac:dyDescent="0.25">
      <c r="A60" s="6">
        <v>76</v>
      </c>
      <c r="B60" s="6">
        <v>31</v>
      </c>
      <c r="C60" s="5" t="s">
        <v>11</v>
      </c>
      <c r="D60" s="5" t="s">
        <v>14</v>
      </c>
      <c r="E60" s="6">
        <v>2</v>
      </c>
      <c r="F60" s="6">
        <v>5915</v>
      </c>
      <c r="G60" s="6">
        <v>7</v>
      </c>
      <c r="H60" s="6">
        <v>2</v>
      </c>
      <c r="I60" s="6" t="s">
        <v>13</v>
      </c>
      <c r="J60" s="6" t="str">
        <f>IF(Employee[[#This Row],[Attrition]]="Yes","Resigned","Active")</f>
        <v>Active</v>
      </c>
    </row>
    <row r="61" spans="1:10" x14ac:dyDescent="0.25">
      <c r="A61" s="6">
        <v>77</v>
      </c>
      <c r="B61" s="6">
        <v>37</v>
      </c>
      <c r="C61" s="5" t="s">
        <v>11</v>
      </c>
      <c r="D61" s="5" t="s">
        <v>15</v>
      </c>
      <c r="E61" s="6">
        <v>2</v>
      </c>
      <c r="F61" s="6">
        <v>5993</v>
      </c>
      <c r="G61" s="6">
        <v>7</v>
      </c>
      <c r="H61" s="6">
        <v>4</v>
      </c>
      <c r="I61" s="6" t="s">
        <v>13</v>
      </c>
      <c r="J61" s="6" t="str">
        <f>IF(Employee[[#This Row],[Attrition]]="Yes","Resigned","Active")</f>
        <v>Active</v>
      </c>
    </row>
    <row r="62" spans="1:10" x14ac:dyDescent="0.25">
      <c r="A62" s="6">
        <v>78</v>
      </c>
      <c r="B62" s="6">
        <v>32</v>
      </c>
      <c r="C62" s="5" t="s">
        <v>11</v>
      </c>
      <c r="D62" s="5" t="s">
        <v>15</v>
      </c>
      <c r="E62" s="6">
        <v>2</v>
      </c>
      <c r="F62" s="6">
        <v>6162</v>
      </c>
      <c r="G62" s="6">
        <v>9</v>
      </c>
      <c r="H62" s="6">
        <v>3</v>
      </c>
      <c r="I62" s="6" t="s">
        <v>13</v>
      </c>
      <c r="J62" s="6" t="str">
        <f>IF(Employee[[#This Row],[Attrition]]="Yes","Resigned","Active")</f>
        <v>Active</v>
      </c>
    </row>
    <row r="63" spans="1:10" x14ac:dyDescent="0.25">
      <c r="A63" s="6">
        <v>79</v>
      </c>
      <c r="B63" s="6">
        <v>38</v>
      </c>
      <c r="C63" s="5" t="s">
        <v>11</v>
      </c>
      <c r="D63" s="5" t="s">
        <v>14</v>
      </c>
      <c r="E63" s="6">
        <v>2</v>
      </c>
      <c r="F63" s="6">
        <v>2406</v>
      </c>
      <c r="G63" s="6">
        <v>10</v>
      </c>
      <c r="H63" s="6">
        <v>3</v>
      </c>
      <c r="I63" s="6" t="s">
        <v>13</v>
      </c>
      <c r="J63" s="6" t="str">
        <f>IF(Employee[[#This Row],[Attrition]]="Yes","Resigned","Active")</f>
        <v>Active</v>
      </c>
    </row>
    <row r="64" spans="1:10" x14ac:dyDescent="0.25">
      <c r="A64" s="6">
        <v>80</v>
      </c>
      <c r="B64" s="6">
        <v>50</v>
      </c>
      <c r="C64" s="5" t="s">
        <v>11</v>
      </c>
      <c r="D64" s="5" t="s">
        <v>19</v>
      </c>
      <c r="E64" s="6">
        <v>5</v>
      </c>
      <c r="F64" s="6">
        <v>18740</v>
      </c>
      <c r="G64" s="6">
        <v>27</v>
      </c>
      <c r="H64" s="6">
        <v>2</v>
      </c>
      <c r="I64" s="6" t="s">
        <v>13</v>
      </c>
      <c r="J64" s="6" t="str">
        <f>IF(Employee[[#This Row],[Attrition]]="Yes","Resigned","Active")</f>
        <v>Active</v>
      </c>
    </row>
    <row r="65" spans="1:10" x14ac:dyDescent="0.25">
      <c r="A65" s="6">
        <v>81</v>
      </c>
      <c r="B65" s="6">
        <v>59</v>
      </c>
      <c r="C65" s="5" t="s">
        <v>8</v>
      </c>
      <c r="D65" s="5" t="s">
        <v>9</v>
      </c>
      <c r="E65" s="6">
        <v>3</v>
      </c>
      <c r="F65" s="6">
        <v>7637</v>
      </c>
      <c r="G65" s="6">
        <v>21</v>
      </c>
      <c r="H65" s="6">
        <v>2</v>
      </c>
      <c r="I65" s="6" t="s">
        <v>13</v>
      </c>
      <c r="J65" s="6" t="str">
        <f>IF(Employee[[#This Row],[Attrition]]="Yes","Resigned","Active")</f>
        <v>Active</v>
      </c>
    </row>
    <row r="66" spans="1:10" x14ac:dyDescent="0.25">
      <c r="A66" s="6">
        <v>83</v>
      </c>
      <c r="B66" s="6">
        <v>36</v>
      </c>
      <c r="C66" s="5" t="s">
        <v>11</v>
      </c>
      <c r="D66" s="5" t="s">
        <v>16</v>
      </c>
      <c r="E66" s="6">
        <v>3</v>
      </c>
      <c r="F66" s="6">
        <v>10096</v>
      </c>
      <c r="G66" s="6">
        <v>17</v>
      </c>
      <c r="H66" s="6">
        <v>3</v>
      </c>
      <c r="I66" s="6" t="s">
        <v>13</v>
      </c>
      <c r="J66" s="6" t="str">
        <f>IF(Employee[[#This Row],[Attrition]]="Yes","Resigned","Active")</f>
        <v>Active</v>
      </c>
    </row>
    <row r="67" spans="1:10" x14ac:dyDescent="0.25">
      <c r="A67" s="6">
        <v>84</v>
      </c>
      <c r="B67" s="6">
        <v>55</v>
      </c>
      <c r="C67" s="5" t="s">
        <v>11</v>
      </c>
      <c r="D67" s="5" t="s">
        <v>17</v>
      </c>
      <c r="E67" s="6">
        <v>4</v>
      </c>
      <c r="F67" s="6">
        <v>14756</v>
      </c>
      <c r="G67" s="6">
        <v>5</v>
      </c>
      <c r="H67" s="6">
        <v>3</v>
      </c>
      <c r="I67" s="6" t="s">
        <v>13</v>
      </c>
      <c r="J67" s="6" t="str">
        <f>IF(Employee[[#This Row],[Attrition]]="Yes","Resigned","Active")</f>
        <v>Active</v>
      </c>
    </row>
    <row r="68" spans="1:10" x14ac:dyDescent="0.25">
      <c r="A68" s="6">
        <v>85</v>
      </c>
      <c r="B68" s="6">
        <v>36</v>
      </c>
      <c r="C68" s="5" t="s">
        <v>11</v>
      </c>
      <c r="D68" s="5" t="s">
        <v>15</v>
      </c>
      <c r="E68" s="6">
        <v>2</v>
      </c>
      <c r="F68" s="6">
        <v>6499</v>
      </c>
      <c r="G68" s="6">
        <v>6</v>
      </c>
      <c r="H68" s="6">
        <v>3</v>
      </c>
      <c r="I68" s="6" t="s">
        <v>13</v>
      </c>
      <c r="J68" s="6" t="str">
        <f>IF(Employee[[#This Row],[Attrition]]="Yes","Resigned","Active")</f>
        <v>Active</v>
      </c>
    </row>
    <row r="69" spans="1:10" x14ac:dyDescent="0.25">
      <c r="A69" s="6">
        <v>86</v>
      </c>
      <c r="B69" s="6">
        <v>45</v>
      </c>
      <c r="C69" s="5" t="s">
        <v>11</v>
      </c>
      <c r="D69" s="5" t="s">
        <v>12</v>
      </c>
      <c r="E69" s="6">
        <v>3</v>
      </c>
      <c r="F69" s="6">
        <v>9724</v>
      </c>
      <c r="G69" s="6">
        <v>1</v>
      </c>
      <c r="H69" s="6">
        <v>3</v>
      </c>
      <c r="I69" s="6" t="s">
        <v>13</v>
      </c>
      <c r="J69" s="6" t="str">
        <f>IF(Employee[[#This Row],[Attrition]]="Yes","Resigned","Active")</f>
        <v>Active</v>
      </c>
    </row>
    <row r="70" spans="1:10" x14ac:dyDescent="0.25">
      <c r="A70" s="6">
        <v>88</v>
      </c>
      <c r="B70" s="6">
        <v>35</v>
      </c>
      <c r="C70" s="5" t="s">
        <v>11</v>
      </c>
      <c r="D70" s="5" t="s">
        <v>12</v>
      </c>
      <c r="E70" s="6">
        <v>1</v>
      </c>
      <c r="F70" s="6">
        <v>2194</v>
      </c>
      <c r="G70" s="6">
        <v>3</v>
      </c>
      <c r="H70" s="6">
        <v>2</v>
      </c>
      <c r="I70" s="6" t="s">
        <v>13</v>
      </c>
      <c r="J70" s="6" t="str">
        <f>IF(Employee[[#This Row],[Attrition]]="Yes","Resigned","Active")</f>
        <v>Active</v>
      </c>
    </row>
    <row r="71" spans="1:10" x14ac:dyDescent="0.25">
      <c r="A71" s="6">
        <v>90</v>
      </c>
      <c r="B71" s="6">
        <v>36</v>
      </c>
      <c r="C71" s="5" t="s">
        <v>11</v>
      </c>
      <c r="D71" s="5" t="s">
        <v>12</v>
      </c>
      <c r="E71" s="6">
        <v>1</v>
      </c>
      <c r="F71" s="6">
        <v>3388</v>
      </c>
      <c r="G71" s="6">
        <v>1</v>
      </c>
      <c r="H71" s="6">
        <v>2</v>
      </c>
      <c r="I71" s="6" t="s">
        <v>10</v>
      </c>
      <c r="J71" s="6" t="str">
        <f>IF(Employee[[#This Row],[Attrition]]="Yes","Resigned","Active")</f>
        <v>Resigned</v>
      </c>
    </row>
    <row r="72" spans="1:10" x14ac:dyDescent="0.25">
      <c r="A72" s="6">
        <v>91</v>
      </c>
      <c r="B72" s="6">
        <v>59</v>
      </c>
      <c r="C72" s="5" t="s">
        <v>8</v>
      </c>
      <c r="D72" s="5" t="s">
        <v>9</v>
      </c>
      <c r="E72" s="6">
        <v>2</v>
      </c>
      <c r="F72" s="6">
        <v>5473</v>
      </c>
      <c r="G72" s="6">
        <v>4</v>
      </c>
      <c r="H72" s="6">
        <v>2</v>
      </c>
      <c r="I72" s="6" t="s">
        <v>13</v>
      </c>
      <c r="J72" s="6" t="str">
        <f>IF(Employee[[#This Row],[Attrition]]="Yes","Resigned","Active")</f>
        <v>Active</v>
      </c>
    </row>
    <row r="73" spans="1:10" x14ac:dyDescent="0.25">
      <c r="A73" s="6">
        <v>94</v>
      </c>
      <c r="B73" s="6">
        <v>29</v>
      </c>
      <c r="C73" s="5" t="s">
        <v>11</v>
      </c>
      <c r="D73" s="5" t="s">
        <v>12</v>
      </c>
      <c r="E73" s="6">
        <v>1</v>
      </c>
      <c r="F73" s="6">
        <v>2703</v>
      </c>
      <c r="G73" s="6">
        <v>5</v>
      </c>
      <c r="H73" s="6">
        <v>3</v>
      </c>
      <c r="I73" s="6" t="s">
        <v>13</v>
      </c>
      <c r="J73" s="6" t="str">
        <f>IF(Employee[[#This Row],[Attrition]]="Yes","Resigned","Active")</f>
        <v>Active</v>
      </c>
    </row>
    <row r="74" spans="1:10" x14ac:dyDescent="0.25">
      <c r="A74" s="6">
        <v>95</v>
      </c>
      <c r="B74" s="6">
        <v>31</v>
      </c>
      <c r="C74" s="5" t="s">
        <v>11</v>
      </c>
      <c r="D74" s="5" t="s">
        <v>12</v>
      </c>
      <c r="E74" s="6">
        <v>1</v>
      </c>
      <c r="F74" s="6">
        <v>2501</v>
      </c>
      <c r="G74" s="6">
        <v>1</v>
      </c>
      <c r="H74" s="6">
        <v>3</v>
      </c>
      <c r="I74" s="6" t="s">
        <v>13</v>
      </c>
      <c r="J74" s="6" t="str">
        <f>IF(Employee[[#This Row],[Attrition]]="Yes","Resigned","Active")</f>
        <v>Active</v>
      </c>
    </row>
    <row r="75" spans="1:10" x14ac:dyDescent="0.25">
      <c r="A75" s="6">
        <v>96</v>
      </c>
      <c r="B75" s="6">
        <v>32</v>
      </c>
      <c r="C75" s="5" t="s">
        <v>11</v>
      </c>
      <c r="D75" s="5" t="s">
        <v>12</v>
      </c>
      <c r="E75" s="6">
        <v>2</v>
      </c>
      <c r="F75" s="6">
        <v>6220</v>
      </c>
      <c r="G75" s="6">
        <v>10</v>
      </c>
      <c r="H75" s="6">
        <v>3</v>
      </c>
      <c r="I75" s="6" t="s">
        <v>13</v>
      </c>
      <c r="J75" s="6" t="str">
        <f>IF(Employee[[#This Row],[Attrition]]="Yes","Resigned","Active")</f>
        <v>Active</v>
      </c>
    </row>
    <row r="76" spans="1:10" x14ac:dyDescent="0.25">
      <c r="A76" s="6">
        <v>97</v>
      </c>
      <c r="B76" s="6">
        <v>36</v>
      </c>
      <c r="C76" s="5" t="s">
        <v>11</v>
      </c>
      <c r="D76" s="5" t="s">
        <v>14</v>
      </c>
      <c r="E76" s="6">
        <v>1</v>
      </c>
      <c r="F76" s="6">
        <v>3038</v>
      </c>
      <c r="G76" s="6">
        <v>1</v>
      </c>
      <c r="H76" s="6">
        <v>3</v>
      </c>
      <c r="I76" s="6" t="s">
        <v>13</v>
      </c>
      <c r="J76" s="6" t="str">
        <f>IF(Employee[[#This Row],[Attrition]]="Yes","Resigned","Active")</f>
        <v>Active</v>
      </c>
    </row>
    <row r="77" spans="1:10" x14ac:dyDescent="0.25">
      <c r="A77" s="6">
        <v>98</v>
      </c>
      <c r="B77" s="6">
        <v>31</v>
      </c>
      <c r="C77" s="5" t="s">
        <v>11</v>
      </c>
      <c r="D77" s="5" t="s">
        <v>15</v>
      </c>
      <c r="E77" s="6">
        <v>2</v>
      </c>
      <c r="F77" s="6">
        <v>4424</v>
      </c>
      <c r="G77" s="6">
        <v>11</v>
      </c>
      <c r="H77" s="6">
        <v>3</v>
      </c>
      <c r="I77" s="6" t="s">
        <v>13</v>
      </c>
      <c r="J77" s="6" t="str">
        <f>IF(Employee[[#This Row],[Attrition]]="Yes","Resigned","Active")</f>
        <v>Active</v>
      </c>
    </row>
    <row r="78" spans="1:10" x14ac:dyDescent="0.25">
      <c r="A78" s="6">
        <v>100</v>
      </c>
      <c r="B78" s="6">
        <v>35</v>
      </c>
      <c r="C78" s="5" t="s">
        <v>8</v>
      </c>
      <c r="D78" s="5" t="s">
        <v>9</v>
      </c>
      <c r="E78" s="6">
        <v>2</v>
      </c>
      <c r="F78" s="6">
        <v>4312</v>
      </c>
      <c r="G78" s="6">
        <v>15</v>
      </c>
      <c r="H78" s="6">
        <v>3</v>
      </c>
      <c r="I78" s="6" t="s">
        <v>13</v>
      </c>
      <c r="J78" s="6" t="str">
        <f>IF(Employee[[#This Row],[Attrition]]="Yes","Resigned","Active")</f>
        <v>Active</v>
      </c>
    </row>
    <row r="79" spans="1:10" x14ac:dyDescent="0.25">
      <c r="A79" s="6">
        <v>101</v>
      </c>
      <c r="B79" s="6">
        <v>45</v>
      </c>
      <c r="C79" s="5" t="s">
        <v>11</v>
      </c>
      <c r="D79" s="5" t="s">
        <v>19</v>
      </c>
      <c r="E79" s="6">
        <v>3</v>
      </c>
      <c r="F79" s="6">
        <v>13245</v>
      </c>
      <c r="G79" s="6">
        <v>0</v>
      </c>
      <c r="H79" s="6">
        <v>4</v>
      </c>
      <c r="I79" s="6" t="s">
        <v>13</v>
      </c>
      <c r="J79" s="6" t="str">
        <f>IF(Employee[[#This Row],[Attrition]]="Yes","Resigned","Active")</f>
        <v>Active</v>
      </c>
    </row>
    <row r="80" spans="1:10" x14ac:dyDescent="0.25">
      <c r="A80" s="6">
        <v>102</v>
      </c>
      <c r="B80" s="6">
        <v>37</v>
      </c>
      <c r="C80" s="5" t="s">
        <v>11</v>
      </c>
      <c r="D80" s="5" t="s">
        <v>19</v>
      </c>
      <c r="E80" s="6">
        <v>3</v>
      </c>
      <c r="F80" s="6">
        <v>13664</v>
      </c>
      <c r="G80" s="6">
        <v>5</v>
      </c>
      <c r="H80" s="6">
        <v>4</v>
      </c>
      <c r="I80" s="6" t="s">
        <v>13</v>
      </c>
      <c r="J80" s="6" t="str">
        <f>IF(Employee[[#This Row],[Attrition]]="Yes","Resigned","Active")</f>
        <v>Active</v>
      </c>
    </row>
    <row r="81" spans="1:10" x14ac:dyDescent="0.25">
      <c r="A81" s="6">
        <v>103</v>
      </c>
      <c r="B81" s="6">
        <v>46</v>
      </c>
      <c r="C81" s="5" t="s">
        <v>20</v>
      </c>
      <c r="D81" s="5" t="s">
        <v>20</v>
      </c>
      <c r="E81" s="6">
        <v>2</v>
      </c>
      <c r="F81" s="6">
        <v>5021</v>
      </c>
      <c r="G81" s="6">
        <v>4</v>
      </c>
      <c r="H81" s="6">
        <v>3</v>
      </c>
      <c r="I81" s="6" t="s">
        <v>13</v>
      </c>
      <c r="J81" s="6" t="str">
        <f>IF(Employee[[#This Row],[Attrition]]="Yes","Resigned","Active")</f>
        <v>Active</v>
      </c>
    </row>
    <row r="82" spans="1:10" x14ac:dyDescent="0.25">
      <c r="A82" s="6">
        <v>104</v>
      </c>
      <c r="B82" s="6">
        <v>30</v>
      </c>
      <c r="C82" s="5" t="s">
        <v>11</v>
      </c>
      <c r="D82" s="5" t="s">
        <v>14</v>
      </c>
      <c r="E82" s="6">
        <v>2</v>
      </c>
      <c r="F82" s="6">
        <v>5126</v>
      </c>
      <c r="G82" s="6">
        <v>10</v>
      </c>
      <c r="H82" s="6">
        <v>2</v>
      </c>
      <c r="I82" s="6" t="s">
        <v>13</v>
      </c>
      <c r="J82" s="6" t="str">
        <f>IF(Employee[[#This Row],[Attrition]]="Yes","Resigned","Active")</f>
        <v>Active</v>
      </c>
    </row>
    <row r="83" spans="1:10" x14ac:dyDescent="0.25">
      <c r="A83" s="6">
        <v>105</v>
      </c>
      <c r="B83" s="6">
        <v>35</v>
      </c>
      <c r="C83" s="5" t="s">
        <v>11</v>
      </c>
      <c r="D83" s="5" t="s">
        <v>12</v>
      </c>
      <c r="E83" s="6">
        <v>1</v>
      </c>
      <c r="F83" s="6">
        <v>2859</v>
      </c>
      <c r="G83" s="6">
        <v>6</v>
      </c>
      <c r="H83" s="6">
        <v>3</v>
      </c>
      <c r="I83" s="6" t="s">
        <v>13</v>
      </c>
      <c r="J83" s="6" t="str">
        <f>IF(Employee[[#This Row],[Attrition]]="Yes","Resigned","Active")</f>
        <v>Active</v>
      </c>
    </row>
    <row r="84" spans="1:10" x14ac:dyDescent="0.25">
      <c r="A84" s="6">
        <v>106</v>
      </c>
      <c r="B84" s="6">
        <v>55</v>
      </c>
      <c r="C84" s="5" t="s">
        <v>8</v>
      </c>
      <c r="D84" s="5" t="s">
        <v>9</v>
      </c>
      <c r="E84" s="6">
        <v>3</v>
      </c>
      <c r="F84" s="6">
        <v>10239</v>
      </c>
      <c r="G84" s="6">
        <v>1</v>
      </c>
      <c r="H84" s="6">
        <v>3</v>
      </c>
      <c r="I84" s="6" t="s">
        <v>13</v>
      </c>
      <c r="J84" s="6" t="str">
        <f>IF(Employee[[#This Row],[Attrition]]="Yes","Resigned","Active")</f>
        <v>Active</v>
      </c>
    </row>
    <row r="85" spans="1:10" x14ac:dyDescent="0.25">
      <c r="A85" s="6">
        <v>107</v>
      </c>
      <c r="B85" s="6">
        <v>38</v>
      </c>
      <c r="C85" s="5" t="s">
        <v>11</v>
      </c>
      <c r="D85" s="5" t="s">
        <v>12</v>
      </c>
      <c r="E85" s="6">
        <v>2</v>
      </c>
      <c r="F85" s="6">
        <v>5329</v>
      </c>
      <c r="G85" s="6">
        <v>13</v>
      </c>
      <c r="H85" s="6">
        <v>3</v>
      </c>
      <c r="I85" s="6" t="s">
        <v>13</v>
      </c>
      <c r="J85" s="6" t="str">
        <f>IF(Employee[[#This Row],[Attrition]]="Yes","Resigned","Active")</f>
        <v>Active</v>
      </c>
    </row>
    <row r="86" spans="1:10" x14ac:dyDescent="0.25">
      <c r="A86" s="6">
        <v>110</v>
      </c>
      <c r="B86" s="6">
        <v>34</v>
      </c>
      <c r="C86" s="5" t="s">
        <v>11</v>
      </c>
      <c r="D86" s="5" t="s">
        <v>15</v>
      </c>
      <c r="E86" s="6">
        <v>2</v>
      </c>
      <c r="F86" s="6">
        <v>4325</v>
      </c>
      <c r="G86" s="6">
        <v>5</v>
      </c>
      <c r="H86" s="6">
        <v>3</v>
      </c>
      <c r="I86" s="6" t="s">
        <v>13</v>
      </c>
      <c r="J86" s="6" t="str">
        <f>IF(Employee[[#This Row],[Attrition]]="Yes","Resigned","Active")</f>
        <v>Active</v>
      </c>
    </row>
    <row r="87" spans="1:10" x14ac:dyDescent="0.25">
      <c r="A87" s="6">
        <v>112</v>
      </c>
      <c r="B87" s="6">
        <v>56</v>
      </c>
      <c r="C87" s="5" t="s">
        <v>11</v>
      </c>
      <c r="D87" s="5" t="s">
        <v>15</v>
      </c>
      <c r="E87" s="6">
        <v>3</v>
      </c>
      <c r="F87" s="6">
        <v>7260</v>
      </c>
      <c r="G87" s="6">
        <v>6</v>
      </c>
      <c r="H87" s="6">
        <v>2</v>
      </c>
      <c r="I87" s="6" t="s">
        <v>13</v>
      </c>
      <c r="J87" s="6" t="str">
        <f>IF(Employee[[#This Row],[Attrition]]="Yes","Resigned","Active")</f>
        <v>Active</v>
      </c>
    </row>
    <row r="88" spans="1:10" x14ac:dyDescent="0.25">
      <c r="A88" s="6">
        <v>113</v>
      </c>
      <c r="B88" s="6">
        <v>23</v>
      </c>
      <c r="C88" s="5" t="s">
        <v>8</v>
      </c>
      <c r="D88" s="5" t="s">
        <v>18</v>
      </c>
      <c r="E88" s="6">
        <v>1</v>
      </c>
      <c r="F88" s="6">
        <v>2322</v>
      </c>
      <c r="G88" s="6">
        <v>0</v>
      </c>
      <c r="H88" s="6">
        <v>3</v>
      </c>
      <c r="I88" s="6" t="s">
        <v>13</v>
      </c>
      <c r="J88" s="6" t="str">
        <f>IF(Employee[[#This Row],[Attrition]]="Yes","Resigned","Active")</f>
        <v>Active</v>
      </c>
    </row>
    <row r="89" spans="1:10" x14ac:dyDescent="0.25">
      <c r="A89" s="6">
        <v>116</v>
      </c>
      <c r="B89" s="6">
        <v>51</v>
      </c>
      <c r="C89" s="5" t="s">
        <v>11</v>
      </c>
      <c r="D89" s="5" t="s">
        <v>14</v>
      </c>
      <c r="E89" s="6">
        <v>1</v>
      </c>
      <c r="F89" s="6">
        <v>2075</v>
      </c>
      <c r="G89" s="6">
        <v>4</v>
      </c>
      <c r="H89" s="6">
        <v>3</v>
      </c>
      <c r="I89" s="6" t="s">
        <v>13</v>
      </c>
      <c r="J89" s="6" t="str">
        <f>IF(Employee[[#This Row],[Attrition]]="Yes","Resigned","Active")</f>
        <v>Active</v>
      </c>
    </row>
    <row r="90" spans="1:10" x14ac:dyDescent="0.25">
      <c r="A90" s="6">
        <v>117</v>
      </c>
      <c r="B90" s="6">
        <v>30</v>
      </c>
      <c r="C90" s="5" t="s">
        <v>11</v>
      </c>
      <c r="D90" s="5" t="s">
        <v>16</v>
      </c>
      <c r="E90" s="6">
        <v>2</v>
      </c>
      <c r="F90" s="6">
        <v>4152</v>
      </c>
      <c r="G90" s="6">
        <v>11</v>
      </c>
      <c r="H90" s="6">
        <v>3</v>
      </c>
      <c r="I90" s="6" t="s">
        <v>13</v>
      </c>
      <c r="J90" s="6" t="str">
        <f>IF(Employee[[#This Row],[Attrition]]="Yes","Resigned","Active")</f>
        <v>Active</v>
      </c>
    </row>
    <row r="91" spans="1:10" x14ac:dyDescent="0.25">
      <c r="A91" s="6">
        <v>118</v>
      </c>
      <c r="B91" s="6">
        <v>46</v>
      </c>
      <c r="C91" s="5" t="s">
        <v>8</v>
      </c>
      <c r="D91" s="5" t="s">
        <v>9</v>
      </c>
      <c r="E91" s="6">
        <v>3</v>
      </c>
      <c r="F91" s="6">
        <v>9619</v>
      </c>
      <c r="G91" s="6">
        <v>9</v>
      </c>
      <c r="H91" s="6">
        <v>3</v>
      </c>
      <c r="I91" s="6" t="s">
        <v>10</v>
      </c>
      <c r="J91" s="6" t="str">
        <f>IF(Employee[[#This Row],[Attrition]]="Yes","Resigned","Active")</f>
        <v>Resigned</v>
      </c>
    </row>
    <row r="92" spans="1:10" x14ac:dyDescent="0.25">
      <c r="A92" s="6">
        <v>119</v>
      </c>
      <c r="B92" s="6">
        <v>40</v>
      </c>
      <c r="C92" s="5" t="s">
        <v>11</v>
      </c>
      <c r="D92" s="5" t="s">
        <v>16</v>
      </c>
      <c r="E92" s="6">
        <v>4</v>
      </c>
      <c r="F92" s="6">
        <v>13503</v>
      </c>
      <c r="G92" s="6">
        <v>22</v>
      </c>
      <c r="H92" s="6">
        <v>2</v>
      </c>
      <c r="I92" s="6" t="s">
        <v>13</v>
      </c>
      <c r="J92" s="6" t="str">
        <f>IF(Employee[[#This Row],[Attrition]]="Yes","Resigned","Active")</f>
        <v>Active</v>
      </c>
    </row>
    <row r="93" spans="1:10" x14ac:dyDescent="0.25">
      <c r="A93" s="6">
        <v>120</v>
      </c>
      <c r="B93" s="6">
        <v>51</v>
      </c>
      <c r="C93" s="5" t="s">
        <v>8</v>
      </c>
      <c r="D93" s="5" t="s">
        <v>9</v>
      </c>
      <c r="E93" s="6">
        <v>2</v>
      </c>
      <c r="F93" s="6">
        <v>5441</v>
      </c>
      <c r="G93" s="6">
        <v>10</v>
      </c>
      <c r="H93" s="6">
        <v>1</v>
      </c>
      <c r="I93" s="6" t="s">
        <v>13</v>
      </c>
      <c r="J93" s="6" t="str">
        <f>IF(Employee[[#This Row],[Attrition]]="Yes","Resigned","Active")</f>
        <v>Active</v>
      </c>
    </row>
    <row r="94" spans="1:10" x14ac:dyDescent="0.25">
      <c r="A94" s="6">
        <v>121</v>
      </c>
      <c r="B94" s="6">
        <v>30</v>
      </c>
      <c r="C94" s="5" t="s">
        <v>8</v>
      </c>
      <c r="D94" s="5" t="s">
        <v>9</v>
      </c>
      <c r="E94" s="6">
        <v>2</v>
      </c>
      <c r="F94" s="6">
        <v>5209</v>
      </c>
      <c r="G94" s="6">
        <v>11</v>
      </c>
      <c r="H94" s="6">
        <v>2</v>
      </c>
      <c r="I94" s="6" t="s">
        <v>13</v>
      </c>
      <c r="J94" s="6" t="str">
        <f>IF(Employee[[#This Row],[Attrition]]="Yes","Resigned","Active")</f>
        <v>Active</v>
      </c>
    </row>
    <row r="95" spans="1:10" x14ac:dyDescent="0.25">
      <c r="A95" s="6">
        <v>124</v>
      </c>
      <c r="B95" s="6">
        <v>46</v>
      </c>
      <c r="C95" s="5" t="s">
        <v>11</v>
      </c>
      <c r="D95" s="5" t="s">
        <v>16</v>
      </c>
      <c r="E95" s="6">
        <v>3</v>
      </c>
      <c r="F95" s="6">
        <v>10673</v>
      </c>
      <c r="G95" s="6">
        <v>10</v>
      </c>
      <c r="H95" s="6">
        <v>2</v>
      </c>
      <c r="I95" s="6" t="s">
        <v>13</v>
      </c>
      <c r="J95" s="6" t="str">
        <f>IF(Employee[[#This Row],[Attrition]]="Yes","Resigned","Active")</f>
        <v>Active</v>
      </c>
    </row>
    <row r="96" spans="1:10" x14ac:dyDescent="0.25">
      <c r="A96" s="6">
        <v>125</v>
      </c>
      <c r="B96" s="6">
        <v>32</v>
      </c>
      <c r="C96" s="5" t="s">
        <v>8</v>
      </c>
      <c r="D96" s="5" t="s">
        <v>9</v>
      </c>
      <c r="E96" s="6">
        <v>2</v>
      </c>
      <c r="F96" s="6">
        <v>5010</v>
      </c>
      <c r="G96" s="6">
        <v>11</v>
      </c>
      <c r="H96" s="6">
        <v>3</v>
      </c>
      <c r="I96" s="6" t="s">
        <v>13</v>
      </c>
      <c r="J96" s="6" t="str">
        <f>IF(Employee[[#This Row],[Attrition]]="Yes","Resigned","Active")</f>
        <v>Active</v>
      </c>
    </row>
    <row r="97" spans="1:10" x14ac:dyDescent="0.25">
      <c r="A97" s="6">
        <v>126</v>
      </c>
      <c r="B97" s="6">
        <v>54</v>
      </c>
      <c r="C97" s="5" t="s">
        <v>11</v>
      </c>
      <c r="D97" s="5" t="s">
        <v>19</v>
      </c>
      <c r="E97" s="6">
        <v>3</v>
      </c>
      <c r="F97" s="6">
        <v>13549</v>
      </c>
      <c r="G97" s="6">
        <v>4</v>
      </c>
      <c r="H97" s="6">
        <v>1</v>
      </c>
      <c r="I97" s="6" t="s">
        <v>13</v>
      </c>
      <c r="J97" s="6" t="str">
        <f>IF(Employee[[#This Row],[Attrition]]="Yes","Resigned","Active")</f>
        <v>Active</v>
      </c>
    </row>
    <row r="98" spans="1:10" x14ac:dyDescent="0.25">
      <c r="A98" s="6">
        <v>128</v>
      </c>
      <c r="B98" s="6">
        <v>24</v>
      </c>
      <c r="C98" s="5" t="s">
        <v>8</v>
      </c>
      <c r="D98" s="5" t="s">
        <v>9</v>
      </c>
      <c r="E98" s="6">
        <v>2</v>
      </c>
      <c r="F98" s="6">
        <v>4999</v>
      </c>
      <c r="G98" s="6">
        <v>3</v>
      </c>
      <c r="H98" s="6">
        <v>2</v>
      </c>
      <c r="I98" s="6" t="s">
        <v>13</v>
      </c>
      <c r="J98" s="6" t="str">
        <f>IF(Employee[[#This Row],[Attrition]]="Yes","Resigned","Active")</f>
        <v>Active</v>
      </c>
    </row>
    <row r="99" spans="1:10" x14ac:dyDescent="0.25">
      <c r="A99" s="6">
        <v>129</v>
      </c>
      <c r="B99" s="6">
        <v>28</v>
      </c>
      <c r="C99" s="5" t="s">
        <v>8</v>
      </c>
      <c r="D99" s="5" t="s">
        <v>9</v>
      </c>
      <c r="E99" s="6">
        <v>2</v>
      </c>
      <c r="F99" s="6">
        <v>4221</v>
      </c>
      <c r="G99" s="6">
        <v>5</v>
      </c>
      <c r="H99" s="6">
        <v>4</v>
      </c>
      <c r="I99" s="6" t="s">
        <v>13</v>
      </c>
      <c r="J99" s="6" t="str">
        <f>IF(Employee[[#This Row],[Attrition]]="Yes","Resigned","Active")</f>
        <v>Active</v>
      </c>
    </row>
    <row r="100" spans="1:10" x14ac:dyDescent="0.25">
      <c r="A100" s="6">
        <v>131</v>
      </c>
      <c r="B100" s="6">
        <v>58</v>
      </c>
      <c r="C100" s="5" t="s">
        <v>8</v>
      </c>
      <c r="D100" s="5" t="s">
        <v>9</v>
      </c>
      <c r="E100" s="6">
        <v>4</v>
      </c>
      <c r="F100" s="6">
        <v>13872</v>
      </c>
      <c r="G100" s="6">
        <v>37</v>
      </c>
      <c r="H100" s="6">
        <v>2</v>
      </c>
      <c r="I100" s="6" t="s">
        <v>13</v>
      </c>
      <c r="J100" s="6" t="str">
        <f>IF(Employee[[#This Row],[Attrition]]="Yes","Resigned","Active")</f>
        <v>Active</v>
      </c>
    </row>
    <row r="101" spans="1:10" x14ac:dyDescent="0.25">
      <c r="A101" s="6">
        <v>132</v>
      </c>
      <c r="B101" s="6">
        <v>44</v>
      </c>
      <c r="C101" s="5" t="s">
        <v>11</v>
      </c>
      <c r="D101" s="5" t="s">
        <v>14</v>
      </c>
      <c r="E101" s="6">
        <v>2</v>
      </c>
      <c r="F101" s="6">
        <v>2042</v>
      </c>
      <c r="G101" s="6">
        <v>3</v>
      </c>
      <c r="H101" s="6">
        <v>4</v>
      </c>
      <c r="I101" s="6" t="s">
        <v>13</v>
      </c>
      <c r="J101" s="6" t="str">
        <f>IF(Employee[[#This Row],[Attrition]]="Yes","Resigned","Active")</f>
        <v>Active</v>
      </c>
    </row>
    <row r="102" spans="1:10" x14ac:dyDescent="0.25">
      <c r="A102" s="6">
        <v>133</v>
      </c>
      <c r="B102" s="6">
        <v>37</v>
      </c>
      <c r="C102" s="5" t="s">
        <v>20</v>
      </c>
      <c r="D102" s="5" t="s">
        <v>20</v>
      </c>
      <c r="E102" s="6">
        <v>1</v>
      </c>
      <c r="F102" s="6">
        <v>2073</v>
      </c>
      <c r="G102" s="6">
        <v>3</v>
      </c>
      <c r="H102" s="6">
        <v>3</v>
      </c>
      <c r="I102" s="6" t="s">
        <v>10</v>
      </c>
      <c r="J102" s="6" t="str">
        <f>IF(Employee[[#This Row],[Attrition]]="Yes","Resigned","Active")</f>
        <v>Resigned</v>
      </c>
    </row>
    <row r="103" spans="1:10" x14ac:dyDescent="0.25">
      <c r="A103" s="6">
        <v>134</v>
      </c>
      <c r="B103" s="6">
        <v>32</v>
      </c>
      <c r="C103" s="5" t="s">
        <v>11</v>
      </c>
      <c r="D103" s="5" t="s">
        <v>12</v>
      </c>
      <c r="E103" s="6">
        <v>1</v>
      </c>
      <c r="F103" s="6">
        <v>2956</v>
      </c>
      <c r="G103" s="6">
        <v>1</v>
      </c>
      <c r="H103" s="6">
        <v>3</v>
      </c>
      <c r="I103" s="6" t="s">
        <v>13</v>
      </c>
      <c r="J103" s="6" t="str">
        <f>IF(Employee[[#This Row],[Attrition]]="Yes","Resigned","Active")</f>
        <v>Active</v>
      </c>
    </row>
    <row r="104" spans="1:10" x14ac:dyDescent="0.25">
      <c r="A104" s="6">
        <v>137</v>
      </c>
      <c r="B104" s="6">
        <v>20</v>
      </c>
      <c r="C104" s="5" t="s">
        <v>11</v>
      </c>
      <c r="D104" s="5" t="s">
        <v>14</v>
      </c>
      <c r="E104" s="6">
        <v>1</v>
      </c>
      <c r="F104" s="6">
        <v>2926</v>
      </c>
      <c r="G104" s="6">
        <v>1</v>
      </c>
      <c r="H104" s="6">
        <v>3</v>
      </c>
      <c r="I104" s="6" t="s">
        <v>10</v>
      </c>
      <c r="J104" s="6" t="str">
        <f>IF(Employee[[#This Row],[Attrition]]="Yes","Resigned","Active")</f>
        <v>Resigned</v>
      </c>
    </row>
    <row r="105" spans="1:10" x14ac:dyDescent="0.25">
      <c r="A105" s="6">
        <v>138</v>
      </c>
      <c r="B105" s="6">
        <v>34</v>
      </c>
      <c r="C105" s="5" t="s">
        <v>11</v>
      </c>
      <c r="D105" s="5" t="s">
        <v>12</v>
      </c>
      <c r="E105" s="6">
        <v>2</v>
      </c>
      <c r="F105" s="6">
        <v>4809</v>
      </c>
      <c r="G105" s="6">
        <v>16</v>
      </c>
      <c r="H105" s="6">
        <v>3</v>
      </c>
      <c r="I105" s="6" t="s">
        <v>13</v>
      </c>
      <c r="J105" s="6" t="str">
        <f>IF(Employee[[#This Row],[Attrition]]="Yes","Resigned","Active")</f>
        <v>Active</v>
      </c>
    </row>
    <row r="106" spans="1:10" x14ac:dyDescent="0.25">
      <c r="A106" s="6">
        <v>139</v>
      </c>
      <c r="B106" s="6">
        <v>37</v>
      </c>
      <c r="C106" s="5" t="s">
        <v>11</v>
      </c>
      <c r="D106" s="5" t="s">
        <v>16</v>
      </c>
      <c r="E106" s="6">
        <v>2</v>
      </c>
      <c r="F106" s="6">
        <v>5163</v>
      </c>
      <c r="G106" s="6">
        <v>1</v>
      </c>
      <c r="H106" s="6">
        <v>4</v>
      </c>
      <c r="I106" s="6" t="s">
        <v>13</v>
      </c>
      <c r="J106" s="6" t="str">
        <f>IF(Employee[[#This Row],[Attrition]]="Yes","Resigned","Active")</f>
        <v>Active</v>
      </c>
    </row>
    <row r="107" spans="1:10" x14ac:dyDescent="0.25">
      <c r="A107" s="6">
        <v>140</v>
      </c>
      <c r="B107" s="6">
        <v>59</v>
      </c>
      <c r="C107" s="5" t="s">
        <v>20</v>
      </c>
      <c r="D107" s="5" t="s">
        <v>17</v>
      </c>
      <c r="E107" s="6">
        <v>5</v>
      </c>
      <c r="F107" s="6">
        <v>18844</v>
      </c>
      <c r="G107" s="6">
        <v>3</v>
      </c>
      <c r="H107" s="6">
        <v>3</v>
      </c>
      <c r="I107" s="6" t="s">
        <v>13</v>
      </c>
      <c r="J107" s="6" t="str">
        <f>IF(Employee[[#This Row],[Attrition]]="Yes","Resigned","Active")</f>
        <v>Active</v>
      </c>
    </row>
    <row r="108" spans="1:10" x14ac:dyDescent="0.25">
      <c r="A108" s="6">
        <v>141</v>
      </c>
      <c r="B108" s="6">
        <v>50</v>
      </c>
      <c r="C108" s="5" t="s">
        <v>11</v>
      </c>
      <c r="D108" s="5" t="s">
        <v>19</v>
      </c>
      <c r="E108" s="6">
        <v>5</v>
      </c>
      <c r="F108" s="6">
        <v>18172</v>
      </c>
      <c r="G108" s="6">
        <v>8</v>
      </c>
      <c r="H108" s="6">
        <v>2</v>
      </c>
      <c r="I108" s="6" t="s">
        <v>13</v>
      </c>
      <c r="J108" s="6" t="str">
        <f>IF(Employee[[#This Row],[Attrition]]="Yes","Resigned","Active")</f>
        <v>Active</v>
      </c>
    </row>
    <row r="109" spans="1:10" x14ac:dyDescent="0.25">
      <c r="A109" s="6">
        <v>142</v>
      </c>
      <c r="B109" s="6">
        <v>25</v>
      </c>
      <c r="C109" s="5" t="s">
        <v>8</v>
      </c>
      <c r="D109" s="5" t="s">
        <v>9</v>
      </c>
      <c r="E109" s="6">
        <v>2</v>
      </c>
      <c r="F109" s="6">
        <v>5744</v>
      </c>
      <c r="G109" s="6">
        <v>6</v>
      </c>
      <c r="H109" s="6">
        <v>3</v>
      </c>
      <c r="I109" s="6" t="s">
        <v>10</v>
      </c>
      <c r="J109" s="6" t="str">
        <f>IF(Employee[[#This Row],[Attrition]]="Yes","Resigned","Active")</f>
        <v>Resigned</v>
      </c>
    </row>
    <row r="110" spans="1:10" x14ac:dyDescent="0.25">
      <c r="A110" s="6">
        <v>143</v>
      </c>
      <c r="B110" s="6">
        <v>25</v>
      </c>
      <c r="C110" s="5" t="s">
        <v>11</v>
      </c>
      <c r="D110" s="5" t="s">
        <v>12</v>
      </c>
      <c r="E110" s="6">
        <v>1</v>
      </c>
      <c r="F110" s="6">
        <v>2889</v>
      </c>
      <c r="G110" s="6">
        <v>2</v>
      </c>
      <c r="H110" s="6">
        <v>3</v>
      </c>
      <c r="I110" s="6" t="s">
        <v>13</v>
      </c>
      <c r="J110" s="6" t="str">
        <f>IF(Employee[[#This Row],[Attrition]]="Yes","Resigned","Active")</f>
        <v>Active</v>
      </c>
    </row>
    <row r="111" spans="1:10" x14ac:dyDescent="0.25">
      <c r="A111" s="6">
        <v>144</v>
      </c>
      <c r="B111" s="6">
        <v>22</v>
      </c>
      <c r="C111" s="5" t="s">
        <v>11</v>
      </c>
      <c r="D111" s="5" t="s">
        <v>14</v>
      </c>
      <c r="E111" s="6">
        <v>1</v>
      </c>
      <c r="F111" s="6">
        <v>2871</v>
      </c>
      <c r="G111" s="6">
        <v>0</v>
      </c>
      <c r="H111" s="6">
        <v>3</v>
      </c>
      <c r="I111" s="6" t="s">
        <v>13</v>
      </c>
      <c r="J111" s="6" t="str">
        <f>IF(Employee[[#This Row],[Attrition]]="Yes","Resigned","Active")</f>
        <v>Active</v>
      </c>
    </row>
    <row r="112" spans="1:10" x14ac:dyDescent="0.25">
      <c r="A112" s="6">
        <v>145</v>
      </c>
      <c r="B112" s="6">
        <v>51</v>
      </c>
      <c r="C112" s="5" t="s">
        <v>11</v>
      </c>
      <c r="D112" s="5" t="s">
        <v>16</v>
      </c>
      <c r="E112" s="6">
        <v>3</v>
      </c>
      <c r="F112" s="6">
        <v>7484</v>
      </c>
      <c r="G112" s="6">
        <v>13</v>
      </c>
      <c r="H112" s="6">
        <v>2</v>
      </c>
      <c r="I112" s="6" t="s">
        <v>13</v>
      </c>
      <c r="J112" s="6" t="str">
        <f>IF(Employee[[#This Row],[Attrition]]="Yes","Resigned","Active")</f>
        <v>Active</v>
      </c>
    </row>
    <row r="113" spans="1:10" x14ac:dyDescent="0.25">
      <c r="A113" s="6">
        <v>147</v>
      </c>
      <c r="B113" s="6">
        <v>34</v>
      </c>
      <c r="C113" s="5" t="s">
        <v>11</v>
      </c>
      <c r="D113" s="5" t="s">
        <v>14</v>
      </c>
      <c r="E113" s="6">
        <v>2</v>
      </c>
      <c r="F113" s="6">
        <v>6074</v>
      </c>
      <c r="G113" s="6">
        <v>9</v>
      </c>
      <c r="H113" s="6">
        <v>3</v>
      </c>
      <c r="I113" s="6" t="s">
        <v>10</v>
      </c>
      <c r="J113" s="6" t="str">
        <f>IF(Employee[[#This Row],[Attrition]]="Yes","Resigned","Active")</f>
        <v>Resigned</v>
      </c>
    </row>
    <row r="114" spans="1:10" x14ac:dyDescent="0.25">
      <c r="A114" s="6">
        <v>148</v>
      </c>
      <c r="B114" s="6">
        <v>54</v>
      </c>
      <c r="C114" s="5" t="s">
        <v>20</v>
      </c>
      <c r="D114" s="5" t="s">
        <v>17</v>
      </c>
      <c r="E114" s="6">
        <v>4</v>
      </c>
      <c r="F114" s="6">
        <v>17328</v>
      </c>
      <c r="G114" s="6">
        <v>5</v>
      </c>
      <c r="H114" s="6">
        <v>3</v>
      </c>
      <c r="I114" s="6" t="s">
        <v>13</v>
      </c>
      <c r="J114" s="6" t="str">
        <f>IF(Employee[[#This Row],[Attrition]]="Yes","Resigned","Active")</f>
        <v>Active</v>
      </c>
    </row>
    <row r="115" spans="1:10" x14ac:dyDescent="0.25">
      <c r="A115" s="6">
        <v>150</v>
      </c>
      <c r="B115" s="6">
        <v>24</v>
      </c>
      <c r="C115" s="5" t="s">
        <v>11</v>
      </c>
      <c r="D115" s="5" t="s">
        <v>14</v>
      </c>
      <c r="E115" s="6">
        <v>1</v>
      </c>
      <c r="F115" s="6">
        <v>2774</v>
      </c>
      <c r="G115" s="6">
        <v>5</v>
      </c>
      <c r="H115" s="6">
        <v>3</v>
      </c>
      <c r="I115" s="6" t="s">
        <v>13</v>
      </c>
      <c r="J115" s="6" t="str">
        <f>IF(Employee[[#This Row],[Attrition]]="Yes","Resigned","Active")</f>
        <v>Active</v>
      </c>
    </row>
    <row r="116" spans="1:10" x14ac:dyDescent="0.25">
      <c r="A116" s="6">
        <v>151</v>
      </c>
      <c r="B116" s="6">
        <v>34</v>
      </c>
      <c r="C116" s="5" t="s">
        <v>11</v>
      </c>
      <c r="D116" s="5" t="s">
        <v>12</v>
      </c>
      <c r="E116" s="6">
        <v>2</v>
      </c>
      <c r="F116" s="6">
        <v>4505</v>
      </c>
      <c r="G116" s="6">
        <v>1</v>
      </c>
      <c r="H116" s="6">
        <v>3</v>
      </c>
      <c r="I116" s="6" t="s">
        <v>13</v>
      </c>
      <c r="J116" s="6" t="str">
        <f>IF(Employee[[#This Row],[Attrition]]="Yes","Resigned","Active")</f>
        <v>Active</v>
      </c>
    </row>
    <row r="117" spans="1:10" x14ac:dyDescent="0.25">
      <c r="A117" s="6">
        <v>152</v>
      </c>
      <c r="B117" s="6">
        <v>37</v>
      </c>
      <c r="C117" s="5" t="s">
        <v>8</v>
      </c>
      <c r="D117" s="5" t="s">
        <v>9</v>
      </c>
      <c r="E117" s="6">
        <v>3</v>
      </c>
      <c r="F117" s="6">
        <v>7428</v>
      </c>
      <c r="G117" s="6">
        <v>5</v>
      </c>
      <c r="H117" s="6">
        <v>3</v>
      </c>
      <c r="I117" s="6" t="s">
        <v>13</v>
      </c>
      <c r="J117" s="6" t="str">
        <f>IF(Employee[[#This Row],[Attrition]]="Yes","Resigned","Active")</f>
        <v>Active</v>
      </c>
    </row>
    <row r="118" spans="1:10" x14ac:dyDescent="0.25">
      <c r="A118" s="6">
        <v>153</v>
      </c>
      <c r="B118" s="6">
        <v>34</v>
      </c>
      <c r="C118" s="5" t="s">
        <v>11</v>
      </c>
      <c r="D118" s="5" t="s">
        <v>17</v>
      </c>
      <c r="E118" s="6">
        <v>3</v>
      </c>
      <c r="F118" s="6">
        <v>11631</v>
      </c>
      <c r="G118" s="6">
        <v>11</v>
      </c>
      <c r="H118" s="6">
        <v>3</v>
      </c>
      <c r="I118" s="6" t="s">
        <v>13</v>
      </c>
      <c r="J118" s="6" t="str">
        <f>IF(Employee[[#This Row],[Attrition]]="Yes","Resigned","Active")</f>
        <v>Active</v>
      </c>
    </row>
    <row r="119" spans="1:10" x14ac:dyDescent="0.25">
      <c r="A119" s="6">
        <v>154</v>
      </c>
      <c r="B119" s="6">
        <v>36</v>
      </c>
      <c r="C119" s="5" t="s">
        <v>8</v>
      </c>
      <c r="D119" s="5" t="s">
        <v>9</v>
      </c>
      <c r="E119" s="6">
        <v>3</v>
      </c>
      <c r="F119" s="6">
        <v>9738</v>
      </c>
      <c r="G119" s="6">
        <v>9</v>
      </c>
      <c r="H119" s="6">
        <v>3</v>
      </c>
      <c r="I119" s="6" t="s">
        <v>13</v>
      </c>
      <c r="J119" s="6" t="str">
        <f>IF(Employee[[#This Row],[Attrition]]="Yes","Resigned","Active")</f>
        <v>Active</v>
      </c>
    </row>
    <row r="120" spans="1:10" x14ac:dyDescent="0.25">
      <c r="A120" s="6">
        <v>155</v>
      </c>
      <c r="B120" s="6">
        <v>36</v>
      </c>
      <c r="C120" s="5" t="s">
        <v>11</v>
      </c>
      <c r="D120" s="5" t="s">
        <v>14</v>
      </c>
      <c r="E120" s="6">
        <v>1</v>
      </c>
      <c r="F120" s="6">
        <v>2835</v>
      </c>
      <c r="G120" s="6">
        <v>1</v>
      </c>
      <c r="H120" s="6">
        <v>3</v>
      </c>
      <c r="I120" s="6" t="s">
        <v>13</v>
      </c>
      <c r="J120" s="6" t="str">
        <f>IF(Employee[[#This Row],[Attrition]]="Yes","Resigned","Active")</f>
        <v>Active</v>
      </c>
    </row>
    <row r="121" spans="1:10" x14ac:dyDescent="0.25">
      <c r="A121" s="6">
        <v>158</v>
      </c>
      <c r="B121" s="6">
        <v>43</v>
      </c>
      <c r="C121" s="5" t="s">
        <v>8</v>
      </c>
      <c r="D121" s="5" t="s">
        <v>17</v>
      </c>
      <c r="E121" s="6">
        <v>4</v>
      </c>
      <c r="F121" s="6">
        <v>16959</v>
      </c>
      <c r="G121" s="6">
        <v>25</v>
      </c>
      <c r="H121" s="6">
        <v>4</v>
      </c>
      <c r="I121" s="6" t="s">
        <v>13</v>
      </c>
      <c r="J121" s="6" t="str">
        <f>IF(Employee[[#This Row],[Attrition]]="Yes","Resigned","Active")</f>
        <v>Active</v>
      </c>
    </row>
    <row r="122" spans="1:10" x14ac:dyDescent="0.25">
      <c r="A122" s="6">
        <v>159</v>
      </c>
      <c r="B122" s="6">
        <v>30</v>
      </c>
      <c r="C122" s="5" t="s">
        <v>11</v>
      </c>
      <c r="D122" s="5" t="s">
        <v>12</v>
      </c>
      <c r="E122" s="6">
        <v>1</v>
      </c>
      <c r="F122" s="6">
        <v>2613</v>
      </c>
      <c r="G122" s="6">
        <v>10</v>
      </c>
      <c r="H122" s="6">
        <v>2</v>
      </c>
      <c r="I122" s="6" t="s">
        <v>13</v>
      </c>
      <c r="J122" s="6" t="str">
        <f>IF(Employee[[#This Row],[Attrition]]="Yes","Resigned","Active")</f>
        <v>Active</v>
      </c>
    </row>
    <row r="123" spans="1:10" x14ac:dyDescent="0.25">
      <c r="A123" s="6">
        <v>160</v>
      </c>
      <c r="B123" s="6">
        <v>33</v>
      </c>
      <c r="C123" s="5" t="s">
        <v>8</v>
      </c>
      <c r="D123" s="5" t="s">
        <v>9</v>
      </c>
      <c r="E123" s="6">
        <v>2</v>
      </c>
      <c r="F123" s="6">
        <v>6146</v>
      </c>
      <c r="G123" s="6">
        <v>7</v>
      </c>
      <c r="H123" s="6">
        <v>4</v>
      </c>
      <c r="I123" s="6" t="s">
        <v>13</v>
      </c>
      <c r="J123" s="6" t="str">
        <f>IF(Employee[[#This Row],[Attrition]]="Yes","Resigned","Active")</f>
        <v>Active</v>
      </c>
    </row>
    <row r="124" spans="1:10" x14ac:dyDescent="0.25">
      <c r="A124" s="6">
        <v>161</v>
      </c>
      <c r="B124" s="6">
        <v>56</v>
      </c>
      <c r="C124" s="5" t="s">
        <v>11</v>
      </c>
      <c r="D124" s="5" t="s">
        <v>12</v>
      </c>
      <c r="E124" s="6">
        <v>1</v>
      </c>
      <c r="F124" s="6">
        <v>4963</v>
      </c>
      <c r="G124" s="6">
        <v>5</v>
      </c>
      <c r="H124" s="6">
        <v>3</v>
      </c>
      <c r="I124" s="6" t="s">
        <v>10</v>
      </c>
      <c r="J124" s="6" t="str">
        <f>IF(Employee[[#This Row],[Attrition]]="Yes","Resigned","Active")</f>
        <v>Resigned</v>
      </c>
    </row>
    <row r="125" spans="1:10" x14ac:dyDescent="0.25">
      <c r="A125" s="6">
        <v>162</v>
      </c>
      <c r="B125" s="6">
        <v>51</v>
      </c>
      <c r="C125" s="5" t="s">
        <v>11</v>
      </c>
      <c r="D125" s="5" t="s">
        <v>19</v>
      </c>
      <c r="E125" s="6">
        <v>5</v>
      </c>
      <c r="F125" s="6">
        <v>19537</v>
      </c>
      <c r="G125" s="6">
        <v>20</v>
      </c>
      <c r="H125" s="6">
        <v>3</v>
      </c>
      <c r="I125" s="6" t="s">
        <v>13</v>
      </c>
      <c r="J125" s="6" t="str">
        <f>IF(Employee[[#This Row],[Attrition]]="Yes","Resigned","Active")</f>
        <v>Active</v>
      </c>
    </row>
    <row r="126" spans="1:10" x14ac:dyDescent="0.25">
      <c r="A126" s="6">
        <v>163</v>
      </c>
      <c r="B126" s="6">
        <v>31</v>
      </c>
      <c r="C126" s="5" t="s">
        <v>8</v>
      </c>
      <c r="D126" s="5" t="s">
        <v>9</v>
      </c>
      <c r="E126" s="6">
        <v>2</v>
      </c>
      <c r="F126" s="6">
        <v>6172</v>
      </c>
      <c r="G126" s="6">
        <v>7</v>
      </c>
      <c r="H126" s="6">
        <v>2</v>
      </c>
      <c r="I126" s="6" t="s">
        <v>10</v>
      </c>
      <c r="J126" s="6" t="str">
        <f>IF(Employee[[#This Row],[Attrition]]="Yes","Resigned","Active")</f>
        <v>Resigned</v>
      </c>
    </row>
    <row r="127" spans="1:10" x14ac:dyDescent="0.25">
      <c r="A127" s="6">
        <v>164</v>
      </c>
      <c r="B127" s="6">
        <v>26</v>
      </c>
      <c r="C127" s="5" t="s">
        <v>11</v>
      </c>
      <c r="D127" s="5" t="s">
        <v>12</v>
      </c>
      <c r="E127" s="6">
        <v>1</v>
      </c>
      <c r="F127" s="6">
        <v>2368</v>
      </c>
      <c r="G127" s="6">
        <v>5</v>
      </c>
      <c r="H127" s="6">
        <v>2</v>
      </c>
      <c r="I127" s="6" t="s">
        <v>13</v>
      </c>
      <c r="J127" s="6" t="str">
        <f>IF(Employee[[#This Row],[Attrition]]="Yes","Resigned","Active")</f>
        <v>Active</v>
      </c>
    </row>
    <row r="128" spans="1:10" x14ac:dyDescent="0.25">
      <c r="A128" s="6">
        <v>165</v>
      </c>
      <c r="B128" s="6">
        <v>58</v>
      </c>
      <c r="C128" s="5" t="s">
        <v>11</v>
      </c>
      <c r="D128" s="5" t="s">
        <v>16</v>
      </c>
      <c r="E128" s="6">
        <v>3</v>
      </c>
      <c r="F128" s="6">
        <v>10312</v>
      </c>
      <c r="G128" s="6">
        <v>40</v>
      </c>
      <c r="H128" s="6">
        <v>2</v>
      </c>
      <c r="I128" s="6" t="s">
        <v>10</v>
      </c>
      <c r="J128" s="6" t="str">
        <f>IF(Employee[[#This Row],[Attrition]]="Yes","Resigned","Active")</f>
        <v>Resigned</v>
      </c>
    </row>
    <row r="129" spans="1:10" x14ac:dyDescent="0.25">
      <c r="A129" s="6">
        <v>167</v>
      </c>
      <c r="B129" s="6">
        <v>19</v>
      </c>
      <c r="C129" s="5" t="s">
        <v>8</v>
      </c>
      <c r="D129" s="5" t="s">
        <v>18</v>
      </c>
      <c r="E129" s="6">
        <v>1</v>
      </c>
      <c r="F129" s="6">
        <v>1675</v>
      </c>
      <c r="G129" s="6">
        <v>0</v>
      </c>
      <c r="H129" s="6">
        <v>2</v>
      </c>
      <c r="I129" s="6" t="s">
        <v>10</v>
      </c>
      <c r="J129" s="6" t="str">
        <f>IF(Employee[[#This Row],[Attrition]]="Yes","Resigned","Active")</f>
        <v>Resigned</v>
      </c>
    </row>
    <row r="130" spans="1:10" x14ac:dyDescent="0.25">
      <c r="A130" s="6">
        <v>169</v>
      </c>
      <c r="B130" s="6">
        <v>22</v>
      </c>
      <c r="C130" s="5" t="s">
        <v>11</v>
      </c>
      <c r="D130" s="5" t="s">
        <v>14</v>
      </c>
      <c r="E130" s="6">
        <v>1</v>
      </c>
      <c r="F130" s="6">
        <v>2523</v>
      </c>
      <c r="G130" s="6">
        <v>2</v>
      </c>
      <c r="H130" s="6">
        <v>3</v>
      </c>
      <c r="I130" s="6" t="s">
        <v>13</v>
      </c>
      <c r="J130" s="6" t="str">
        <f>IF(Employee[[#This Row],[Attrition]]="Yes","Resigned","Active")</f>
        <v>Active</v>
      </c>
    </row>
    <row r="131" spans="1:10" x14ac:dyDescent="0.25">
      <c r="A131" s="6">
        <v>170</v>
      </c>
      <c r="B131" s="6">
        <v>49</v>
      </c>
      <c r="C131" s="5" t="s">
        <v>11</v>
      </c>
      <c r="D131" s="5" t="s">
        <v>15</v>
      </c>
      <c r="E131" s="6">
        <v>2</v>
      </c>
      <c r="F131" s="6">
        <v>6567</v>
      </c>
      <c r="G131" s="6">
        <v>15</v>
      </c>
      <c r="H131" s="6">
        <v>2</v>
      </c>
      <c r="I131" s="6" t="s">
        <v>13</v>
      </c>
      <c r="J131" s="6" t="str">
        <f>IF(Employee[[#This Row],[Attrition]]="Yes","Resigned","Active")</f>
        <v>Active</v>
      </c>
    </row>
    <row r="132" spans="1:10" x14ac:dyDescent="0.25">
      <c r="A132" s="6">
        <v>171</v>
      </c>
      <c r="B132" s="6">
        <v>43</v>
      </c>
      <c r="C132" s="5" t="s">
        <v>11</v>
      </c>
      <c r="D132" s="5" t="s">
        <v>12</v>
      </c>
      <c r="E132" s="6">
        <v>1</v>
      </c>
      <c r="F132" s="6">
        <v>4739</v>
      </c>
      <c r="G132" s="6">
        <v>3</v>
      </c>
      <c r="H132" s="6">
        <v>3</v>
      </c>
      <c r="I132" s="6" t="s">
        <v>13</v>
      </c>
      <c r="J132" s="6" t="str">
        <f>IF(Employee[[#This Row],[Attrition]]="Yes","Resigned","Active")</f>
        <v>Active</v>
      </c>
    </row>
    <row r="133" spans="1:10" x14ac:dyDescent="0.25">
      <c r="A133" s="6">
        <v>174</v>
      </c>
      <c r="B133" s="6">
        <v>50</v>
      </c>
      <c r="C133" s="5" t="s">
        <v>8</v>
      </c>
      <c r="D133" s="5" t="s">
        <v>9</v>
      </c>
      <c r="E133" s="6">
        <v>3</v>
      </c>
      <c r="F133" s="6">
        <v>9208</v>
      </c>
      <c r="G133" s="6">
        <v>2</v>
      </c>
      <c r="H133" s="6">
        <v>3</v>
      </c>
      <c r="I133" s="6" t="s">
        <v>13</v>
      </c>
      <c r="J133" s="6" t="str">
        <f>IF(Employee[[#This Row],[Attrition]]="Yes","Resigned","Active")</f>
        <v>Active</v>
      </c>
    </row>
    <row r="134" spans="1:10" x14ac:dyDescent="0.25">
      <c r="A134" s="6">
        <v>175</v>
      </c>
      <c r="B134" s="6">
        <v>31</v>
      </c>
      <c r="C134" s="5" t="s">
        <v>8</v>
      </c>
      <c r="D134" s="5" t="s">
        <v>9</v>
      </c>
      <c r="E134" s="6">
        <v>2</v>
      </c>
      <c r="F134" s="6">
        <v>4559</v>
      </c>
      <c r="G134" s="6">
        <v>2</v>
      </c>
      <c r="H134" s="6">
        <v>3</v>
      </c>
      <c r="I134" s="6" t="s">
        <v>10</v>
      </c>
      <c r="J134" s="6" t="str">
        <f>IF(Employee[[#This Row],[Attrition]]="Yes","Resigned","Active")</f>
        <v>Resigned</v>
      </c>
    </row>
    <row r="135" spans="1:10" x14ac:dyDescent="0.25">
      <c r="A135" s="6">
        <v>176</v>
      </c>
      <c r="B135" s="6">
        <v>41</v>
      </c>
      <c r="C135" s="5" t="s">
        <v>8</v>
      </c>
      <c r="D135" s="5" t="s">
        <v>9</v>
      </c>
      <c r="E135" s="6">
        <v>3</v>
      </c>
      <c r="F135" s="6">
        <v>8189</v>
      </c>
      <c r="G135" s="6">
        <v>9</v>
      </c>
      <c r="H135" s="6">
        <v>3</v>
      </c>
      <c r="I135" s="6" t="s">
        <v>13</v>
      </c>
      <c r="J135" s="6" t="str">
        <f>IF(Employee[[#This Row],[Attrition]]="Yes","Resigned","Active")</f>
        <v>Active</v>
      </c>
    </row>
    <row r="136" spans="1:10" x14ac:dyDescent="0.25">
      <c r="A136" s="6">
        <v>177</v>
      </c>
      <c r="B136" s="6">
        <v>26</v>
      </c>
      <c r="C136" s="5" t="s">
        <v>20</v>
      </c>
      <c r="D136" s="5" t="s">
        <v>20</v>
      </c>
      <c r="E136" s="6">
        <v>1</v>
      </c>
      <c r="F136" s="6">
        <v>2942</v>
      </c>
      <c r="G136" s="6">
        <v>8</v>
      </c>
      <c r="H136" s="6">
        <v>3</v>
      </c>
      <c r="I136" s="6" t="s">
        <v>13</v>
      </c>
      <c r="J136" s="6" t="str">
        <f>IF(Employee[[#This Row],[Attrition]]="Yes","Resigned","Active")</f>
        <v>Active</v>
      </c>
    </row>
    <row r="137" spans="1:10" x14ac:dyDescent="0.25">
      <c r="A137" s="6">
        <v>178</v>
      </c>
      <c r="B137" s="6">
        <v>36</v>
      </c>
      <c r="C137" s="5" t="s">
        <v>11</v>
      </c>
      <c r="D137" s="5" t="s">
        <v>15</v>
      </c>
      <c r="E137" s="6">
        <v>2</v>
      </c>
      <c r="F137" s="6">
        <v>4941</v>
      </c>
      <c r="G137" s="6">
        <v>3</v>
      </c>
      <c r="H137" s="6">
        <v>3</v>
      </c>
      <c r="I137" s="6" t="s">
        <v>13</v>
      </c>
      <c r="J137" s="6" t="str">
        <f>IF(Employee[[#This Row],[Attrition]]="Yes","Resigned","Active")</f>
        <v>Active</v>
      </c>
    </row>
    <row r="138" spans="1:10" x14ac:dyDescent="0.25">
      <c r="A138" s="6">
        <v>179</v>
      </c>
      <c r="B138" s="6">
        <v>51</v>
      </c>
      <c r="C138" s="5" t="s">
        <v>11</v>
      </c>
      <c r="D138" s="5" t="s">
        <v>15</v>
      </c>
      <c r="E138" s="6">
        <v>3</v>
      </c>
      <c r="F138" s="6">
        <v>10650</v>
      </c>
      <c r="G138" s="6">
        <v>4</v>
      </c>
      <c r="H138" s="6">
        <v>3</v>
      </c>
      <c r="I138" s="6" t="s">
        <v>10</v>
      </c>
      <c r="J138" s="6" t="str">
        <f>IF(Employee[[#This Row],[Attrition]]="Yes","Resigned","Active")</f>
        <v>Resigned</v>
      </c>
    </row>
    <row r="139" spans="1:10" x14ac:dyDescent="0.25">
      <c r="A139" s="6">
        <v>182</v>
      </c>
      <c r="B139" s="6">
        <v>39</v>
      </c>
      <c r="C139" s="5" t="s">
        <v>8</v>
      </c>
      <c r="D139" s="5" t="s">
        <v>9</v>
      </c>
      <c r="E139" s="6">
        <v>2</v>
      </c>
      <c r="F139" s="6">
        <v>5902</v>
      </c>
      <c r="G139" s="6">
        <v>15</v>
      </c>
      <c r="H139" s="6">
        <v>4</v>
      </c>
      <c r="I139" s="6" t="s">
        <v>13</v>
      </c>
      <c r="J139" s="6" t="str">
        <f>IF(Employee[[#This Row],[Attrition]]="Yes","Resigned","Active")</f>
        <v>Active</v>
      </c>
    </row>
    <row r="140" spans="1:10" x14ac:dyDescent="0.25">
      <c r="A140" s="6">
        <v>183</v>
      </c>
      <c r="B140" s="6">
        <v>25</v>
      </c>
      <c r="C140" s="5" t="s">
        <v>8</v>
      </c>
      <c r="D140" s="5" t="s">
        <v>9</v>
      </c>
      <c r="E140" s="6">
        <v>2</v>
      </c>
      <c r="F140" s="6">
        <v>8639</v>
      </c>
      <c r="G140" s="6">
        <v>2</v>
      </c>
      <c r="H140" s="6">
        <v>3</v>
      </c>
      <c r="I140" s="6" t="s">
        <v>13</v>
      </c>
      <c r="J140" s="6" t="str">
        <f>IF(Employee[[#This Row],[Attrition]]="Yes","Resigned","Active")</f>
        <v>Active</v>
      </c>
    </row>
    <row r="141" spans="1:10" x14ac:dyDescent="0.25">
      <c r="A141" s="6">
        <v>184</v>
      </c>
      <c r="B141" s="6">
        <v>30</v>
      </c>
      <c r="C141" s="5" t="s">
        <v>20</v>
      </c>
      <c r="D141" s="5" t="s">
        <v>20</v>
      </c>
      <c r="E141" s="6">
        <v>2</v>
      </c>
      <c r="F141" s="6">
        <v>6347</v>
      </c>
      <c r="G141" s="6">
        <v>11</v>
      </c>
      <c r="H141" s="6">
        <v>1</v>
      </c>
      <c r="I141" s="6" t="s">
        <v>13</v>
      </c>
      <c r="J141" s="6" t="str">
        <f>IF(Employee[[#This Row],[Attrition]]="Yes","Resigned","Active")</f>
        <v>Active</v>
      </c>
    </row>
    <row r="142" spans="1:10" x14ac:dyDescent="0.25">
      <c r="A142" s="6">
        <v>190</v>
      </c>
      <c r="B142" s="6">
        <v>32</v>
      </c>
      <c r="C142" s="5" t="s">
        <v>11</v>
      </c>
      <c r="D142" s="5" t="s">
        <v>14</v>
      </c>
      <c r="E142" s="6">
        <v>1</v>
      </c>
      <c r="F142" s="6">
        <v>4200</v>
      </c>
      <c r="G142" s="6">
        <v>5</v>
      </c>
      <c r="H142" s="6">
        <v>4</v>
      </c>
      <c r="I142" s="6" t="s">
        <v>10</v>
      </c>
      <c r="J142" s="6" t="str">
        <f>IF(Employee[[#This Row],[Attrition]]="Yes","Resigned","Active")</f>
        <v>Resigned</v>
      </c>
    </row>
    <row r="143" spans="1:10" x14ac:dyDescent="0.25">
      <c r="A143" s="6">
        <v>192</v>
      </c>
      <c r="B143" s="6">
        <v>45</v>
      </c>
      <c r="C143" s="5" t="s">
        <v>11</v>
      </c>
      <c r="D143" s="5" t="s">
        <v>12</v>
      </c>
      <c r="E143" s="6">
        <v>1</v>
      </c>
      <c r="F143" s="6">
        <v>3452</v>
      </c>
      <c r="G143" s="6">
        <v>6</v>
      </c>
      <c r="H143" s="6">
        <v>2</v>
      </c>
      <c r="I143" s="6" t="s">
        <v>13</v>
      </c>
      <c r="J143" s="6" t="str">
        <f>IF(Employee[[#This Row],[Attrition]]="Yes","Resigned","Active")</f>
        <v>Active</v>
      </c>
    </row>
    <row r="144" spans="1:10" x14ac:dyDescent="0.25">
      <c r="A144" s="6">
        <v>193</v>
      </c>
      <c r="B144" s="6">
        <v>38</v>
      </c>
      <c r="C144" s="5" t="s">
        <v>11</v>
      </c>
      <c r="D144" s="5" t="s">
        <v>12</v>
      </c>
      <c r="E144" s="6">
        <v>2</v>
      </c>
      <c r="F144" s="6">
        <v>4317</v>
      </c>
      <c r="G144" s="6">
        <v>3</v>
      </c>
      <c r="H144" s="6">
        <v>3</v>
      </c>
      <c r="I144" s="6" t="s">
        <v>13</v>
      </c>
      <c r="J144" s="6" t="str">
        <f>IF(Employee[[#This Row],[Attrition]]="Yes","Resigned","Active")</f>
        <v>Active</v>
      </c>
    </row>
    <row r="145" spans="1:10" x14ac:dyDescent="0.25">
      <c r="A145" s="6">
        <v>194</v>
      </c>
      <c r="B145" s="6">
        <v>30</v>
      </c>
      <c r="C145" s="5" t="s">
        <v>11</v>
      </c>
      <c r="D145" s="5" t="s">
        <v>12</v>
      </c>
      <c r="E145" s="6">
        <v>1</v>
      </c>
      <c r="F145" s="6">
        <v>2632</v>
      </c>
      <c r="G145" s="6">
        <v>5</v>
      </c>
      <c r="H145" s="6">
        <v>2</v>
      </c>
      <c r="I145" s="6" t="s">
        <v>13</v>
      </c>
      <c r="J145" s="6" t="str">
        <f>IF(Employee[[#This Row],[Attrition]]="Yes","Resigned","Active")</f>
        <v>Active</v>
      </c>
    </row>
    <row r="146" spans="1:10" x14ac:dyDescent="0.25">
      <c r="A146" s="6">
        <v>195</v>
      </c>
      <c r="B146" s="6">
        <v>32</v>
      </c>
      <c r="C146" s="5" t="s">
        <v>8</v>
      </c>
      <c r="D146" s="5" t="s">
        <v>9</v>
      </c>
      <c r="E146" s="6">
        <v>2</v>
      </c>
      <c r="F146" s="6">
        <v>4668</v>
      </c>
      <c r="G146" s="6">
        <v>8</v>
      </c>
      <c r="H146" s="6">
        <v>4</v>
      </c>
      <c r="I146" s="6" t="s">
        <v>13</v>
      </c>
      <c r="J146" s="6" t="str">
        <f>IF(Employee[[#This Row],[Attrition]]="Yes","Resigned","Active")</f>
        <v>Active</v>
      </c>
    </row>
    <row r="147" spans="1:10" x14ac:dyDescent="0.25">
      <c r="A147" s="6">
        <v>197</v>
      </c>
      <c r="B147" s="6">
        <v>30</v>
      </c>
      <c r="C147" s="5" t="s">
        <v>11</v>
      </c>
      <c r="D147" s="5" t="s">
        <v>12</v>
      </c>
      <c r="E147" s="6">
        <v>1</v>
      </c>
      <c r="F147" s="6">
        <v>3204</v>
      </c>
      <c r="G147" s="6">
        <v>3</v>
      </c>
      <c r="H147" s="6">
        <v>3</v>
      </c>
      <c r="I147" s="6" t="s">
        <v>13</v>
      </c>
      <c r="J147" s="6" t="str">
        <f>IF(Employee[[#This Row],[Attrition]]="Yes","Resigned","Active")</f>
        <v>Active</v>
      </c>
    </row>
    <row r="148" spans="1:10" x14ac:dyDescent="0.25">
      <c r="A148" s="6">
        <v>198</v>
      </c>
      <c r="B148" s="6">
        <v>30</v>
      </c>
      <c r="C148" s="5" t="s">
        <v>11</v>
      </c>
      <c r="D148" s="5" t="s">
        <v>14</v>
      </c>
      <c r="E148" s="6">
        <v>1</v>
      </c>
      <c r="F148" s="6">
        <v>2720</v>
      </c>
      <c r="G148" s="6">
        <v>5</v>
      </c>
      <c r="H148" s="6">
        <v>3</v>
      </c>
      <c r="I148" s="6" t="s">
        <v>13</v>
      </c>
      <c r="J148" s="6" t="str">
        <f>IF(Employee[[#This Row],[Attrition]]="Yes","Resigned","Active")</f>
        <v>Active</v>
      </c>
    </row>
    <row r="149" spans="1:10" x14ac:dyDescent="0.25">
      <c r="A149" s="6">
        <v>199</v>
      </c>
      <c r="B149" s="6">
        <v>41</v>
      </c>
      <c r="C149" s="5" t="s">
        <v>11</v>
      </c>
      <c r="D149" s="5" t="s">
        <v>17</v>
      </c>
      <c r="E149" s="6">
        <v>4</v>
      </c>
      <c r="F149" s="6">
        <v>17181</v>
      </c>
      <c r="G149" s="6">
        <v>7</v>
      </c>
      <c r="H149" s="6">
        <v>2</v>
      </c>
      <c r="I149" s="6" t="s">
        <v>13</v>
      </c>
      <c r="J149" s="6" t="str">
        <f>IF(Employee[[#This Row],[Attrition]]="Yes","Resigned","Active")</f>
        <v>Active</v>
      </c>
    </row>
    <row r="150" spans="1:10" x14ac:dyDescent="0.25">
      <c r="A150" s="6">
        <v>200</v>
      </c>
      <c r="B150" s="6">
        <v>41</v>
      </c>
      <c r="C150" s="5" t="s">
        <v>11</v>
      </c>
      <c r="D150" s="5" t="s">
        <v>14</v>
      </c>
      <c r="E150" s="6">
        <v>1</v>
      </c>
      <c r="F150" s="6">
        <v>2238</v>
      </c>
      <c r="G150" s="6">
        <v>5</v>
      </c>
      <c r="H150" s="6">
        <v>3</v>
      </c>
      <c r="I150" s="6" t="s">
        <v>13</v>
      </c>
      <c r="J150" s="6" t="str">
        <f>IF(Employee[[#This Row],[Attrition]]="Yes","Resigned","Active")</f>
        <v>Active</v>
      </c>
    </row>
    <row r="151" spans="1:10" x14ac:dyDescent="0.25">
      <c r="A151" s="6">
        <v>201</v>
      </c>
      <c r="B151" s="6">
        <v>19</v>
      </c>
      <c r="C151" s="5" t="s">
        <v>11</v>
      </c>
      <c r="D151" s="5" t="s">
        <v>14</v>
      </c>
      <c r="E151" s="6">
        <v>1</v>
      </c>
      <c r="F151" s="6">
        <v>1483</v>
      </c>
      <c r="G151" s="6">
        <v>1</v>
      </c>
      <c r="H151" s="6">
        <v>3</v>
      </c>
      <c r="I151" s="6" t="s">
        <v>13</v>
      </c>
      <c r="J151" s="6" t="str">
        <f>IF(Employee[[#This Row],[Attrition]]="Yes","Resigned","Active")</f>
        <v>Active</v>
      </c>
    </row>
    <row r="152" spans="1:10" x14ac:dyDescent="0.25">
      <c r="A152" s="6">
        <v>202</v>
      </c>
      <c r="B152" s="6">
        <v>40</v>
      </c>
      <c r="C152" s="5" t="s">
        <v>11</v>
      </c>
      <c r="D152" s="5" t="s">
        <v>12</v>
      </c>
      <c r="E152" s="6">
        <v>2</v>
      </c>
      <c r="F152" s="6">
        <v>5605</v>
      </c>
      <c r="G152" s="6">
        <v>20</v>
      </c>
      <c r="H152" s="6">
        <v>3</v>
      </c>
      <c r="I152" s="6" t="s">
        <v>13</v>
      </c>
      <c r="J152" s="6" t="str">
        <f>IF(Employee[[#This Row],[Attrition]]="Yes","Resigned","Active")</f>
        <v>Active</v>
      </c>
    </row>
    <row r="153" spans="1:10" x14ac:dyDescent="0.25">
      <c r="A153" s="6">
        <v>204</v>
      </c>
      <c r="B153" s="6">
        <v>35</v>
      </c>
      <c r="C153" s="5" t="s">
        <v>8</v>
      </c>
      <c r="D153" s="5" t="s">
        <v>9</v>
      </c>
      <c r="E153" s="6">
        <v>3</v>
      </c>
      <c r="F153" s="6">
        <v>7295</v>
      </c>
      <c r="G153" s="6">
        <v>10</v>
      </c>
      <c r="H153" s="6">
        <v>3</v>
      </c>
      <c r="I153" s="6" t="s">
        <v>13</v>
      </c>
      <c r="J153" s="6" t="str">
        <f>IF(Employee[[#This Row],[Attrition]]="Yes","Resigned","Active")</f>
        <v>Active</v>
      </c>
    </row>
    <row r="154" spans="1:10" x14ac:dyDescent="0.25">
      <c r="A154" s="6">
        <v>205</v>
      </c>
      <c r="B154" s="6">
        <v>53</v>
      </c>
      <c r="C154" s="5" t="s">
        <v>8</v>
      </c>
      <c r="D154" s="5" t="s">
        <v>18</v>
      </c>
      <c r="E154" s="6">
        <v>2</v>
      </c>
      <c r="F154" s="6">
        <v>2306</v>
      </c>
      <c r="G154" s="6">
        <v>7</v>
      </c>
      <c r="H154" s="6">
        <v>1</v>
      </c>
      <c r="I154" s="6" t="s">
        <v>13</v>
      </c>
      <c r="J154" s="6" t="str">
        <f>IF(Employee[[#This Row],[Attrition]]="Yes","Resigned","Active")</f>
        <v>Active</v>
      </c>
    </row>
    <row r="155" spans="1:10" x14ac:dyDescent="0.25">
      <c r="A155" s="6">
        <v>206</v>
      </c>
      <c r="B155" s="6">
        <v>45</v>
      </c>
      <c r="C155" s="5" t="s">
        <v>11</v>
      </c>
      <c r="D155" s="5" t="s">
        <v>14</v>
      </c>
      <c r="E155" s="6">
        <v>2</v>
      </c>
      <c r="F155" s="6">
        <v>2348</v>
      </c>
      <c r="G155" s="6">
        <v>17</v>
      </c>
      <c r="H155" s="6">
        <v>1</v>
      </c>
      <c r="I155" s="6" t="s">
        <v>13</v>
      </c>
      <c r="J155" s="6" t="str">
        <f>IF(Employee[[#This Row],[Attrition]]="Yes","Resigned","Active")</f>
        <v>Active</v>
      </c>
    </row>
    <row r="156" spans="1:10" x14ac:dyDescent="0.25">
      <c r="A156" s="6">
        <v>207</v>
      </c>
      <c r="B156" s="6">
        <v>32</v>
      </c>
      <c r="C156" s="5" t="s">
        <v>8</v>
      </c>
      <c r="D156" s="5" t="s">
        <v>9</v>
      </c>
      <c r="E156" s="6">
        <v>3</v>
      </c>
      <c r="F156" s="6">
        <v>8998</v>
      </c>
      <c r="G156" s="6">
        <v>9</v>
      </c>
      <c r="H156" s="6">
        <v>3</v>
      </c>
      <c r="I156" s="6" t="s">
        <v>13</v>
      </c>
      <c r="J156" s="6" t="str">
        <f>IF(Employee[[#This Row],[Attrition]]="Yes","Resigned","Active")</f>
        <v>Active</v>
      </c>
    </row>
    <row r="157" spans="1:10" x14ac:dyDescent="0.25">
      <c r="A157" s="6">
        <v>208</v>
      </c>
      <c r="B157" s="6">
        <v>29</v>
      </c>
      <c r="C157" s="5" t="s">
        <v>11</v>
      </c>
      <c r="D157" s="5" t="s">
        <v>15</v>
      </c>
      <c r="E157" s="6">
        <v>2</v>
      </c>
      <c r="F157" s="6">
        <v>4319</v>
      </c>
      <c r="G157" s="6">
        <v>10</v>
      </c>
      <c r="H157" s="6">
        <v>3</v>
      </c>
      <c r="I157" s="6" t="s">
        <v>13</v>
      </c>
      <c r="J157" s="6" t="str">
        <f>IF(Employee[[#This Row],[Attrition]]="Yes","Resigned","Active")</f>
        <v>Active</v>
      </c>
    </row>
    <row r="158" spans="1:10" x14ac:dyDescent="0.25">
      <c r="A158" s="6">
        <v>211</v>
      </c>
      <c r="B158" s="6">
        <v>51</v>
      </c>
      <c r="C158" s="5" t="s">
        <v>11</v>
      </c>
      <c r="D158" s="5" t="s">
        <v>15</v>
      </c>
      <c r="E158" s="6">
        <v>2</v>
      </c>
      <c r="F158" s="6">
        <v>6132</v>
      </c>
      <c r="G158" s="6">
        <v>1</v>
      </c>
      <c r="H158" s="6">
        <v>3</v>
      </c>
      <c r="I158" s="6" t="s">
        <v>13</v>
      </c>
      <c r="J158" s="6" t="str">
        <f>IF(Employee[[#This Row],[Attrition]]="Yes","Resigned","Active")</f>
        <v>Active</v>
      </c>
    </row>
    <row r="159" spans="1:10" x14ac:dyDescent="0.25">
      <c r="A159" s="6">
        <v>214</v>
      </c>
      <c r="B159" s="6">
        <v>58</v>
      </c>
      <c r="C159" s="5" t="s">
        <v>11</v>
      </c>
      <c r="D159" s="5" t="s">
        <v>12</v>
      </c>
      <c r="E159" s="6">
        <v>1</v>
      </c>
      <c r="F159" s="6">
        <v>3346</v>
      </c>
      <c r="G159" s="6">
        <v>1</v>
      </c>
      <c r="H159" s="6">
        <v>2</v>
      </c>
      <c r="I159" s="6" t="s">
        <v>13</v>
      </c>
      <c r="J159" s="6" t="str">
        <f>IF(Employee[[#This Row],[Attrition]]="Yes","Resigned","Active")</f>
        <v>Active</v>
      </c>
    </row>
    <row r="160" spans="1:10" x14ac:dyDescent="0.25">
      <c r="A160" s="6">
        <v>215</v>
      </c>
      <c r="B160" s="6">
        <v>40</v>
      </c>
      <c r="C160" s="5" t="s">
        <v>8</v>
      </c>
      <c r="D160" s="5" t="s">
        <v>9</v>
      </c>
      <c r="E160" s="6">
        <v>3</v>
      </c>
      <c r="F160" s="6">
        <v>10855</v>
      </c>
      <c r="G160" s="6">
        <v>12</v>
      </c>
      <c r="H160" s="6">
        <v>2</v>
      </c>
      <c r="I160" s="6" t="s">
        <v>13</v>
      </c>
      <c r="J160" s="6" t="str">
        <f>IF(Employee[[#This Row],[Attrition]]="Yes","Resigned","Active")</f>
        <v>Active</v>
      </c>
    </row>
    <row r="161" spans="1:10" x14ac:dyDescent="0.25">
      <c r="A161" s="6">
        <v>216</v>
      </c>
      <c r="B161" s="6">
        <v>34</v>
      </c>
      <c r="C161" s="5" t="s">
        <v>8</v>
      </c>
      <c r="D161" s="5" t="s">
        <v>18</v>
      </c>
      <c r="E161" s="6">
        <v>1</v>
      </c>
      <c r="F161" s="6">
        <v>2231</v>
      </c>
      <c r="G161" s="6">
        <v>4</v>
      </c>
      <c r="H161" s="6">
        <v>3</v>
      </c>
      <c r="I161" s="6" t="s">
        <v>13</v>
      </c>
      <c r="J161" s="6" t="str">
        <f>IF(Employee[[#This Row],[Attrition]]="Yes","Resigned","Active")</f>
        <v>Active</v>
      </c>
    </row>
    <row r="162" spans="1:10" x14ac:dyDescent="0.25">
      <c r="A162" s="6">
        <v>217</v>
      </c>
      <c r="B162" s="6">
        <v>22</v>
      </c>
      <c r="C162" s="5" t="s">
        <v>11</v>
      </c>
      <c r="D162" s="5" t="s">
        <v>12</v>
      </c>
      <c r="E162" s="6">
        <v>1</v>
      </c>
      <c r="F162" s="6">
        <v>2323</v>
      </c>
      <c r="G162" s="6">
        <v>2</v>
      </c>
      <c r="H162" s="6">
        <v>3</v>
      </c>
      <c r="I162" s="6" t="s">
        <v>13</v>
      </c>
      <c r="J162" s="6" t="str">
        <f>IF(Employee[[#This Row],[Attrition]]="Yes","Resigned","Active")</f>
        <v>Active</v>
      </c>
    </row>
    <row r="163" spans="1:10" x14ac:dyDescent="0.25">
      <c r="A163" s="6">
        <v>218</v>
      </c>
      <c r="B163" s="6">
        <v>27</v>
      </c>
      <c r="C163" s="5" t="s">
        <v>11</v>
      </c>
      <c r="D163" s="5" t="s">
        <v>12</v>
      </c>
      <c r="E163" s="6">
        <v>1</v>
      </c>
      <c r="F163" s="6">
        <v>2024</v>
      </c>
      <c r="G163" s="6">
        <v>2</v>
      </c>
      <c r="H163" s="6">
        <v>1</v>
      </c>
      <c r="I163" s="6" t="s">
        <v>13</v>
      </c>
      <c r="J163" s="6" t="str">
        <f>IF(Employee[[#This Row],[Attrition]]="Yes","Resigned","Active")</f>
        <v>Active</v>
      </c>
    </row>
    <row r="164" spans="1:10" x14ac:dyDescent="0.25">
      <c r="A164" s="6">
        <v>221</v>
      </c>
      <c r="B164" s="6">
        <v>28</v>
      </c>
      <c r="C164" s="5" t="s">
        <v>11</v>
      </c>
      <c r="D164" s="5" t="s">
        <v>12</v>
      </c>
      <c r="E164" s="6">
        <v>1</v>
      </c>
      <c r="F164" s="6">
        <v>2713</v>
      </c>
      <c r="G164" s="6">
        <v>5</v>
      </c>
      <c r="H164" s="6">
        <v>1</v>
      </c>
      <c r="I164" s="6" t="s">
        <v>13</v>
      </c>
      <c r="J164" s="6" t="str">
        <f>IF(Employee[[#This Row],[Attrition]]="Yes","Resigned","Active")</f>
        <v>Active</v>
      </c>
    </row>
    <row r="165" spans="1:10" x14ac:dyDescent="0.25">
      <c r="A165" s="6">
        <v>223</v>
      </c>
      <c r="B165" s="6">
        <v>57</v>
      </c>
      <c r="C165" s="5" t="s">
        <v>11</v>
      </c>
      <c r="D165" s="5" t="s">
        <v>16</v>
      </c>
      <c r="E165" s="6">
        <v>3</v>
      </c>
      <c r="F165" s="6">
        <v>9439</v>
      </c>
      <c r="G165" s="6">
        <v>5</v>
      </c>
      <c r="H165" s="6">
        <v>1</v>
      </c>
      <c r="I165" s="6" t="s">
        <v>13</v>
      </c>
      <c r="J165" s="6" t="str">
        <f>IF(Employee[[#This Row],[Attrition]]="Yes","Resigned","Active")</f>
        <v>Active</v>
      </c>
    </row>
    <row r="166" spans="1:10" x14ac:dyDescent="0.25">
      <c r="A166" s="6">
        <v>224</v>
      </c>
      <c r="B166" s="6">
        <v>27</v>
      </c>
      <c r="C166" s="5" t="s">
        <v>11</v>
      </c>
      <c r="D166" s="5" t="s">
        <v>12</v>
      </c>
      <c r="E166" s="6">
        <v>1</v>
      </c>
      <c r="F166" s="6">
        <v>2566</v>
      </c>
      <c r="G166" s="6">
        <v>1</v>
      </c>
      <c r="H166" s="6">
        <v>2</v>
      </c>
      <c r="I166" s="6" t="s">
        <v>13</v>
      </c>
      <c r="J166" s="6" t="str">
        <f>IF(Employee[[#This Row],[Attrition]]="Yes","Resigned","Active")</f>
        <v>Active</v>
      </c>
    </row>
    <row r="167" spans="1:10" x14ac:dyDescent="0.25">
      <c r="A167" s="6">
        <v>226</v>
      </c>
      <c r="B167" s="6">
        <v>50</v>
      </c>
      <c r="C167" s="5" t="s">
        <v>11</v>
      </c>
      <c r="D167" s="5" t="s">
        <v>17</v>
      </c>
      <c r="E167" s="6">
        <v>5</v>
      </c>
      <c r="F167" s="6">
        <v>19926</v>
      </c>
      <c r="G167" s="6">
        <v>5</v>
      </c>
      <c r="H167" s="6">
        <v>3</v>
      </c>
      <c r="I167" s="6" t="s">
        <v>13</v>
      </c>
      <c r="J167" s="6" t="str">
        <f>IF(Employee[[#This Row],[Attrition]]="Yes","Resigned","Active")</f>
        <v>Active</v>
      </c>
    </row>
    <row r="168" spans="1:10" x14ac:dyDescent="0.25">
      <c r="A168" s="6">
        <v>227</v>
      </c>
      <c r="B168" s="6">
        <v>41</v>
      </c>
      <c r="C168" s="5" t="s">
        <v>11</v>
      </c>
      <c r="D168" s="5" t="s">
        <v>12</v>
      </c>
      <c r="E168" s="6">
        <v>1</v>
      </c>
      <c r="F168" s="6">
        <v>2451</v>
      </c>
      <c r="G168" s="6">
        <v>9</v>
      </c>
      <c r="H168" s="6">
        <v>3</v>
      </c>
      <c r="I168" s="6" t="s">
        <v>13</v>
      </c>
      <c r="J168" s="6" t="str">
        <f>IF(Employee[[#This Row],[Attrition]]="Yes","Resigned","Active")</f>
        <v>Active</v>
      </c>
    </row>
    <row r="169" spans="1:10" x14ac:dyDescent="0.25">
      <c r="A169" s="6">
        <v>228</v>
      </c>
      <c r="B169" s="6">
        <v>30</v>
      </c>
      <c r="C169" s="5" t="s">
        <v>8</v>
      </c>
      <c r="D169" s="5" t="s">
        <v>9</v>
      </c>
      <c r="E169" s="6">
        <v>3</v>
      </c>
      <c r="F169" s="6">
        <v>9419</v>
      </c>
      <c r="G169" s="6">
        <v>10</v>
      </c>
      <c r="H169" s="6">
        <v>3</v>
      </c>
      <c r="I169" s="6" t="s">
        <v>13</v>
      </c>
      <c r="J169" s="6" t="str">
        <f>IF(Employee[[#This Row],[Attrition]]="Yes","Resigned","Active")</f>
        <v>Active</v>
      </c>
    </row>
    <row r="170" spans="1:10" x14ac:dyDescent="0.25">
      <c r="A170" s="6">
        <v>230</v>
      </c>
      <c r="B170" s="6">
        <v>38</v>
      </c>
      <c r="C170" s="5" t="s">
        <v>8</v>
      </c>
      <c r="D170" s="5" t="s">
        <v>9</v>
      </c>
      <c r="E170" s="6">
        <v>2</v>
      </c>
      <c r="F170" s="6">
        <v>8686</v>
      </c>
      <c r="G170" s="6">
        <v>8</v>
      </c>
      <c r="H170" s="6">
        <v>4</v>
      </c>
      <c r="I170" s="6" t="s">
        <v>13</v>
      </c>
      <c r="J170" s="6" t="str">
        <f>IF(Employee[[#This Row],[Attrition]]="Yes","Resigned","Active")</f>
        <v>Active</v>
      </c>
    </row>
    <row r="171" spans="1:10" x14ac:dyDescent="0.25">
      <c r="A171" s="6">
        <v>231</v>
      </c>
      <c r="B171" s="6">
        <v>32</v>
      </c>
      <c r="C171" s="5" t="s">
        <v>11</v>
      </c>
      <c r="D171" s="5" t="s">
        <v>12</v>
      </c>
      <c r="E171" s="6">
        <v>1</v>
      </c>
      <c r="F171" s="6">
        <v>3038</v>
      </c>
      <c r="G171" s="6">
        <v>5</v>
      </c>
      <c r="H171" s="6">
        <v>3</v>
      </c>
      <c r="I171" s="6" t="s">
        <v>13</v>
      </c>
      <c r="J171" s="6" t="str">
        <f>IF(Employee[[#This Row],[Attrition]]="Yes","Resigned","Active")</f>
        <v>Active</v>
      </c>
    </row>
    <row r="172" spans="1:10" x14ac:dyDescent="0.25">
      <c r="A172" s="6">
        <v>233</v>
      </c>
      <c r="B172" s="6">
        <v>27</v>
      </c>
      <c r="C172" s="5" t="s">
        <v>11</v>
      </c>
      <c r="D172" s="5" t="s">
        <v>12</v>
      </c>
      <c r="E172" s="6">
        <v>1</v>
      </c>
      <c r="F172" s="6">
        <v>3058</v>
      </c>
      <c r="G172" s="6">
        <v>5</v>
      </c>
      <c r="H172" s="6">
        <v>2</v>
      </c>
      <c r="I172" s="6" t="s">
        <v>13</v>
      </c>
      <c r="J172" s="6" t="str">
        <f>IF(Employee[[#This Row],[Attrition]]="Yes","Resigned","Active")</f>
        <v>Active</v>
      </c>
    </row>
    <row r="173" spans="1:10" x14ac:dyDescent="0.25">
      <c r="A173" s="6">
        <v>235</v>
      </c>
      <c r="B173" s="6">
        <v>19</v>
      </c>
      <c r="C173" s="5" t="s">
        <v>8</v>
      </c>
      <c r="D173" s="5" t="s">
        <v>18</v>
      </c>
      <c r="E173" s="6">
        <v>1</v>
      </c>
      <c r="F173" s="6">
        <v>2325</v>
      </c>
      <c r="G173" s="6">
        <v>0</v>
      </c>
      <c r="H173" s="6">
        <v>4</v>
      </c>
      <c r="I173" s="6" t="s">
        <v>10</v>
      </c>
      <c r="J173" s="6" t="str">
        <f>IF(Employee[[#This Row],[Attrition]]="Yes","Resigned","Active")</f>
        <v>Resigned</v>
      </c>
    </row>
    <row r="174" spans="1:10" x14ac:dyDescent="0.25">
      <c r="A174" s="6">
        <v>238</v>
      </c>
      <c r="B174" s="6">
        <v>36</v>
      </c>
      <c r="C174" s="5" t="s">
        <v>11</v>
      </c>
      <c r="D174" s="5" t="s">
        <v>14</v>
      </c>
      <c r="E174" s="6">
        <v>1</v>
      </c>
      <c r="F174" s="6">
        <v>2088</v>
      </c>
      <c r="G174" s="6">
        <v>8</v>
      </c>
      <c r="H174" s="6">
        <v>2</v>
      </c>
      <c r="I174" s="6" t="s">
        <v>13</v>
      </c>
      <c r="J174" s="6" t="str">
        <f>IF(Employee[[#This Row],[Attrition]]="Yes","Resigned","Active")</f>
        <v>Active</v>
      </c>
    </row>
    <row r="175" spans="1:10" x14ac:dyDescent="0.25">
      <c r="A175" s="6">
        <v>239</v>
      </c>
      <c r="B175" s="6">
        <v>30</v>
      </c>
      <c r="C175" s="5" t="s">
        <v>11</v>
      </c>
      <c r="D175" s="5" t="s">
        <v>14</v>
      </c>
      <c r="E175" s="6">
        <v>2</v>
      </c>
      <c r="F175" s="6">
        <v>3072</v>
      </c>
      <c r="G175" s="6">
        <v>12</v>
      </c>
      <c r="H175" s="6">
        <v>3</v>
      </c>
      <c r="I175" s="6" t="s">
        <v>13</v>
      </c>
      <c r="J175" s="6" t="str">
        <f>IF(Employee[[#This Row],[Attrition]]="Yes","Resigned","Active")</f>
        <v>Active</v>
      </c>
    </row>
    <row r="176" spans="1:10" x14ac:dyDescent="0.25">
      <c r="A176" s="6">
        <v>240</v>
      </c>
      <c r="B176" s="6">
        <v>45</v>
      </c>
      <c r="C176" s="5" t="s">
        <v>8</v>
      </c>
      <c r="D176" s="5" t="s">
        <v>9</v>
      </c>
      <c r="E176" s="6">
        <v>2</v>
      </c>
      <c r="F176" s="6">
        <v>5006</v>
      </c>
      <c r="G176" s="6">
        <v>5</v>
      </c>
      <c r="H176" s="6">
        <v>4</v>
      </c>
      <c r="I176" s="6" t="s">
        <v>13</v>
      </c>
      <c r="J176" s="6" t="str">
        <f>IF(Employee[[#This Row],[Attrition]]="Yes","Resigned","Active")</f>
        <v>Active</v>
      </c>
    </row>
    <row r="177" spans="1:10" x14ac:dyDescent="0.25">
      <c r="A177" s="6">
        <v>241</v>
      </c>
      <c r="B177" s="6">
        <v>56</v>
      </c>
      <c r="C177" s="5" t="s">
        <v>11</v>
      </c>
      <c r="D177" s="5" t="s">
        <v>12</v>
      </c>
      <c r="E177" s="6">
        <v>1</v>
      </c>
      <c r="F177" s="6">
        <v>4257</v>
      </c>
      <c r="G177" s="6">
        <v>2</v>
      </c>
      <c r="H177" s="6">
        <v>3</v>
      </c>
      <c r="I177" s="6" t="s">
        <v>13</v>
      </c>
      <c r="J177" s="6" t="str">
        <f>IF(Employee[[#This Row],[Attrition]]="Yes","Resigned","Active")</f>
        <v>Active</v>
      </c>
    </row>
    <row r="178" spans="1:10" x14ac:dyDescent="0.25">
      <c r="A178" s="6">
        <v>242</v>
      </c>
      <c r="B178" s="6">
        <v>33</v>
      </c>
      <c r="C178" s="5" t="s">
        <v>11</v>
      </c>
      <c r="D178" s="5" t="s">
        <v>12</v>
      </c>
      <c r="E178" s="6">
        <v>1</v>
      </c>
      <c r="F178" s="6">
        <v>2500</v>
      </c>
      <c r="G178" s="6">
        <v>3</v>
      </c>
      <c r="H178" s="6">
        <v>4</v>
      </c>
      <c r="I178" s="6" t="s">
        <v>13</v>
      </c>
      <c r="J178" s="6" t="str">
        <f>IF(Employee[[#This Row],[Attrition]]="Yes","Resigned","Active")</f>
        <v>Active</v>
      </c>
    </row>
    <row r="179" spans="1:10" x14ac:dyDescent="0.25">
      <c r="A179" s="6">
        <v>243</v>
      </c>
      <c r="B179" s="6">
        <v>19</v>
      </c>
      <c r="C179" s="5" t="s">
        <v>11</v>
      </c>
      <c r="D179" s="5" t="s">
        <v>14</v>
      </c>
      <c r="E179" s="6">
        <v>1</v>
      </c>
      <c r="F179" s="6">
        <v>1102</v>
      </c>
      <c r="G179" s="6">
        <v>1</v>
      </c>
      <c r="H179" s="6">
        <v>2</v>
      </c>
      <c r="I179" s="6" t="s">
        <v>10</v>
      </c>
      <c r="J179" s="6" t="str">
        <f>IF(Employee[[#This Row],[Attrition]]="Yes","Resigned","Active")</f>
        <v>Resigned</v>
      </c>
    </row>
    <row r="180" spans="1:10" x14ac:dyDescent="0.25">
      <c r="A180" s="6">
        <v>244</v>
      </c>
      <c r="B180" s="6">
        <v>46</v>
      </c>
      <c r="C180" s="5" t="s">
        <v>8</v>
      </c>
      <c r="D180" s="5" t="s">
        <v>9</v>
      </c>
      <c r="E180" s="6">
        <v>3</v>
      </c>
      <c r="F180" s="6">
        <v>10453</v>
      </c>
      <c r="G180" s="6">
        <v>24</v>
      </c>
      <c r="H180" s="6">
        <v>3</v>
      </c>
      <c r="I180" s="6" t="s">
        <v>13</v>
      </c>
      <c r="J180" s="6" t="str">
        <f>IF(Employee[[#This Row],[Attrition]]="Yes","Resigned","Active")</f>
        <v>Active</v>
      </c>
    </row>
    <row r="181" spans="1:10" x14ac:dyDescent="0.25">
      <c r="A181" s="6">
        <v>245</v>
      </c>
      <c r="B181" s="6">
        <v>38</v>
      </c>
      <c r="C181" s="5" t="s">
        <v>11</v>
      </c>
      <c r="D181" s="5" t="s">
        <v>14</v>
      </c>
      <c r="E181" s="6">
        <v>1</v>
      </c>
      <c r="F181" s="6">
        <v>2288</v>
      </c>
      <c r="G181" s="6">
        <v>2</v>
      </c>
      <c r="H181" s="6">
        <v>3</v>
      </c>
      <c r="I181" s="6" t="s">
        <v>13</v>
      </c>
      <c r="J181" s="6" t="str">
        <f>IF(Employee[[#This Row],[Attrition]]="Yes","Resigned","Active")</f>
        <v>Active</v>
      </c>
    </row>
    <row r="182" spans="1:10" x14ac:dyDescent="0.25">
      <c r="A182" s="6">
        <v>246</v>
      </c>
      <c r="B182" s="6">
        <v>31</v>
      </c>
      <c r="C182" s="5" t="s">
        <v>11</v>
      </c>
      <c r="D182" s="5" t="s">
        <v>12</v>
      </c>
      <c r="E182" s="6">
        <v>1</v>
      </c>
      <c r="F182" s="6">
        <v>3929</v>
      </c>
      <c r="G182" s="6">
        <v>4</v>
      </c>
      <c r="H182" s="6">
        <v>3</v>
      </c>
      <c r="I182" s="6" t="s">
        <v>13</v>
      </c>
      <c r="J182" s="6" t="str">
        <f>IF(Employee[[#This Row],[Attrition]]="Yes","Resigned","Active")</f>
        <v>Active</v>
      </c>
    </row>
    <row r="183" spans="1:10" x14ac:dyDescent="0.25">
      <c r="A183" s="6">
        <v>247</v>
      </c>
      <c r="B183" s="6">
        <v>34</v>
      </c>
      <c r="C183" s="5" t="s">
        <v>11</v>
      </c>
      <c r="D183" s="5" t="s">
        <v>12</v>
      </c>
      <c r="E183" s="6">
        <v>1</v>
      </c>
      <c r="F183" s="6">
        <v>2311</v>
      </c>
      <c r="G183" s="6">
        <v>3</v>
      </c>
      <c r="H183" s="6">
        <v>3</v>
      </c>
      <c r="I183" s="6" t="s">
        <v>13</v>
      </c>
      <c r="J183" s="6" t="str">
        <f>IF(Employee[[#This Row],[Attrition]]="Yes","Resigned","Active")</f>
        <v>Active</v>
      </c>
    </row>
    <row r="184" spans="1:10" x14ac:dyDescent="0.25">
      <c r="A184" s="6">
        <v>248</v>
      </c>
      <c r="B184" s="6">
        <v>41</v>
      </c>
      <c r="C184" s="5" t="s">
        <v>8</v>
      </c>
      <c r="D184" s="5" t="s">
        <v>18</v>
      </c>
      <c r="E184" s="6">
        <v>1</v>
      </c>
      <c r="F184" s="6">
        <v>3140</v>
      </c>
      <c r="G184" s="6">
        <v>4</v>
      </c>
      <c r="H184" s="6">
        <v>2</v>
      </c>
      <c r="I184" s="6" t="s">
        <v>10</v>
      </c>
      <c r="J184" s="6" t="str">
        <f>IF(Employee[[#This Row],[Attrition]]="Yes","Resigned","Active")</f>
        <v>Resigned</v>
      </c>
    </row>
    <row r="185" spans="1:10" x14ac:dyDescent="0.25">
      <c r="A185" s="6">
        <v>249</v>
      </c>
      <c r="B185" s="6">
        <v>50</v>
      </c>
      <c r="C185" s="5" t="s">
        <v>11</v>
      </c>
      <c r="D185" s="5" t="s">
        <v>14</v>
      </c>
      <c r="E185" s="6">
        <v>1</v>
      </c>
      <c r="F185" s="6">
        <v>3690</v>
      </c>
      <c r="G185" s="6">
        <v>3</v>
      </c>
      <c r="H185" s="6">
        <v>2</v>
      </c>
      <c r="I185" s="6" t="s">
        <v>13</v>
      </c>
      <c r="J185" s="6" t="str">
        <f>IF(Employee[[#This Row],[Attrition]]="Yes","Resigned","Active")</f>
        <v>Active</v>
      </c>
    </row>
    <row r="186" spans="1:10" x14ac:dyDescent="0.25">
      <c r="A186" s="6">
        <v>250</v>
      </c>
      <c r="B186" s="6">
        <v>53</v>
      </c>
      <c r="C186" s="5" t="s">
        <v>11</v>
      </c>
      <c r="D186" s="5" t="s">
        <v>15</v>
      </c>
      <c r="E186" s="6">
        <v>2</v>
      </c>
      <c r="F186" s="6">
        <v>4450</v>
      </c>
      <c r="G186" s="6">
        <v>4</v>
      </c>
      <c r="H186" s="6">
        <v>3</v>
      </c>
      <c r="I186" s="6" t="s">
        <v>13</v>
      </c>
      <c r="J186" s="6" t="str">
        <f>IF(Employee[[#This Row],[Attrition]]="Yes","Resigned","Active")</f>
        <v>Active</v>
      </c>
    </row>
    <row r="187" spans="1:10" x14ac:dyDescent="0.25">
      <c r="A187" s="6">
        <v>252</v>
      </c>
      <c r="B187" s="6">
        <v>33</v>
      </c>
      <c r="C187" s="5" t="s">
        <v>11</v>
      </c>
      <c r="D187" s="5" t="s">
        <v>12</v>
      </c>
      <c r="E187" s="6">
        <v>1</v>
      </c>
      <c r="F187" s="6">
        <v>2756</v>
      </c>
      <c r="G187" s="6">
        <v>8</v>
      </c>
      <c r="H187" s="6">
        <v>3</v>
      </c>
      <c r="I187" s="6" t="s">
        <v>13</v>
      </c>
      <c r="J187" s="6" t="str">
        <f>IF(Employee[[#This Row],[Attrition]]="Yes","Resigned","Active")</f>
        <v>Active</v>
      </c>
    </row>
    <row r="188" spans="1:10" x14ac:dyDescent="0.25">
      <c r="A188" s="6">
        <v>253</v>
      </c>
      <c r="B188" s="6">
        <v>40</v>
      </c>
      <c r="C188" s="5" t="s">
        <v>11</v>
      </c>
      <c r="D188" s="5" t="s">
        <v>17</v>
      </c>
      <c r="E188" s="6">
        <v>5</v>
      </c>
      <c r="F188" s="6">
        <v>19033</v>
      </c>
      <c r="G188" s="6">
        <v>20</v>
      </c>
      <c r="H188" s="6">
        <v>3</v>
      </c>
      <c r="I188" s="6" t="s">
        <v>13</v>
      </c>
      <c r="J188" s="6" t="str">
        <f>IF(Employee[[#This Row],[Attrition]]="Yes","Resigned","Active")</f>
        <v>Active</v>
      </c>
    </row>
    <row r="189" spans="1:10" x14ac:dyDescent="0.25">
      <c r="A189" s="6">
        <v>254</v>
      </c>
      <c r="B189" s="6">
        <v>55</v>
      </c>
      <c r="C189" s="5" t="s">
        <v>11</v>
      </c>
      <c r="D189" s="5" t="s">
        <v>19</v>
      </c>
      <c r="E189" s="6">
        <v>5</v>
      </c>
      <c r="F189" s="6">
        <v>18722</v>
      </c>
      <c r="G189" s="6">
        <v>24</v>
      </c>
      <c r="H189" s="6">
        <v>3</v>
      </c>
      <c r="I189" s="6" t="s">
        <v>13</v>
      </c>
      <c r="J189" s="6" t="str">
        <f>IF(Employee[[#This Row],[Attrition]]="Yes","Resigned","Active")</f>
        <v>Active</v>
      </c>
    </row>
    <row r="190" spans="1:10" x14ac:dyDescent="0.25">
      <c r="A190" s="6">
        <v>256</v>
      </c>
      <c r="B190" s="6">
        <v>34</v>
      </c>
      <c r="C190" s="5" t="s">
        <v>11</v>
      </c>
      <c r="D190" s="5" t="s">
        <v>15</v>
      </c>
      <c r="E190" s="6">
        <v>2</v>
      </c>
      <c r="F190" s="6">
        <v>9547</v>
      </c>
      <c r="G190" s="6">
        <v>10</v>
      </c>
      <c r="H190" s="6">
        <v>2</v>
      </c>
      <c r="I190" s="6" t="s">
        <v>13</v>
      </c>
      <c r="J190" s="6" t="str">
        <f>IF(Employee[[#This Row],[Attrition]]="Yes","Resigned","Active")</f>
        <v>Active</v>
      </c>
    </row>
    <row r="191" spans="1:10" x14ac:dyDescent="0.25">
      <c r="A191" s="6">
        <v>258</v>
      </c>
      <c r="B191" s="6">
        <v>51</v>
      </c>
      <c r="C191" s="5" t="s">
        <v>11</v>
      </c>
      <c r="D191" s="5" t="s">
        <v>16</v>
      </c>
      <c r="E191" s="6">
        <v>4</v>
      </c>
      <c r="F191" s="6">
        <v>13734</v>
      </c>
      <c r="G191" s="6">
        <v>7</v>
      </c>
      <c r="H191" s="6">
        <v>3</v>
      </c>
      <c r="I191" s="6" t="s">
        <v>13</v>
      </c>
      <c r="J191" s="6" t="str">
        <f>IF(Employee[[#This Row],[Attrition]]="Yes","Resigned","Active")</f>
        <v>Active</v>
      </c>
    </row>
    <row r="192" spans="1:10" x14ac:dyDescent="0.25">
      <c r="A192" s="6">
        <v>259</v>
      </c>
      <c r="B192" s="6">
        <v>52</v>
      </c>
      <c r="C192" s="5" t="s">
        <v>11</v>
      </c>
      <c r="D192" s="5" t="s">
        <v>17</v>
      </c>
      <c r="E192" s="6">
        <v>5</v>
      </c>
      <c r="F192" s="6">
        <v>19999</v>
      </c>
      <c r="G192" s="6">
        <v>33</v>
      </c>
      <c r="H192" s="6">
        <v>3</v>
      </c>
      <c r="I192" s="6" t="s">
        <v>13</v>
      </c>
      <c r="J192" s="6" t="str">
        <f>IF(Employee[[#This Row],[Attrition]]="Yes","Resigned","Active")</f>
        <v>Active</v>
      </c>
    </row>
    <row r="193" spans="1:10" x14ac:dyDescent="0.25">
      <c r="A193" s="6">
        <v>260</v>
      </c>
      <c r="B193" s="6">
        <v>27</v>
      </c>
      <c r="C193" s="5" t="s">
        <v>11</v>
      </c>
      <c r="D193" s="5" t="s">
        <v>12</v>
      </c>
      <c r="E193" s="6">
        <v>1</v>
      </c>
      <c r="F193" s="6">
        <v>2279</v>
      </c>
      <c r="G193" s="6">
        <v>7</v>
      </c>
      <c r="H193" s="6">
        <v>2</v>
      </c>
      <c r="I193" s="6" t="s">
        <v>13</v>
      </c>
      <c r="J193" s="6" t="str">
        <f>IF(Employee[[#This Row],[Attrition]]="Yes","Resigned","Active")</f>
        <v>Active</v>
      </c>
    </row>
    <row r="194" spans="1:10" x14ac:dyDescent="0.25">
      <c r="A194" s="6">
        <v>261</v>
      </c>
      <c r="B194" s="6">
        <v>35</v>
      </c>
      <c r="C194" s="5" t="s">
        <v>11</v>
      </c>
      <c r="D194" s="5" t="s">
        <v>15</v>
      </c>
      <c r="E194" s="6">
        <v>2</v>
      </c>
      <c r="F194" s="6">
        <v>5916</v>
      </c>
      <c r="G194" s="6">
        <v>1</v>
      </c>
      <c r="H194" s="6">
        <v>3</v>
      </c>
      <c r="I194" s="6" t="s">
        <v>10</v>
      </c>
      <c r="J194" s="6" t="str">
        <f>IF(Employee[[#This Row],[Attrition]]="Yes","Resigned","Active")</f>
        <v>Resigned</v>
      </c>
    </row>
    <row r="195" spans="1:10" x14ac:dyDescent="0.25">
      <c r="A195" s="6">
        <v>262</v>
      </c>
      <c r="B195" s="6">
        <v>43</v>
      </c>
      <c r="C195" s="5" t="s">
        <v>11</v>
      </c>
      <c r="D195" s="5" t="s">
        <v>12</v>
      </c>
      <c r="E195" s="6">
        <v>1</v>
      </c>
      <c r="F195" s="6">
        <v>2089</v>
      </c>
      <c r="G195" s="6">
        <v>5</v>
      </c>
      <c r="H195" s="6">
        <v>4</v>
      </c>
      <c r="I195" s="6" t="s">
        <v>13</v>
      </c>
      <c r="J195" s="6" t="str">
        <f>IF(Employee[[#This Row],[Attrition]]="Yes","Resigned","Active")</f>
        <v>Active</v>
      </c>
    </row>
    <row r="196" spans="1:10" x14ac:dyDescent="0.25">
      <c r="A196" s="6">
        <v>264</v>
      </c>
      <c r="B196" s="6">
        <v>45</v>
      </c>
      <c r="C196" s="5" t="s">
        <v>11</v>
      </c>
      <c r="D196" s="5" t="s">
        <v>17</v>
      </c>
      <c r="E196" s="6">
        <v>4</v>
      </c>
      <c r="F196" s="6">
        <v>16792</v>
      </c>
      <c r="G196" s="6">
        <v>20</v>
      </c>
      <c r="H196" s="6">
        <v>3</v>
      </c>
      <c r="I196" s="6" t="s">
        <v>13</v>
      </c>
      <c r="J196" s="6" t="str">
        <f>IF(Employee[[#This Row],[Attrition]]="Yes","Resigned","Active")</f>
        <v>Active</v>
      </c>
    </row>
    <row r="197" spans="1:10" x14ac:dyDescent="0.25">
      <c r="A197" s="6">
        <v>267</v>
      </c>
      <c r="B197" s="6">
        <v>37</v>
      </c>
      <c r="C197" s="5" t="s">
        <v>11</v>
      </c>
      <c r="D197" s="5" t="s">
        <v>12</v>
      </c>
      <c r="E197" s="6">
        <v>1</v>
      </c>
      <c r="F197" s="6">
        <v>3564</v>
      </c>
      <c r="G197" s="6">
        <v>8</v>
      </c>
      <c r="H197" s="6">
        <v>2</v>
      </c>
      <c r="I197" s="6" t="s">
        <v>13</v>
      </c>
      <c r="J197" s="6" t="str">
        <f>IF(Employee[[#This Row],[Attrition]]="Yes","Resigned","Active")</f>
        <v>Active</v>
      </c>
    </row>
    <row r="198" spans="1:10" x14ac:dyDescent="0.25">
      <c r="A198" s="6">
        <v>269</v>
      </c>
      <c r="B198" s="6">
        <v>35</v>
      </c>
      <c r="C198" s="5" t="s">
        <v>11</v>
      </c>
      <c r="D198" s="5" t="s">
        <v>14</v>
      </c>
      <c r="E198" s="6">
        <v>2</v>
      </c>
      <c r="F198" s="6">
        <v>4425</v>
      </c>
      <c r="G198" s="6">
        <v>6</v>
      </c>
      <c r="H198" s="6">
        <v>3</v>
      </c>
      <c r="I198" s="6" t="s">
        <v>13</v>
      </c>
      <c r="J198" s="6" t="str">
        <f>IF(Employee[[#This Row],[Attrition]]="Yes","Resigned","Active")</f>
        <v>Active</v>
      </c>
    </row>
    <row r="199" spans="1:10" x14ac:dyDescent="0.25">
      <c r="A199" s="6">
        <v>270</v>
      </c>
      <c r="B199" s="6">
        <v>42</v>
      </c>
      <c r="C199" s="5" t="s">
        <v>11</v>
      </c>
      <c r="D199" s="5" t="s">
        <v>15</v>
      </c>
      <c r="E199" s="6">
        <v>2</v>
      </c>
      <c r="F199" s="6">
        <v>5265</v>
      </c>
      <c r="G199" s="6">
        <v>5</v>
      </c>
      <c r="H199" s="6">
        <v>3</v>
      </c>
      <c r="I199" s="6" t="s">
        <v>13</v>
      </c>
      <c r="J199" s="6" t="str">
        <f>IF(Employee[[#This Row],[Attrition]]="Yes","Resigned","Active")</f>
        <v>Active</v>
      </c>
    </row>
    <row r="200" spans="1:10" x14ac:dyDescent="0.25">
      <c r="A200" s="6">
        <v>271</v>
      </c>
      <c r="B200" s="6">
        <v>38</v>
      </c>
      <c r="C200" s="5" t="s">
        <v>11</v>
      </c>
      <c r="D200" s="5" t="s">
        <v>15</v>
      </c>
      <c r="E200" s="6">
        <v>2</v>
      </c>
      <c r="F200" s="6">
        <v>6553</v>
      </c>
      <c r="G200" s="6">
        <v>1</v>
      </c>
      <c r="H200" s="6">
        <v>3</v>
      </c>
      <c r="I200" s="6" t="s">
        <v>13</v>
      </c>
      <c r="J200" s="6" t="str">
        <f>IF(Employee[[#This Row],[Attrition]]="Yes","Resigned","Active")</f>
        <v>Active</v>
      </c>
    </row>
    <row r="201" spans="1:10" x14ac:dyDescent="0.25">
      <c r="A201" s="6">
        <v>273</v>
      </c>
      <c r="B201" s="6">
        <v>38</v>
      </c>
      <c r="C201" s="5" t="s">
        <v>11</v>
      </c>
      <c r="D201" s="5" t="s">
        <v>15</v>
      </c>
      <c r="E201" s="6">
        <v>2</v>
      </c>
      <c r="F201" s="6">
        <v>6261</v>
      </c>
      <c r="G201" s="6">
        <v>7</v>
      </c>
      <c r="H201" s="6">
        <v>1</v>
      </c>
      <c r="I201" s="6" t="s">
        <v>13</v>
      </c>
      <c r="J201" s="6" t="str">
        <f>IF(Employee[[#This Row],[Attrition]]="Yes","Resigned","Active")</f>
        <v>Active</v>
      </c>
    </row>
    <row r="202" spans="1:10" x14ac:dyDescent="0.25">
      <c r="A202" s="6">
        <v>274</v>
      </c>
      <c r="B202" s="6">
        <v>27</v>
      </c>
      <c r="C202" s="5" t="s">
        <v>11</v>
      </c>
      <c r="D202" s="5" t="s">
        <v>15</v>
      </c>
      <c r="E202" s="6">
        <v>2</v>
      </c>
      <c r="F202" s="6">
        <v>4298</v>
      </c>
      <c r="G202" s="6">
        <v>2</v>
      </c>
      <c r="H202" s="6">
        <v>3</v>
      </c>
      <c r="I202" s="6" t="s">
        <v>13</v>
      </c>
      <c r="J202" s="6" t="str">
        <f>IF(Employee[[#This Row],[Attrition]]="Yes","Resigned","Active")</f>
        <v>Active</v>
      </c>
    </row>
    <row r="203" spans="1:10" x14ac:dyDescent="0.25">
      <c r="A203" s="6">
        <v>275</v>
      </c>
      <c r="B203" s="6">
        <v>49</v>
      </c>
      <c r="C203" s="5" t="s">
        <v>11</v>
      </c>
      <c r="D203" s="5" t="s">
        <v>15</v>
      </c>
      <c r="E203" s="6">
        <v>2</v>
      </c>
      <c r="F203" s="6">
        <v>6804</v>
      </c>
      <c r="G203" s="6">
        <v>7</v>
      </c>
      <c r="H203" s="6">
        <v>3</v>
      </c>
      <c r="I203" s="6" t="s">
        <v>13</v>
      </c>
      <c r="J203" s="6" t="str">
        <f>IF(Employee[[#This Row],[Attrition]]="Yes","Resigned","Active")</f>
        <v>Active</v>
      </c>
    </row>
    <row r="204" spans="1:10" x14ac:dyDescent="0.25">
      <c r="A204" s="6">
        <v>277</v>
      </c>
      <c r="B204" s="6">
        <v>34</v>
      </c>
      <c r="C204" s="5" t="s">
        <v>11</v>
      </c>
      <c r="D204" s="5" t="s">
        <v>12</v>
      </c>
      <c r="E204" s="6">
        <v>1</v>
      </c>
      <c r="F204" s="6">
        <v>3815</v>
      </c>
      <c r="G204" s="6">
        <v>5</v>
      </c>
      <c r="H204" s="6">
        <v>4</v>
      </c>
      <c r="I204" s="6" t="s">
        <v>13</v>
      </c>
      <c r="J204" s="6" t="str">
        <f>IF(Employee[[#This Row],[Attrition]]="Yes","Resigned","Active")</f>
        <v>Active</v>
      </c>
    </row>
    <row r="205" spans="1:10" x14ac:dyDescent="0.25">
      <c r="A205" s="6">
        <v>281</v>
      </c>
      <c r="B205" s="6">
        <v>40</v>
      </c>
      <c r="C205" s="5" t="s">
        <v>11</v>
      </c>
      <c r="D205" s="5" t="s">
        <v>14</v>
      </c>
      <c r="E205" s="6">
        <v>2</v>
      </c>
      <c r="F205" s="6">
        <v>2741</v>
      </c>
      <c r="G205" s="6">
        <v>7</v>
      </c>
      <c r="H205" s="6">
        <v>4</v>
      </c>
      <c r="I205" s="6" t="s">
        <v>13</v>
      </c>
      <c r="J205" s="6" t="str">
        <f>IF(Employee[[#This Row],[Attrition]]="Yes","Resigned","Active")</f>
        <v>Active</v>
      </c>
    </row>
    <row r="206" spans="1:10" x14ac:dyDescent="0.25">
      <c r="A206" s="6">
        <v>282</v>
      </c>
      <c r="B206" s="6">
        <v>38</v>
      </c>
      <c r="C206" s="5" t="s">
        <v>11</v>
      </c>
      <c r="D206" s="5" t="s">
        <v>16</v>
      </c>
      <c r="E206" s="6">
        <v>2</v>
      </c>
      <c r="F206" s="6">
        <v>6673</v>
      </c>
      <c r="G206" s="6">
        <v>1</v>
      </c>
      <c r="H206" s="6">
        <v>3</v>
      </c>
      <c r="I206" s="6" t="s">
        <v>10</v>
      </c>
      <c r="J206" s="6" t="str">
        <f>IF(Employee[[#This Row],[Attrition]]="Yes","Resigned","Active")</f>
        <v>Resigned</v>
      </c>
    </row>
    <row r="207" spans="1:10" x14ac:dyDescent="0.25">
      <c r="A207" s="6">
        <v>283</v>
      </c>
      <c r="B207" s="6">
        <v>29</v>
      </c>
      <c r="C207" s="5" t="s">
        <v>8</v>
      </c>
      <c r="D207" s="5" t="s">
        <v>9</v>
      </c>
      <c r="E207" s="6">
        <v>3</v>
      </c>
      <c r="F207" s="6">
        <v>7639</v>
      </c>
      <c r="G207" s="6">
        <v>10</v>
      </c>
      <c r="H207" s="6">
        <v>2</v>
      </c>
      <c r="I207" s="6" t="s">
        <v>10</v>
      </c>
      <c r="J207" s="6" t="str">
        <f>IF(Employee[[#This Row],[Attrition]]="Yes","Resigned","Active")</f>
        <v>Resigned</v>
      </c>
    </row>
    <row r="208" spans="1:10" x14ac:dyDescent="0.25">
      <c r="A208" s="6">
        <v>284</v>
      </c>
      <c r="B208" s="6">
        <v>22</v>
      </c>
      <c r="C208" s="5" t="s">
        <v>11</v>
      </c>
      <c r="D208" s="5" t="s">
        <v>12</v>
      </c>
      <c r="E208" s="6">
        <v>1</v>
      </c>
      <c r="F208" s="6">
        <v>2328</v>
      </c>
      <c r="G208" s="6">
        <v>4</v>
      </c>
      <c r="H208" s="6">
        <v>2</v>
      </c>
      <c r="I208" s="6" t="s">
        <v>13</v>
      </c>
      <c r="J208" s="6" t="str">
        <f>IF(Employee[[#This Row],[Attrition]]="Yes","Resigned","Active")</f>
        <v>Active</v>
      </c>
    </row>
    <row r="209" spans="1:10" x14ac:dyDescent="0.25">
      <c r="A209" s="6">
        <v>286</v>
      </c>
      <c r="B209" s="6">
        <v>36</v>
      </c>
      <c r="C209" s="5" t="s">
        <v>11</v>
      </c>
      <c r="D209" s="5" t="s">
        <v>14</v>
      </c>
      <c r="E209" s="6">
        <v>1</v>
      </c>
      <c r="F209" s="6">
        <v>2153</v>
      </c>
      <c r="G209" s="6">
        <v>8</v>
      </c>
      <c r="H209" s="6">
        <v>3</v>
      </c>
      <c r="I209" s="6" t="s">
        <v>13</v>
      </c>
      <c r="J209" s="6" t="str">
        <f>IF(Employee[[#This Row],[Attrition]]="Yes","Resigned","Active")</f>
        <v>Active</v>
      </c>
    </row>
    <row r="210" spans="1:10" x14ac:dyDescent="0.25">
      <c r="A210" s="6">
        <v>287</v>
      </c>
      <c r="B210" s="6">
        <v>40</v>
      </c>
      <c r="C210" s="5" t="s">
        <v>11</v>
      </c>
      <c r="D210" s="5" t="s">
        <v>16</v>
      </c>
      <c r="E210" s="6">
        <v>2</v>
      </c>
      <c r="F210" s="6">
        <v>4876</v>
      </c>
      <c r="G210" s="6">
        <v>3</v>
      </c>
      <c r="H210" s="6">
        <v>1</v>
      </c>
      <c r="I210" s="6" t="s">
        <v>13</v>
      </c>
      <c r="J210" s="6" t="str">
        <f>IF(Employee[[#This Row],[Attrition]]="Yes","Resigned","Active")</f>
        <v>Active</v>
      </c>
    </row>
    <row r="211" spans="1:10" x14ac:dyDescent="0.25">
      <c r="A211" s="6">
        <v>288</v>
      </c>
      <c r="B211" s="6">
        <v>46</v>
      </c>
      <c r="C211" s="5" t="s">
        <v>11</v>
      </c>
      <c r="D211" s="5" t="s">
        <v>16</v>
      </c>
      <c r="E211" s="6">
        <v>3</v>
      </c>
      <c r="F211" s="6">
        <v>9396</v>
      </c>
      <c r="G211" s="6">
        <v>4</v>
      </c>
      <c r="H211" s="6">
        <v>3</v>
      </c>
      <c r="I211" s="6" t="s">
        <v>13</v>
      </c>
      <c r="J211" s="6" t="str">
        <f>IF(Employee[[#This Row],[Attrition]]="Yes","Resigned","Active")</f>
        <v>Active</v>
      </c>
    </row>
    <row r="212" spans="1:10" x14ac:dyDescent="0.25">
      <c r="A212" s="6">
        <v>291</v>
      </c>
      <c r="B212" s="6">
        <v>32</v>
      </c>
      <c r="C212" s="5" t="s">
        <v>8</v>
      </c>
      <c r="D212" s="5" t="s">
        <v>9</v>
      </c>
      <c r="E212" s="6">
        <v>3</v>
      </c>
      <c r="F212" s="6">
        <v>10400</v>
      </c>
      <c r="G212" s="6">
        <v>14</v>
      </c>
      <c r="H212" s="6">
        <v>2</v>
      </c>
      <c r="I212" s="6" t="s">
        <v>10</v>
      </c>
      <c r="J212" s="6" t="str">
        <f>IF(Employee[[#This Row],[Attrition]]="Yes","Resigned","Active")</f>
        <v>Resigned</v>
      </c>
    </row>
    <row r="213" spans="1:10" x14ac:dyDescent="0.25">
      <c r="A213" s="6">
        <v>292</v>
      </c>
      <c r="B213" s="6">
        <v>30</v>
      </c>
      <c r="C213" s="5" t="s">
        <v>11</v>
      </c>
      <c r="D213" s="5" t="s">
        <v>15</v>
      </c>
      <c r="E213" s="6">
        <v>3</v>
      </c>
      <c r="F213" s="6">
        <v>8474</v>
      </c>
      <c r="G213" s="6">
        <v>11</v>
      </c>
      <c r="H213" s="6">
        <v>3</v>
      </c>
      <c r="I213" s="6" t="s">
        <v>13</v>
      </c>
      <c r="J213" s="6" t="str">
        <f>IF(Employee[[#This Row],[Attrition]]="Yes","Resigned","Active")</f>
        <v>Active</v>
      </c>
    </row>
    <row r="214" spans="1:10" x14ac:dyDescent="0.25">
      <c r="A214" s="6">
        <v>293</v>
      </c>
      <c r="B214" s="6">
        <v>27</v>
      </c>
      <c r="C214" s="5" t="s">
        <v>8</v>
      </c>
      <c r="D214" s="5" t="s">
        <v>9</v>
      </c>
      <c r="E214" s="6">
        <v>2</v>
      </c>
      <c r="F214" s="6">
        <v>9981</v>
      </c>
      <c r="G214" s="6">
        <v>7</v>
      </c>
      <c r="H214" s="6">
        <v>3</v>
      </c>
      <c r="I214" s="6" t="s">
        <v>13</v>
      </c>
      <c r="J214" s="6" t="str">
        <f>IF(Employee[[#This Row],[Attrition]]="Yes","Resigned","Active")</f>
        <v>Active</v>
      </c>
    </row>
    <row r="215" spans="1:10" x14ac:dyDescent="0.25">
      <c r="A215" s="6">
        <v>296</v>
      </c>
      <c r="B215" s="6">
        <v>51</v>
      </c>
      <c r="C215" s="5" t="s">
        <v>11</v>
      </c>
      <c r="D215" s="5" t="s">
        <v>19</v>
      </c>
      <c r="E215" s="6">
        <v>3</v>
      </c>
      <c r="F215" s="6">
        <v>12490</v>
      </c>
      <c r="G215" s="6">
        <v>10</v>
      </c>
      <c r="H215" s="6">
        <v>1</v>
      </c>
      <c r="I215" s="6" t="s">
        <v>13</v>
      </c>
      <c r="J215" s="6" t="str">
        <f>IF(Employee[[#This Row],[Attrition]]="Yes","Resigned","Active")</f>
        <v>Active</v>
      </c>
    </row>
    <row r="216" spans="1:10" x14ac:dyDescent="0.25">
      <c r="A216" s="6">
        <v>297</v>
      </c>
      <c r="B216" s="6">
        <v>30</v>
      </c>
      <c r="C216" s="5" t="s">
        <v>11</v>
      </c>
      <c r="D216" s="5" t="s">
        <v>12</v>
      </c>
      <c r="E216" s="6">
        <v>1</v>
      </c>
      <c r="F216" s="6">
        <v>2657</v>
      </c>
      <c r="G216" s="6">
        <v>5</v>
      </c>
      <c r="H216" s="6">
        <v>3</v>
      </c>
      <c r="I216" s="6" t="s">
        <v>10</v>
      </c>
      <c r="J216" s="6" t="str">
        <f>IF(Employee[[#This Row],[Attrition]]="Yes","Resigned","Active")</f>
        <v>Resigned</v>
      </c>
    </row>
    <row r="217" spans="1:10" x14ac:dyDescent="0.25">
      <c r="A217" s="6">
        <v>298</v>
      </c>
      <c r="B217" s="6">
        <v>41</v>
      </c>
      <c r="C217" s="5" t="s">
        <v>8</v>
      </c>
      <c r="D217" s="5" t="s">
        <v>17</v>
      </c>
      <c r="E217" s="6">
        <v>3</v>
      </c>
      <c r="F217" s="6">
        <v>13591</v>
      </c>
      <c r="G217" s="6">
        <v>1</v>
      </c>
      <c r="H217" s="6">
        <v>3</v>
      </c>
      <c r="I217" s="6" t="s">
        <v>13</v>
      </c>
      <c r="J217" s="6" t="str">
        <f>IF(Employee[[#This Row],[Attrition]]="Yes","Resigned","Active")</f>
        <v>Active</v>
      </c>
    </row>
    <row r="218" spans="1:10" x14ac:dyDescent="0.25">
      <c r="A218" s="6">
        <v>299</v>
      </c>
      <c r="B218" s="6">
        <v>30</v>
      </c>
      <c r="C218" s="5" t="s">
        <v>8</v>
      </c>
      <c r="D218" s="5" t="s">
        <v>9</v>
      </c>
      <c r="E218" s="6">
        <v>2</v>
      </c>
      <c r="F218" s="6">
        <v>6696</v>
      </c>
      <c r="G218" s="6">
        <v>6</v>
      </c>
      <c r="H218" s="6">
        <v>2</v>
      </c>
      <c r="I218" s="6" t="s">
        <v>10</v>
      </c>
      <c r="J218" s="6" t="str">
        <f>IF(Employee[[#This Row],[Attrition]]="Yes","Resigned","Active")</f>
        <v>Resigned</v>
      </c>
    </row>
    <row r="219" spans="1:10" x14ac:dyDescent="0.25">
      <c r="A219" s="6">
        <v>300</v>
      </c>
      <c r="B219" s="6">
        <v>29</v>
      </c>
      <c r="C219" s="5" t="s">
        <v>11</v>
      </c>
      <c r="D219" s="5" t="s">
        <v>12</v>
      </c>
      <c r="E219" s="6">
        <v>1</v>
      </c>
      <c r="F219" s="6">
        <v>2058</v>
      </c>
      <c r="G219" s="6">
        <v>6</v>
      </c>
      <c r="H219" s="6">
        <v>2</v>
      </c>
      <c r="I219" s="6" t="s">
        <v>10</v>
      </c>
      <c r="J219" s="6" t="str">
        <f>IF(Employee[[#This Row],[Attrition]]="Yes","Resigned","Active")</f>
        <v>Resigned</v>
      </c>
    </row>
    <row r="220" spans="1:10" x14ac:dyDescent="0.25">
      <c r="A220" s="6">
        <v>302</v>
      </c>
      <c r="B220" s="6">
        <v>45</v>
      </c>
      <c r="C220" s="5" t="s">
        <v>8</v>
      </c>
      <c r="D220" s="5" t="s">
        <v>9</v>
      </c>
      <c r="E220" s="6">
        <v>3</v>
      </c>
      <c r="F220" s="6">
        <v>8865</v>
      </c>
      <c r="G220" s="6">
        <v>19</v>
      </c>
      <c r="H220" s="6">
        <v>3</v>
      </c>
      <c r="I220" s="6" t="s">
        <v>13</v>
      </c>
      <c r="J220" s="6" t="str">
        <f>IF(Employee[[#This Row],[Attrition]]="Yes","Resigned","Active")</f>
        <v>Active</v>
      </c>
    </row>
    <row r="221" spans="1:10" x14ac:dyDescent="0.25">
      <c r="A221" s="6">
        <v>303</v>
      </c>
      <c r="B221" s="6">
        <v>54</v>
      </c>
      <c r="C221" s="5" t="s">
        <v>8</v>
      </c>
      <c r="D221" s="5" t="s">
        <v>9</v>
      </c>
      <c r="E221" s="6">
        <v>2</v>
      </c>
      <c r="F221" s="6">
        <v>5940</v>
      </c>
      <c r="G221" s="6">
        <v>6</v>
      </c>
      <c r="H221" s="6">
        <v>3</v>
      </c>
      <c r="I221" s="6" t="s">
        <v>13</v>
      </c>
      <c r="J221" s="6" t="str">
        <f>IF(Employee[[#This Row],[Attrition]]="Yes","Resigned","Active")</f>
        <v>Active</v>
      </c>
    </row>
    <row r="222" spans="1:10" x14ac:dyDescent="0.25">
      <c r="A222" s="6">
        <v>304</v>
      </c>
      <c r="B222" s="6">
        <v>36</v>
      </c>
      <c r="C222" s="5" t="s">
        <v>11</v>
      </c>
      <c r="D222" s="5" t="s">
        <v>14</v>
      </c>
      <c r="E222" s="6">
        <v>2</v>
      </c>
      <c r="F222" s="6">
        <v>5914</v>
      </c>
      <c r="G222" s="6">
        <v>13</v>
      </c>
      <c r="H222" s="6">
        <v>4</v>
      </c>
      <c r="I222" s="6" t="s">
        <v>13</v>
      </c>
      <c r="J222" s="6" t="str">
        <f>IF(Employee[[#This Row],[Attrition]]="Yes","Resigned","Active")</f>
        <v>Active</v>
      </c>
    </row>
    <row r="223" spans="1:10" x14ac:dyDescent="0.25">
      <c r="A223" s="6">
        <v>305</v>
      </c>
      <c r="B223" s="6">
        <v>33</v>
      </c>
      <c r="C223" s="5" t="s">
        <v>11</v>
      </c>
      <c r="D223" s="5" t="s">
        <v>12</v>
      </c>
      <c r="E223" s="6">
        <v>1</v>
      </c>
      <c r="F223" s="6">
        <v>2622</v>
      </c>
      <c r="G223" s="6">
        <v>3</v>
      </c>
      <c r="H223" s="6">
        <v>3</v>
      </c>
      <c r="I223" s="6" t="s">
        <v>13</v>
      </c>
      <c r="J223" s="6" t="str">
        <f>IF(Employee[[#This Row],[Attrition]]="Yes","Resigned","Active")</f>
        <v>Active</v>
      </c>
    </row>
    <row r="224" spans="1:10" x14ac:dyDescent="0.25">
      <c r="A224" s="6">
        <v>306</v>
      </c>
      <c r="B224" s="6">
        <v>37</v>
      </c>
      <c r="C224" s="5" t="s">
        <v>11</v>
      </c>
      <c r="D224" s="5" t="s">
        <v>19</v>
      </c>
      <c r="E224" s="6">
        <v>3</v>
      </c>
      <c r="F224" s="6">
        <v>12185</v>
      </c>
      <c r="G224" s="6">
        <v>10</v>
      </c>
      <c r="H224" s="6">
        <v>3</v>
      </c>
      <c r="I224" s="6" t="s">
        <v>13</v>
      </c>
      <c r="J224" s="6" t="str">
        <f>IF(Employee[[#This Row],[Attrition]]="Yes","Resigned","Active")</f>
        <v>Active</v>
      </c>
    </row>
    <row r="225" spans="1:10" x14ac:dyDescent="0.25">
      <c r="A225" s="6">
        <v>307</v>
      </c>
      <c r="B225" s="6">
        <v>38</v>
      </c>
      <c r="C225" s="5" t="s">
        <v>8</v>
      </c>
      <c r="D225" s="5" t="s">
        <v>9</v>
      </c>
      <c r="E225" s="6">
        <v>3</v>
      </c>
      <c r="F225" s="6">
        <v>10609</v>
      </c>
      <c r="G225" s="6">
        <v>16</v>
      </c>
      <c r="H225" s="6">
        <v>2</v>
      </c>
      <c r="I225" s="6" t="s">
        <v>13</v>
      </c>
      <c r="J225" s="6" t="str">
        <f>IF(Employee[[#This Row],[Attrition]]="Yes","Resigned","Active")</f>
        <v>Active</v>
      </c>
    </row>
    <row r="226" spans="1:10" x14ac:dyDescent="0.25">
      <c r="A226" s="6">
        <v>308</v>
      </c>
      <c r="B226" s="6">
        <v>31</v>
      </c>
      <c r="C226" s="5" t="s">
        <v>11</v>
      </c>
      <c r="D226" s="5" t="s">
        <v>15</v>
      </c>
      <c r="E226" s="6">
        <v>2</v>
      </c>
      <c r="F226" s="6">
        <v>4345</v>
      </c>
      <c r="G226" s="6">
        <v>5</v>
      </c>
      <c r="H226" s="6">
        <v>3</v>
      </c>
      <c r="I226" s="6" t="s">
        <v>13</v>
      </c>
      <c r="J226" s="6" t="str">
        <f>IF(Employee[[#This Row],[Attrition]]="Yes","Resigned","Active")</f>
        <v>Active</v>
      </c>
    </row>
    <row r="227" spans="1:10" x14ac:dyDescent="0.25">
      <c r="A227" s="6">
        <v>309</v>
      </c>
      <c r="B227" s="6">
        <v>59</v>
      </c>
      <c r="C227" s="5" t="s">
        <v>11</v>
      </c>
      <c r="D227" s="5" t="s">
        <v>12</v>
      </c>
      <c r="E227" s="6">
        <v>1</v>
      </c>
      <c r="F227" s="6">
        <v>2177</v>
      </c>
      <c r="G227" s="6">
        <v>1</v>
      </c>
      <c r="H227" s="6">
        <v>3</v>
      </c>
      <c r="I227" s="6" t="s">
        <v>13</v>
      </c>
      <c r="J227" s="6" t="str">
        <f>IF(Employee[[#This Row],[Attrition]]="Yes","Resigned","Active")</f>
        <v>Active</v>
      </c>
    </row>
    <row r="228" spans="1:10" x14ac:dyDescent="0.25">
      <c r="A228" s="6">
        <v>311</v>
      </c>
      <c r="B228" s="6">
        <v>37</v>
      </c>
      <c r="C228" s="5" t="s">
        <v>8</v>
      </c>
      <c r="D228" s="5" t="s">
        <v>18</v>
      </c>
      <c r="E228" s="6">
        <v>1</v>
      </c>
      <c r="F228" s="6">
        <v>2793</v>
      </c>
      <c r="G228" s="6">
        <v>9</v>
      </c>
      <c r="H228" s="6">
        <v>3</v>
      </c>
      <c r="I228" s="6" t="s">
        <v>13</v>
      </c>
      <c r="J228" s="6" t="str">
        <f>IF(Employee[[#This Row],[Attrition]]="Yes","Resigned","Active")</f>
        <v>Active</v>
      </c>
    </row>
    <row r="229" spans="1:10" x14ac:dyDescent="0.25">
      <c r="A229" s="6">
        <v>312</v>
      </c>
      <c r="B229" s="6">
        <v>29</v>
      </c>
      <c r="C229" s="5" t="s">
        <v>8</v>
      </c>
      <c r="D229" s="5" t="s">
        <v>9</v>
      </c>
      <c r="E229" s="6">
        <v>3</v>
      </c>
      <c r="F229" s="6">
        <v>7918</v>
      </c>
      <c r="G229" s="6">
        <v>11</v>
      </c>
      <c r="H229" s="6">
        <v>3</v>
      </c>
      <c r="I229" s="6" t="s">
        <v>13</v>
      </c>
      <c r="J229" s="6" t="str">
        <f>IF(Employee[[#This Row],[Attrition]]="Yes","Resigned","Active")</f>
        <v>Active</v>
      </c>
    </row>
    <row r="230" spans="1:10" x14ac:dyDescent="0.25">
      <c r="A230" s="6">
        <v>314</v>
      </c>
      <c r="B230" s="6">
        <v>35</v>
      </c>
      <c r="C230" s="5" t="s">
        <v>8</v>
      </c>
      <c r="D230" s="5" t="s">
        <v>9</v>
      </c>
      <c r="E230" s="6">
        <v>3</v>
      </c>
      <c r="F230" s="6">
        <v>8789</v>
      </c>
      <c r="G230" s="6">
        <v>10</v>
      </c>
      <c r="H230" s="6">
        <v>4</v>
      </c>
      <c r="I230" s="6" t="s">
        <v>13</v>
      </c>
      <c r="J230" s="6" t="str">
        <f>IF(Employee[[#This Row],[Attrition]]="Yes","Resigned","Active")</f>
        <v>Active</v>
      </c>
    </row>
    <row r="231" spans="1:10" x14ac:dyDescent="0.25">
      <c r="A231" s="6">
        <v>315</v>
      </c>
      <c r="B231" s="6">
        <v>29</v>
      </c>
      <c r="C231" s="5" t="s">
        <v>11</v>
      </c>
      <c r="D231" s="5" t="s">
        <v>12</v>
      </c>
      <c r="E231" s="6">
        <v>1</v>
      </c>
      <c r="F231" s="6">
        <v>2389</v>
      </c>
      <c r="G231" s="6">
        <v>4</v>
      </c>
      <c r="H231" s="6">
        <v>2</v>
      </c>
      <c r="I231" s="6" t="s">
        <v>10</v>
      </c>
      <c r="J231" s="6" t="str">
        <f>IF(Employee[[#This Row],[Attrition]]="Yes","Resigned","Active")</f>
        <v>Resigned</v>
      </c>
    </row>
    <row r="232" spans="1:10" x14ac:dyDescent="0.25">
      <c r="A232" s="6">
        <v>316</v>
      </c>
      <c r="B232" s="6">
        <v>52</v>
      </c>
      <c r="C232" s="5" t="s">
        <v>11</v>
      </c>
      <c r="D232" s="5" t="s">
        <v>14</v>
      </c>
      <c r="E232" s="6">
        <v>1</v>
      </c>
      <c r="F232" s="6">
        <v>3212</v>
      </c>
      <c r="G232" s="6">
        <v>2</v>
      </c>
      <c r="H232" s="6">
        <v>2</v>
      </c>
      <c r="I232" s="6" t="s">
        <v>13</v>
      </c>
      <c r="J232" s="6" t="str">
        <f>IF(Employee[[#This Row],[Attrition]]="Yes","Resigned","Active")</f>
        <v>Active</v>
      </c>
    </row>
    <row r="233" spans="1:10" x14ac:dyDescent="0.25">
      <c r="A233" s="6">
        <v>319</v>
      </c>
      <c r="B233" s="6">
        <v>42</v>
      </c>
      <c r="C233" s="5" t="s">
        <v>11</v>
      </c>
      <c r="D233" s="5" t="s">
        <v>17</v>
      </c>
      <c r="E233" s="6">
        <v>5</v>
      </c>
      <c r="F233" s="6">
        <v>19232</v>
      </c>
      <c r="G233" s="6">
        <v>22</v>
      </c>
      <c r="H233" s="6">
        <v>3</v>
      </c>
      <c r="I233" s="6" t="s">
        <v>13</v>
      </c>
      <c r="J233" s="6" t="str">
        <f>IF(Employee[[#This Row],[Attrition]]="Yes","Resigned","Active")</f>
        <v>Active</v>
      </c>
    </row>
    <row r="234" spans="1:10" x14ac:dyDescent="0.25">
      <c r="A234" s="6">
        <v>321</v>
      </c>
      <c r="B234" s="6">
        <v>59</v>
      </c>
      <c r="C234" s="5" t="s">
        <v>20</v>
      </c>
      <c r="D234" s="5" t="s">
        <v>20</v>
      </c>
      <c r="E234" s="6">
        <v>1</v>
      </c>
      <c r="F234" s="6">
        <v>2267</v>
      </c>
      <c r="G234" s="6">
        <v>2</v>
      </c>
      <c r="H234" s="6">
        <v>2</v>
      </c>
      <c r="I234" s="6" t="s">
        <v>13</v>
      </c>
      <c r="J234" s="6" t="str">
        <f>IF(Employee[[#This Row],[Attrition]]="Yes","Resigned","Active")</f>
        <v>Active</v>
      </c>
    </row>
    <row r="235" spans="1:10" x14ac:dyDescent="0.25">
      <c r="A235" s="6">
        <v>323</v>
      </c>
      <c r="B235" s="6">
        <v>50</v>
      </c>
      <c r="C235" s="5" t="s">
        <v>8</v>
      </c>
      <c r="D235" s="5" t="s">
        <v>17</v>
      </c>
      <c r="E235" s="6">
        <v>5</v>
      </c>
      <c r="F235" s="6">
        <v>19517</v>
      </c>
      <c r="G235" s="6">
        <v>7</v>
      </c>
      <c r="H235" s="6">
        <v>2</v>
      </c>
      <c r="I235" s="6" t="s">
        <v>13</v>
      </c>
      <c r="J235" s="6" t="str">
        <f>IF(Employee[[#This Row],[Attrition]]="Yes","Resigned","Active")</f>
        <v>Active</v>
      </c>
    </row>
    <row r="236" spans="1:10" x14ac:dyDescent="0.25">
      <c r="A236" s="6">
        <v>325</v>
      </c>
      <c r="B236" s="6">
        <v>33</v>
      </c>
      <c r="C236" s="5" t="s">
        <v>11</v>
      </c>
      <c r="D236" s="5" t="s">
        <v>14</v>
      </c>
      <c r="E236" s="6">
        <v>1</v>
      </c>
      <c r="F236" s="6">
        <v>2436</v>
      </c>
      <c r="G236" s="6">
        <v>5</v>
      </c>
      <c r="H236" s="6">
        <v>1</v>
      </c>
      <c r="I236" s="6" t="s">
        <v>10</v>
      </c>
      <c r="J236" s="6" t="str">
        <f>IF(Employee[[#This Row],[Attrition]]="Yes","Resigned","Active")</f>
        <v>Resigned</v>
      </c>
    </row>
    <row r="237" spans="1:10" x14ac:dyDescent="0.25">
      <c r="A237" s="6">
        <v>327</v>
      </c>
      <c r="B237" s="6">
        <v>43</v>
      </c>
      <c r="C237" s="5" t="s">
        <v>8</v>
      </c>
      <c r="D237" s="5" t="s">
        <v>17</v>
      </c>
      <c r="E237" s="6">
        <v>4</v>
      </c>
      <c r="F237" s="6">
        <v>16064</v>
      </c>
      <c r="G237" s="6">
        <v>17</v>
      </c>
      <c r="H237" s="6">
        <v>3</v>
      </c>
      <c r="I237" s="6" t="s">
        <v>13</v>
      </c>
      <c r="J237" s="6" t="str">
        <f>IF(Employee[[#This Row],[Attrition]]="Yes","Resigned","Active")</f>
        <v>Active</v>
      </c>
    </row>
    <row r="238" spans="1:10" x14ac:dyDescent="0.25">
      <c r="A238" s="6">
        <v>328</v>
      </c>
      <c r="B238" s="6">
        <v>33</v>
      </c>
      <c r="C238" s="5" t="s">
        <v>11</v>
      </c>
      <c r="D238" s="5" t="s">
        <v>14</v>
      </c>
      <c r="E238" s="6">
        <v>1</v>
      </c>
      <c r="F238" s="6">
        <v>2707</v>
      </c>
      <c r="G238" s="6">
        <v>9</v>
      </c>
      <c r="H238" s="6">
        <v>4</v>
      </c>
      <c r="I238" s="6" t="s">
        <v>10</v>
      </c>
      <c r="J238" s="6" t="str">
        <f>IF(Employee[[#This Row],[Attrition]]="Yes","Resigned","Active")</f>
        <v>Resigned</v>
      </c>
    </row>
    <row r="239" spans="1:10" x14ac:dyDescent="0.25">
      <c r="A239" s="6">
        <v>329</v>
      </c>
      <c r="B239" s="6">
        <v>52</v>
      </c>
      <c r="C239" s="5" t="s">
        <v>8</v>
      </c>
      <c r="D239" s="5" t="s">
        <v>17</v>
      </c>
      <c r="E239" s="6">
        <v>5</v>
      </c>
      <c r="F239" s="6">
        <v>19068</v>
      </c>
      <c r="G239" s="6">
        <v>33</v>
      </c>
      <c r="H239" s="6">
        <v>4</v>
      </c>
      <c r="I239" s="6" t="s">
        <v>13</v>
      </c>
      <c r="J239" s="6" t="str">
        <f>IF(Employee[[#This Row],[Attrition]]="Yes","Resigned","Active")</f>
        <v>Active</v>
      </c>
    </row>
    <row r="240" spans="1:10" x14ac:dyDescent="0.25">
      <c r="A240" s="6">
        <v>330</v>
      </c>
      <c r="B240" s="6">
        <v>32</v>
      </c>
      <c r="C240" s="5" t="s">
        <v>8</v>
      </c>
      <c r="D240" s="5" t="s">
        <v>18</v>
      </c>
      <c r="E240" s="6">
        <v>1</v>
      </c>
      <c r="F240" s="6">
        <v>3931</v>
      </c>
      <c r="G240" s="6">
        <v>4</v>
      </c>
      <c r="H240" s="6">
        <v>3</v>
      </c>
      <c r="I240" s="6" t="s">
        <v>13</v>
      </c>
      <c r="J240" s="6" t="str">
        <f>IF(Employee[[#This Row],[Attrition]]="Yes","Resigned","Active")</f>
        <v>Active</v>
      </c>
    </row>
    <row r="241" spans="1:10" x14ac:dyDescent="0.25">
      <c r="A241" s="6">
        <v>331</v>
      </c>
      <c r="B241" s="6">
        <v>32</v>
      </c>
      <c r="C241" s="5" t="s">
        <v>11</v>
      </c>
      <c r="D241" s="5" t="s">
        <v>14</v>
      </c>
      <c r="E241" s="6">
        <v>1</v>
      </c>
      <c r="F241" s="6">
        <v>3730</v>
      </c>
      <c r="G241" s="6">
        <v>3</v>
      </c>
      <c r="H241" s="6">
        <v>1</v>
      </c>
      <c r="I241" s="6" t="s">
        <v>10</v>
      </c>
      <c r="J241" s="6" t="str">
        <f>IF(Employee[[#This Row],[Attrition]]="Yes","Resigned","Active")</f>
        <v>Resigned</v>
      </c>
    </row>
    <row r="242" spans="1:10" x14ac:dyDescent="0.25">
      <c r="A242" s="6">
        <v>332</v>
      </c>
      <c r="B242" s="6">
        <v>39</v>
      </c>
      <c r="C242" s="5" t="s">
        <v>11</v>
      </c>
      <c r="D242" s="5" t="s">
        <v>14</v>
      </c>
      <c r="E242" s="6">
        <v>1</v>
      </c>
      <c r="F242" s="6">
        <v>2232</v>
      </c>
      <c r="G242" s="6">
        <v>3</v>
      </c>
      <c r="H242" s="6">
        <v>3</v>
      </c>
      <c r="I242" s="6" t="s">
        <v>13</v>
      </c>
      <c r="J242" s="6" t="str">
        <f>IF(Employee[[#This Row],[Attrition]]="Yes","Resigned","Active")</f>
        <v>Active</v>
      </c>
    </row>
    <row r="243" spans="1:10" x14ac:dyDescent="0.25">
      <c r="A243" s="6">
        <v>333</v>
      </c>
      <c r="B243" s="6">
        <v>32</v>
      </c>
      <c r="C243" s="5" t="s">
        <v>8</v>
      </c>
      <c r="D243" s="5" t="s">
        <v>9</v>
      </c>
      <c r="E243" s="6">
        <v>2</v>
      </c>
      <c r="F243" s="6">
        <v>4465</v>
      </c>
      <c r="G243" s="6">
        <v>3</v>
      </c>
      <c r="H243" s="6">
        <v>3</v>
      </c>
      <c r="I243" s="6" t="s">
        <v>13</v>
      </c>
      <c r="J243" s="6" t="str">
        <f>IF(Employee[[#This Row],[Attrition]]="Yes","Resigned","Active")</f>
        <v>Active</v>
      </c>
    </row>
    <row r="244" spans="1:10" x14ac:dyDescent="0.25">
      <c r="A244" s="6">
        <v>334</v>
      </c>
      <c r="B244" s="6">
        <v>41</v>
      </c>
      <c r="C244" s="5" t="s">
        <v>11</v>
      </c>
      <c r="D244" s="5" t="s">
        <v>12</v>
      </c>
      <c r="E244" s="6">
        <v>2</v>
      </c>
      <c r="F244" s="6">
        <v>3072</v>
      </c>
      <c r="G244" s="6">
        <v>1</v>
      </c>
      <c r="H244" s="6">
        <v>2</v>
      </c>
      <c r="I244" s="6" t="s">
        <v>13</v>
      </c>
      <c r="J244" s="6" t="str">
        <f>IF(Employee[[#This Row],[Attrition]]="Yes","Resigned","Active")</f>
        <v>Active</v>
      </c>
    </row>
    <row r="245" spans="1:10" x14ac:dyDescent="0.25">
      <c r="A245" s="6">
        <v>335</v>
      </c>
      <c r="B245" s="6">
        <v>40</v>
      </c>
      <c r="C245" s="5" t="s">
        <v>11</v>
      </c>
      <c r="D245" s="5" t="s">
        <v>12</v>
      </c>
      <c r="E245" s="6">
        <v>2</v>
      </c>
      <c r="F245" s="6">
        <v>3319</v>
      </c>
      <c r="G245" s="6">
        <v>9</v>
      </c>
      <c r="H245" s="6">
        <v>3</v>
      </c>
      <c r="I245" s="6" t="s">
        <v>13</v>
      </c>
      <c r="J245" s="6" t="str">
        <f>IF(Employee[[#This Row],[Attrition]]="Yes","Resigned","Active")</f>
        <v>Active</v>
      </c>
    </row>
    <row r="246" spans="1:10" x14ac:dyDescent="0.25">
      <c r="A246" s="6">
        <v>336</v>
      </c>
      <c r="B246" s="6">
        <v>45</v>
      </c>
      <c r="C246" s="5" t="s">
        <v>11</v>
      </c>
      <c r="D246" s="5" t="s">
        <v>17</v>
      </c>
      <c r="E246" s="6">
        <v>5</v>
      </c>
      <c r="F246" s="6">
        <v>19202</v>
      </c>
      <c r="G246" s="6">
        <v>24</v>
      </c>
      <c r="H246" s="6">
        <v>3</v>
      </c>
      <c r="I246" s="6" t="s">
        <v>13</v>
      </c>
      <c r="J246" s="6" t="str">
        <f>IF(Employee[[#This Row],[Attrition]]="Yes","Resigned","Active")</f>
        <v>Active</v>
      </c>
    </row>
    <row r="247" spans="1:10" x14ac:dyDescent="0.25">
      <c r="A247" s="6">
        <v>337</v>
      </c>
      <c r="B247" s="6">
        <v>31</v>
      </c>
      <c r="C247" s="5" t="s">
        <v>11</v>
      </c>
      <c r="D247" s="5" t="s">
        <v>19</v>
      </c>
      <c r="E247" s="6">
        <v>3</v>
      </c>
      <c r="F247" s="6">
        <v>13675</v>
      </c>
      <c r="G247" s="6">
        <v>2</v>
      </c>
      <c r="H247" s="6">
        <v>3</v>
      </c>
      <c r="I247" s="6" t="s">
        <v>13</v>
      </c>
      <c r="J247" s="6" t="str">
        <f>IF(Employee[[#This Row],[Attrition]]="Yes","Resigned","Active")</f>
        <v>Active</v>
      </c>
    </row>
    <row r="248" spans="1:10" x14ac:dyDescent="0.25">
      <c r="A248" s="6">
        <v>338</v>
      </c>
      <c r="B248" s="6">
        <v>33</v>
      </c>
      <c r="C248" s="5" t="s">
        <v>11</v>
      </c>
      <c r="D248" s="5" t="s">
        <v>12</v>
      </c>
      <c r="E248" s="6">
        <v>1</v>
      </c>
      <c r="F248" s="6">
        <v>2911</v>
      </c>
      <c r="G248" s="6">
        <v>2</v>
      </c>
      <c r="H248" s="6">
        <v>2</v>
      </c>
      <c r="I248" s="6" t="s">
        <v>13</v>
      </c>
      <c r="J248" s="6" t="str">
        <f>IF(Employee[[#This Row],[Attrition]]="Yes","Resigned","Active")</f>
        <v>Active</v>
      </c>
    </row>
    <row r="249" spans="1:10" x14ac:dyDescent="0.25">
      <c r="A249" s="6">
        <v>339</v>
      </c>
      <c r="B249" s="6">
        <v>34</v>
      </c>
      <c r="C249" s="5" t="s">
        <v>11</v>
      </c>
      <c r="D249" s="5" t="s">
        <v>15</v>
      </c>
      <c r="E249" s="6">
        <v>2</v>
      </c>
      <c r="F249" s="6">
        <v>5957</v>
      </c>
      <c r="G249" s="6">
        <v>11</v>
      </c>
      <c r="H249" s="6">
        <v>3</v>
      </c>
      <c r="I249" s="6" t="s">
        <v>13</v>
      </c>
      <c r="J249" s="6" t="str">
        <f>IF(Employee[[#This Row],[Attrition]]="Yes","Resigned","Active")</f>
        <v>Active</v>
      </c>
    </row>
    <row r="250" spans="1:10" x14ac:dyDescent="0.25">
      <c r="A250" s="6">
        <v>340</v>
      </c>
      <c r="B250" s="6">
        <v>37</v>
      </c>
      <c r="C250" s="5" t="s">
        <v>11</v>
      </c>
      <c r="D250" s="5" t="s">
        <v>12</v>
      </c>
      <c r="E250" s="6">
        <v>1</v>
      </c>
      <c r="F250" s="6">
        <v>3920</v>
      </c>
      <c r="G250" s="6">
        <v>3</v>
      </c>
      <c r="H250" s="6">
        <v>2</v>
      </c>
      <c r="I250" s="6" t="s">
        <v>13</v>
      </c>
      <c r="J250" s="6" t="str">
        <f>IF(Employee[[#This Row],[Attrition]]="Yes","Resigned","Active")</f>
        <v>Active</v>
      </c>
    </row>
    <row r="251" spans="1:10" x14ac:dyDescent="0.25">
      <c r="A251" s="6">
        <v>341</v>
      </c>
      <c r="B251" s="6">
        <v>45</v>
      </c>
      <c r="C251" s="5" t="s">
        <v>11</v>
      </c>
      <c r="D251" s="5" t="s">
        <v>15</v>
      </c>
      <c r="E251" s="6">
        <v>2</v>
      </c>
      <c r="F251" s="6">
        <v>6434</v>
      </c>
      <c r="G251" s="6">
        <v>3</v>
      </c>
      <c r="H251" s="6">
        <v>3</v>
      </c>
      <c r="I251" s="6" t="s">
        <v>13</v>
      </c>
      <c r="J251" s="6" t="str">
        <f>IF(Employee[[#This Row],[Attrition]]="Yes","Resigned","Active")</f>
        <v>Active</v>
      </c>
    </row>
    <row r="252" spans="1:10" x14ac:dyDescent="0.25">
      <c r="A252" s="6">
        <v>342</v>
      </c>
      <c r="B252" s="6">
        <v>37</v>
      </c>
      <c r="C252" s="5" t="s">
        <v>11</v>
      </c>
      <c r="D252" s="5" t="s">
        <v>15</v>
      </c>
      <c r="E252" s="6">
        <v>3</v>
      </c>
      <c r="F252" s="6">
        <v>10048</v>
      </c>
      <c r="G252" s="6">
        <v>1</v>
      </c>
      <c r="H252" s="6">
        <v>3</v>
      </c>
      <c r="I252" s="6" t="s">
        <v>10</v>
      </c>
      <c r="J252" s="6" t="str">
        <f>IF(Employee[[#This Row],[Attrition]]="Yes","Resigned","Active")</f>
        <v>Resigned</v>
      </c>
    </row>
    <row r="253" spans="1:10" x14ac:dyDescent="0.25">
      <c r="A253" s="6">
        <v>343</v>
      </c>
      <c r="B253" s="6">
        <v>39</v>
      </c>
      <c r="C253" s="5" t="s">
        <v>11</v>
      </c>
      <c r="D253" s="5" t="s">
        <v>16</v>
      </c>
      <c r="E253" s="6">
        <v>3</v>
      </c>
      <c r="F253" s="6">
        <v>10938</v>
      </c>
      <c r="G253" s="6">
        <v>19</v>
      </c>
      <c r="H253" s="6">
        <v>3</v>
      </c>
      <c r="I253" s="6" t="s">
        <v>13</v>
      </c>
      <c r="J253" s="6" t="str">
        <f>IF(Employee[[#This Row],[Attrition]]="Yes","Resigned","Active")</f>
        <v>Active</v>
      </c>
    </row>
    <row r="254" spans="1:10" x14ac:dyDescent="0.25">
      <c r="A254" s="6">
        <v>346</v>
      </c>
      <c r="B254" s="6">
        <v>29</v>
      </c>
      <c r="C254" s="5" t="s">
        <v>11</v>
      </c>
      <c r="D254" s="5" t="s">
        <v>12</v>
      </c>
      <c r="E254" s="6">
        <v>1</v>
      </c>
      <c r="F254" s="6">
        <v>2340</v>
      </c>
      <c r="G254" s="6">
        <v>6</v>
      </c>
      <c r="H254" s="6">
        <v>3</v>
      </c>
      <c r="I254" s="6" t="s">
        <v>13</v>
      </c>
      <c r="J254" s="6" t="str">
        <f>IF(Employee[[#This Row],[Attrition]]="Yes","Resigned","Active")</f>
        <v>Active</v>
      </c>
    </row>
    <row r="255" spans="1:10" x14ac:dyDescent="0.25">
      <c r="A255" s="6">
        <v>347</v>
      </c>
      <c r="B255" s="6">
        <v>42</v>
      </c>
      <c r="C255" s="5" t="s">
        <v>11</v>
      </c>
      <c r="D255" s="5" t="s">
        <v>12</v>
      </c>
      <c r="E255" s="6">
        <v>2</v>
      </c>
      <c r="F255" s="6">
        <v>6545</v>
      </c>
      <c r="G255" s="6">
        <v>3</v>
      </c>
      <c r="H255" s="6">
        <v>3</v>
      </c>
      <c r="I255" s="6" t="s">
        <v>13</v>
      </c>
      <c r="J255" s="6" t="str">
        <f>IF(Employee[[#This Row],[Attrition]]="Yes","Resigned","Active")</f>
        <v>Active</v>
      </c>
    </row>
    <row r="256" spans="1:10" x14ac:dyDescent="0.25">
      <c r="A256" s="6">
        <v>349</v>
      </c>
      <c r="B256" s="6">
        <v>29</v>
      </c>
      <c r="C256" s="5" t="s">
        <v>8</v>
      </c>
      <c r="D256" s="5" t="s">
        <v>9</v>
      </c>
      <c r="E256" s="6">
        <v>2</v>
      </c>
      <c r="F256" s="6">
        <v>6931</v>
      </c>
      <c r="G256" s="6">
        <v>3</v>
      </c>
      <c r="H256" s="6">
        <v>3</v>
      </c>
      <c r="I256" s="6" t="s">
        <v>13</v>
      </c>
      <c r="J256" s="6" t="str">
        <f>IF(Employee[[#This Row],[Attrition]]="Yes","Resigned","Active")</f>
        <v>Active</v>
      </c>
    </row>
    <row r="257" spans="1:10" x14ac:dyDescent="0.25">
      <c r="A257" s="6">
        <v>350</v>
      </c>
      <c r="B257" s="6">
        <v>25</v>
      </c>
      <c r="C257" s="5" t="s">
        <v>11</v>
      </c>
      <c r="D257" s="5" t="s">
        <v>15</v>
      </c>
      <c r="E257" s="6">
        <v>2</v>
      </c>
      <c r="F257" s="6">
        <v>4898</v>
      </c>
      <c r="G257" s="6">
        <v>4</v>
      </c>
      <c r="H257" s="6">
        <v>3</v>
      </c>
      <c r="I257" s="6" t="s">
        <v>13</v>
      </c>
      <c r="J257" s="6" t="str">
        <f>IF(Employee[[#This Row],[Attrition]]="Yes","Resigned","Active")</f>
        <v>Active</v>
      </c>
    </row>
    <row r="258" spans="1:10" x14ac:dyDescent="0.25">
      <c r="A258" s="6">
        <v>351</v>
      </c>
      <c r="B258" s="6">
        <v>42</v>
      </c>
      <c r="C258" s="5" t="s">
        <v>11</v>
      </c>
      <c r="D258" s="5" t="s">
        <v>14</v>
      </c>
      <c r="E258" s="6">
        <v>1</v>
      </c>
      <c r="F258" s="6">
        <v>2593</v>
      </c>
      <c r="G258" s="6">
        <v>9</v>
      </c>
      <c r="H258" s="6">
        <v>3</v>
      </c>
      <c r="I258" s="6" t="s">
        <v>13</v>
      </c>
      <c r="J258" s="6" t="str">
        <f>IF(Employee[[#This Row],[Attrition]]="Yes","Resigned","Active")</f>
        <v>Active</v>
      </c>
    </row>
    <row r="259" spans="1:10" x14ac:dyDescent="0.25">
      <c r="A259" s="6">
        <v>352</v>
      </c>
      <c r="B259" s="6">
        <v>40</v>
      </c>
      <c r="C259" s="5" t="s">
        <v>11</v>
      </c>
      <c r="D259" s="5" t="s">
        <v>19</v>
      </c>
      <c r="E259" s="6">
        <v>5</v>
      </c>
      <c r="F259" s="6">
        <v>19436</v>
      </c>
      <c r="G259" s="6">
        <v>21</v>
      </c>
      <c r="H259" s="6">
        <v>3</v>
      </c>
      <c r="I259" s="6" t="s">
        <v>13</v>
      </c>
      <c r="J259" s="6" t="str">
        <f>IF(Employee[[#This Row],[Attrition]]="Yes","Resigned","Active")</f>
        <v>Active</v>
      </c>
    </row>
    <row r="260" spans="1:10" x14ac:dyDescent="0.25">
      <c r="A260" s="6">
        <v>353</v>
      </c>
      <c r="B260" s="6">
        <v>51</v>
      </c>
      <c r="C260" s="5" t="s">
        <v>11</v>
      </c>
      <c r="D260" s="5" t="s">
        <v>12</v>
      </c>
      <c r="E260" s="6">
        <v>1</v>
      </c>
      <c r="F260" s="6">
        <v>2723</v>
      </c>
      <c r="G260" s="6">
        <v>1</v>
      </c>
      <c r="H260" s="6">
        <v>2</v>
      </c>
      <c r="I260" s="6" t="s">
        <v>13</v>
      </c>
      <c r="J260" s="6" t="str">
        <f>IF(Employee[[#This Row],[Attrition]]="Yes","Resigned","Active")</f>
        <v>Active</v>
      </c>
    </row>
    <row r="261" spans="1:10" x14ac:dyDescent="0.25">
      <c r="A261" s="6">
        <v>355</v>
      </c>
      <c r="B261" s="6">
        <v>31</v>
      </c>
      <c r="C261" s="5" t="s">
        <v>11</v>
      </c>
      <c r="D261" s="5" t="s">
        <v>14</v>
      </c>
      <c r="E261" s="6">
        <v>1</v>
      </c>
      <c r="F261" s="6">
        <v>3479</v>
      </c>
      <c r="G261" s="6">
        <v>5</v>
      </c>
      <c r="H261" s="6">
        <v>4</v>
      </c>
      <c r="I261" s="6" t="s">
        <v>10</v>
      </c>
      <c r="J261" s="6" t="str">
        <f>IF(Employee[[#This Row],[Attrition]]="Yes","Resigned","Active")</f>
        <v>Resigned</v>
      </c>
    </row>
    <row r="262" spans="1:10" x14ac:dyDescent="0.25">
      <c r="A262" s="6">
        <v>359</v>
      </c>
      <c r="B262" s="6">
        <v>32</v>
      </c>
      <c r="C262" s="5" t="s">
        <v>11</v>
      </c>
      <c r="D262" s="5" t="s">
        <v>14</v>
      </c>
      <c r="E262" s="6">
        <v>1</v>
      </c>
      <c r="F262" s="6">
        <v>2794</v>
      </c>
      <c r="G262" s="6">
        <v>5</v>
      </c>
      <c r="H262" s="6">
        <v>1</v>
      </c>
      <c r="I262" s="6" t="s">
        <v>13</v>
      </c>
      <c r="J262" s="6" t="str">
        <f>IF(Employee[[#This Row],[Attrition]]="Yes","Resigned","Active")</f>
        <v>Active</v>
      </c>
    </row>
    <row r="263" spans="1:10" x14ac:dyDescent="0.25">
      <c r="A263" s="6">
        <v>361</v>
      </c>
      <c r="B263" s="6">
        <v>38</v>
      </c>
      <c r="C263" s="5" t="s">
        <v>8</v>
      </c>
      <c r="D263" s="5" t="s">
        <v>9</v>
      </c>
      <c r="E263" s="6">
        <v>2</v>
      </c>
      <c r="F263" s="6">
        <v>5249</v>
      </c>
      <c r="G263" s="6">
        <v>8</v>
      </c>
      <c r="H263" s="6">
        <v>3</v>
      </c>
      <c r="I263" s="6" t="s">
        <v>13</v>
      </c>
      <c r="J263" s="6" t="str">
        <f>IF(Employee[[#This Row],[Attrition]]="Yes","Resigned","Active")</f>
        <v>Active</v>
      </c>
    </row>
    <row r="264" spans="1:10" x14ac:dyDescent="0.25">
      <c r="A264" s="6">
        <v>362</v>
      </c>
      <c r="B264" s="6">
        <v>32</v>
      </c>
      <c r="C264" s="5" t="s">
        <v>11</v>
      </c>
      <c r="D264" s="5" t="s">
        <v>14</v>
      </c>
      <c r="E264" s="6">
        <v>2</v>
      </c>
      <c r="F264" s="6">
        <v>2176</v>
      </c>
      <c r="G264" s="6">
        <v>6</v>
      </c>
      <c r="H264" s="6">
        <v>3</v>
      </c>
      <c r="I264" s="6" t="s">
        <v>13</v>
      </c>
      <c r="J264" s="6" t="str">
        <f>IF(Employee[[#This Row],[Attrition]]="Yes","Resigned","Active")</f>
        <v>Active</v>
      </c>
    </row>
    <row r="265" spans="1:10" x14ac:dyDescent="0.25">
      <c r="A265" s="6">
        <v>363</v>
      </c>
      <c r="B265" s="6">
        <v>46</v>
      </c>
      <c r="C265" s="5" t="s">
        <v>8</v>
      </c>
      <c r="D265" s="5" t="s">
        <v>17</v>
      </c>
      <c r="E265" s="6">
        <v>4</v>
      </c>
      <c r="F265" s="6">
        <v>16872</v>
      </c>
      <c r="G265" s="6">
        <v>7</v>
      </c>
      <c r="H265" s="6">
        <v>2</v>
      </c>
      <c r="I265" s="6" t="s">
        <v>13</v>
      </c>
      <c r="J265" s="6" t="str">
        <f>IF(Employee[[#This Row],[Attrition]]="Yes","Resigned","Active")</f>
        <v>Active</v>
      </c>
    </row>
    <row r="266" spans="1:10" x14ac:dyDescent="0.25">
      <c r="A266" s="6">
        <v>364</v>
      </c>
      <c r="B266" s="6">
        <v>28</v>
      </c>
      <c r="C266" s="5" t="s">
        <v>11</v>
      </c>
      <c r="D266" s="5" t="s">
        <v>14</v>
      </c>
      <c r="E266" s="6">
        <v>1</v>
      </c>
      <c r="F266" s="6">
        <v>3485</v>
      </c>
      <c r="G266" s="6">
        <v>0</v>
      </c>
      <c r="H266" s="6">
        <v>1</v>
      </c>
      <c r="I266" s="6" t="s">
        <v>10</v>
      </c>
      <c r="J266" s="6" t="str">
        <f>IF(Employee[[#This Row],[Attrition]]="Yes","Resigned","Active")</f>
        <v>Resigned</v>
      </c>
    </row>
    <row r="267" spans="1:10" x14ac:dyDescent="0.25">
      <c r="A267" s="6">
        <v>366</v>
      </c>
      <c r="B267" s="6">
        <v>29</v>
      </c>
      <c r="C267" s="5" t="s">
        <v>8</v>
      </c>
      <c r="D267" s="5" t="s">
        <v>9</v>
      </c>
      <c r="E267" s="6">
        <v>2</v>
      </c>
      <c r="F267" s="6">
        <v>6644</v>
      </c>
      <c r="G267" s="6">
        <v>0</v>
      </c>
      <c r="H267" s="6">
        <v>3</v>
      </c>
      <c r="I267" s="6" t="s">
        <v>13</v>
      </c>
      <c r="J267" s="6" t="str">
        <f>IF(Employee[[#This Row],[Attrition]]="Yes","Resigned","Active")</f>
        <v>Active</v>
      </c>
    </row>
    <row r="268" spans="1:10" x14ac:dyDescent="0.25">
      <c r="A268" s="6">
        <v>367</v>
      </c>
      <c r="B268" s="6">
        <v>31</v>
      </c>
      <c r="C268" s="5" t="s">
        <v>11</v>
      </c>
      <c r="D268" s="5" t="s">
        <v>16</v>
      </c>
      <c r="E268" s="6">
        <v>2</v>
      </c>
      <c r="F268" s="6">
        <v>5582</v>
      </c>
      <c r="G268" s="6">
        <v>9</v>
      </c>
      <c r="H268" s="6">
        <v>3</v>
      </c>
      <c r="I268" s="6" t="s">
        <v>13</v>
      </c>
      <c r="J268" s="6" t="str">
        <f>IF(Employee[[#This Row],[Attrition]]="Yes","Resigned","Active")</f>
        <v>Active</v>
      </c>
    </row>
    <row r="269" spans="1:10" x14ac:dyDescent="0.25">
      <c r="A269" s="6">
        <v>369</v>
      </c>
      <c r="B269" s="6">
        <v>25</v>
      </c>
      <c r="C269" s="5" t="s">
        <v>11</v>
      </c>
      <c r="D269" s="5" t="s">
        <v>16</v>
      </c>
      <c r="E269" s="6">
        <v>2</v>
      </c>
      <c r="F269" s="6">
        <v>4000</v>
      </c>
      <c r="G269" s="6">
        <v>6</v>
      </c>
      <c r="H269" s="6">
        <v>3</v>
      </c>
      <c r="I269" s="6" t="s">
        <v>13</v>
      </c>
      <c r="J269" s="6" t="str">
        <f>IF(Employee[[#This Row],[Attrition]]="Yes","Resigned","Active")</f>
        <v>Active</v>
      </c>
    </row>
    <row r="270" spans="1:10" x14ac:dyDescent="0.25">
      <c r="A270" s="6">
        <v>372</v>
      </c>
      <c r="B270" s="6">
        <v>45</v>
      </c>
      <c r="C270" s="5" t="s">
        <v>11</v>
      </c>
      <c r="D270" s="5" t="s">
        <v>16</v>
      </c>
      <c r="E270" s="6">
        <v>4</v>
      </c>
      <c r="F270" s="6">
        <v>13496</v>
      </c>
      <c r="G270" s="6">
        <v>20</v>
      </c>
      <c r="H270" s="6">
        <v>3</v>
      </c>
      <c r="I270" s="6" t="s">
        <v>13</v>
      </c>
      <c r="J270" s="6" t="str">
        <f>IF(Employee[[#This Row],[Attrition]]="Yes","Resigned","Active")</f>
        <v>Active</v>
      </c>
    </row>
    <row r="271" spans="1:10" x14ac:dyDescent="0.25">
      <c r="A271" s="6">
        <v>373</v>
      </c>
      <c r="B271" s="6">
        <v>36</v>
      </c>
      <c r="C271" s="5" t="s">
        <v>11</v>
      </c>
      <c r="D271" s="5" t="s">
        <v>14</v>
      </c>
      <c r="E271" s="6">
        <v>1</v>
      </c>
      <c r="F271" s="6">
        <v>3210</v>
      </c>
      <c r="G271" s="6">
        <v>15</v>
      </c>
      <c r="H271" s="6">
        <v>3</v>
      </c>
      <c r="I271" s="6" t="s">
        <v>13</v>
      </c>
      <c r="J271" s="6" t="str">
        <f>IF(Employee[[#This Row],[Attrition]]="Yes","Resigned","Active")</f>
        <v>Active</v>
      </c>
    </row>
    <row r="272" spans="1:10" x14ac:dyDescent="0.25">
      <c r="A272" s="6">
        <v>374</v>
      </c>
      <c r="B272" s="6">
        <v>55</v>
      </c>
      <c r="C272" s="5" t="s">
        <v>11</v>
      </c>
      <c r="D272" s="5" t="s">
        <v>17</v>
      </c>
      <c r="E272" s="6">
        <v>5</v>
      </c>
      <c r="F272" s="6">
        <v>19045</v>
      </c>
      <c r="G272" s="6">
        <v>36</v>
      </c>
      <c r="H272" s="6">
        <v>3</v>
      </c>
      <c r="I272" s="6" t="s">
        <v>13</v>
      </c>
      <c r="J272" s="6" t="str">
        <f>IF(Employee[[#This Row],[Attrition]]="Yes","Resigned","Active")</f>
        <v>Active</v>
      </c>
    </row>
    <row r="273" spans="1:10" x14ac:dyDescent="0.25">
      <c r="A273" s="6">
        <v>376</v>
      </c>
      <c r="B273" s="6">
        <v>47</v>
      </c>
      <c r="C273" s="5" t="s">
        <v>11</v>
      </c>
      <c r="D273" s="5" t="s">
        <v>17</v>
      </c>
      <c r="E273" s="6">
        <v>3</v>
      </c>
      <c r="F273" s="6">
        <v>11849</v>
      </c>
      <c r="G273" s="6">
        <v>10</v>
      </c>
      <c r="H273" s="6">
        <v>2</v>
      </c>
      <c r="I273" s="6" t="s">
        <v>10</v>
      </c>
      <c r="J273" s="6" t="str">
        <f>IF(Employee[[#This Row],[Attrition]]="Yes","Resigned","Active")</f>
        <v>Resigned</v>
      </c>
    </row>
    <row r="274" spans="1:10" x14ac:dyDescent="0.25">
      <c r="A274" s="6">
        <v>377</v>
      </c>
      <c r="B274" s="6">
        <v>28</v>
      </c>
      <c r="C274" s="5" t="s">
        <v>11</v>
      </c>
      <c r="D274" s="5" t="s">
        <v>12</v>
      </c>
      <c r="E274" s="6">
        <v>1</v>
      </c>
      <c r="F274" s="6">
        <v>2070</v>
      </c>
      <c r="G274" s="6">
        <v>5</v>
      </c>
      <c r="H274" s="6">
        <v>2</v>
      </c>
      <c r="I274" s="6" t="s">
        <v>13</v>
      </c>
      <c r="J274" s="6" t="str">
        <f>IF(Employee[[#This Row],[Attrition]]="Yes","Resigned","Active")</f>
        <v>Active</v>
      </c>
    </row>
    <row r="275" spans="1:10" x14ac:dyDescent="0.25">
      <c r="A275" s="6">
        <v>378</v>
      </c>
      <c r="B275" s="6">
        <v>37</v>
      </c>
      <c r="C275" s="5" t="s">
        <v>8</v>
      </c>
      <c r="D275" s="5" t="s">
        <v>9</v>
      </c>
      <c r="E275" s="6">
        <v>2</v>
      </c>
      <c r="F275" s="6">
        <v>6502</v>
      </c>
      <c r="G275" s="6">
        <v>5</v>
      </c>
      <c r="H275" s="6">
        <v>4</v>
      </c>
      <c r="I275" s="6" t="s">
        <v>13</v>
      </c>
      <c r="J275" s="6" t="str">
        <f>IF(Employee[[#This Row],[Attrition]]="Yes","Resigned","Active")</f>
        <v>Active</v>
      </c>
    </row>
    <row r="276" spans="1:10" x14ac:dyDescent="0.25">
      <c r="A276" s="6">
        <v>379</v>
      </c>
      <c r="B276" s="6">
        <v>21</v>
      </c>
      <c r="C276" s="5" t="s">
        <v>11</v>
      </c>
      <c r="D276" s="5" t="s">
        <v>12</v>
      </c>
      <c r="E276" s="6">
        <v>1</v>
      </c>
      <c r="F276" s="6">
        <v>3230</v>
      </c>
      <c r="G276" s="6">
        <v>3</v>
      </c>
      <c r="H276" s="6">
        <v>4</v>
      </c>
      <c r="I276" s="6" t="s">
        <v>13</v>
      </c>
      <c r="J276" s="6" t="str">
        <f>IF(Employee[[#This Row],[Attrition]]="Yes","Resigned","Active")</f>
        <v>Active</v>
      </c>
    </row>
    <row r="277" spans="1:10" x14ac:dyDescent="0.25">
      <c r="A277" s="6">
        <v>380</v>
      </c>
      <c r="B277" s="6">
        <v>37</v>
      </c>
      <c r="C277" s="5" t="s">
        <v>11</v>
      </c>
      <c r="D277" s="5" t="s">
        <v>19</v>
      </c>
      <c r="E277" s="6">
        <v>3</v>
      </c>
      <c r="F277" s="6">
        <v>13603</v>
      </c>
      <c r="G277" s="6">
        <v>5</v>
      </c>
      <c r="H277" s="6">
        <v>3</v>
      </c>
      <c r="I277" s="6" t="s">
        <v>13</v>
      </c>
      <c r="J277" s="6" t="str">
        <f>IF(Employee[[#This Row],[Attrition]]="Yes","Resigned","Active")</f>
        <v>Active</v>
      </c>
    </row>
    <row r="278" spans="1:10" x14ac:dyDescent="0.25">
      <c r="A278" s="6">
        <v>381</v>
      </c>
      <c r="B278" s="6">
        <v>35</v>
      </c>
      <c r="C278" s="5" t="s">
        <v>11</v>
      </c>
      <c r="D278" s="5" t="s">
        <v>17</v>
      </c>
      <c r="E278" s="6">
        <v>3</v>
      </c>
      <c r="F278" s="6">
        <v>11996</v>
      </c>
      <c r="G278" s="6">
        <v>7</v>
      </c>
      <c r="H278" s="6">
        <v>2</v>
      </c>
      <c r="I278" s="6" t="s">
        <v>13</v>
      </c>
      <c r="J278" s="6" t="str">
        <f>IF(Employee[[#This Row],[Attrition]]="Yes","Resigned","Active")</f>
        <v>Active</v>
      </c>
    </row>
    <row r="279" spans="1:10" x14ac:dyDescent="0.25">
      <c r="A279" s="6">
        <v>382</v>
      </c>
      <c r="B279" s="6">
        <v>38</v>
      </c>
      <c r="C279" s="5" t="s">
        <v>8</v>
      </c>
      <c r="D279" s="5" t="s">
        <v>9</v>
      </c>
      <c r="E279" s="6">
        <v>2</v>
      </c>
      <c r="F279" s="6">
        <v>5605</v>
      </c>
      <c r="G279" s="6">
        <v>8</v>
      </c>
      <c r="H279" s="6">
        <v>3</v>
      </c>
      <c r="I279" s="6" t="s">
        <v>13</v>
      </c>
      <c r="J279" s="6" t="str">
        <f>IF(Employee[[#This Row],[Attrition]]="Yes","Resigned","Active")</f>
        <v>Active</v>
      </c>
    </row>
    <row r="280" spans="1:10" x14ac:dyDescent="0.25">
      <c r="A280" s="6">
        <v>384</v>
      </c>
      <c r="B280" s="6">
        <v>26</v>
      </c>
      <c r="C280" s="5" t="s">
        <v>11</v>
      </c>
      <c r="D280" s="5" t="s">
        <v>15</v>
      </c>
      <c r="E280" s="6">
        <v>2</v>
      </c>
      <c r="F280" s="6">
        <v>6397</v>
      </c>
      <c r="G280" s="6">
        <v>6</v>
      </c>
      <c r="H280" s="6">
        <v>1</v>
      </c>
      <c r="I280" s="6" t="s">
        <v>13</v>
      </c>
      <c r="J280" s="6" t="str">
        <f>IF(Employee[[#This Row],[Attrition]]="Yes","Resigned","Active")</f>
        <v>Active</v>
      </c>
    </row>
    <row r="281" spans="1:10" x14ac:dyDescent="0.25">
      <c r="A281" s="6">
        <v>385</v>
      </c>
      <c r="B281" s="6">
        <v>50</v>
      </c>
      <c r="C281" s="5" t="s">
        <v>11</v>
      </c>
      <c r="D281" s="5" t="s">
        <v>19</v>
      </c>
      <c r="E281" s="6">
        <v>5</v>
      </c>
      <c r="F281" s="6">
        <v>19144</v>
      </c>
      <c r="G281" s="6">
        <v>10</v>
      </c>
      <c r="H281" s="6">
        <v>2</v>
      </c>
      <c r="I281" s="6" t="s">
        <v>13</v>
      </c>
      <c r="J281" s="6" t="str">
        <f>IF(Employee[[#This Row],[Attrition]]="Yes","Resigned","Active")</f>
        <v>Active</v>
      </c>
    </row>
    <row r="282" spans="1:10" x14ac:dyDescent="0.25">
      <c r="A282" s="6">
        <v>386</v>
      </c>
      <c r="B282" s="6">
        <v>53</v>
      </c>
      <c r="C282" s="5" t="s">
        <v>11</v>
      </c>
      <c r="D282" s="5" t="s">
        <v>19</v>
      </c>
      <c r="E282" s="6">
        <v>4</v>
      </c>
      <c r="F282" s="6">
        <v>17584</v>
      </c>
      <c r="G282" s="6">
        <v>5</v>
      </c>
      <c r="H282" s="6">
        <v>2</v>
      </c>
      <c r="I282" s="6" t="s">
        <v>13</v>
      </c>
      <c r="J282" s="6" t="str">
        <f>IF(Employee[[#This Row],[Attrition]]="Yes","Resigned","Active")</f>
        <v>Active</v>
      </c>
    </row>
    <row r="283" spans="1:10" x14ac:dyDescent="0.25">
      <c r="A283" s="6">
        <v>387</v>
      </c>
      <c r="B283" s="6">
        <v>42</v>
      </c>
      <c r="C283" s="5" t="s">
        <v>8</v>
      </c>
      <c r="D283" s="5" t="s">
        <v>9</v>
      </c>
      <c r="E283" s="6">
        <v>2</v>
      </c>
      <c r="F283" s="6">
        <v>4907</v>
      </c>
      <c r="G283" s="6">
        <v>20</v>
      </c>
      <c r="H283" s="6">
        <v>3</v>
      </c>
      <c r="I283" s="6" t="s">
        <v>13</v>
      </c>
      <c r="J283" s="6" t="str">
        <f>IF(Employee[[#This Row],[Attrition]]="Yes","Resigned","Active")</f>
        <v>Active</v>
      </c>
    </row>
    <row r="284" spans="1:10" x14ac:dyDescent="0.25">
      <c r="A284" s="6">
        <v>388</v>
      </c>
      <c r="B284" s="6">
        <v>29</v>
      </c>
      <c r="C284" s="5" t="s">
        <v>8</v>
      </c>
      <c r="D284" s="5" t="s">
        <v>9</v>
      </c>
      <c r="E284" s="6">
        <v>2</v>
      </c>
      <c r="F284" s="6">
        <v>4554</v>
      </c>
      <c r="G284" s="6">
        <v>10</v>
      </c>
      <c r="H284" s="6">
        <v>2</v>
      </c>
      <c r="I284" s="6" t="s">
        <v>13</v>
      </c>
      <c r="J284" s="6" t="str">
        <f>IF(Employee[[#This Row],[Attrition]]="Yes","Resigned","Active")</f>
        <v>Active</v>
      </c>
    </row>
    <row r="285" spans="1:10" x14ac:dyDescent="0.25">
      <c r="A285" s="6">
        <v>389</v>
      </c>
      <c r="B285" s="6">
        <v>55</v>
      </c>
      <c r="C285" s="5" t="s">
        <v>11</v>
      </c>
      <c r="D285" s="5" t="s">
        <v>14</v>
      </c>
      <c r="E285" s="6">
        <v>2</v>
      </c>
      <c r="F285" s="6">
        <v>5415</v>
      </c>
      <c r="G285" s="6">
        <v>10</v>
      </c>
      <c r="H285" s="6">
        <v>3</v>
      </c>
      <c r="I285" s="6" t="s">
        <v>13</v>
      </c>
      <c r="J285" s="6" t="str">
        <f>IF(Employee[[#This Row],[Attrition]]="Yes","Resigned","Active")</f>
        <v>Active</v>
      </c>
    </row>
    <row r="286" spans="1:10" x14ac:dyDescent="0.25">
      <c r="A286" s="6">
        <v>390</v>
      </c>
      <c r="B286" s="6">
        <v>26</v>
      </c>
      <c r="C286" s="5" t="s">
        <v>11</v>
      </c>
      <c r="D286" s="5" t="s">
        <v>16</v>
      </c>
      <c r="E286" s="6">
        <v>2</v>
      </c>
      <c r="F286" s="6">
        <v>4741</v>
      </c>
      <c r="G286" s="6">
        <v>5</v>
      </c>
      <c r="H286" s="6">
        <v>3</v>
      </c>
      <c r="I286" s="6" t="s">
        <v>13</v>
      </c>
      <c r="J286" s="6" t="str">
        <f>IF(Employee[[#This Row],[Attrition]]="Yes","Resigned","Active")</f>
        <v>Active</v>
      </c>
    </row>
    <row r="287" spans="1:10" x14ac:dyDescent="0.25">
      <c r="A287" s="6">
        <v>391</v>
      </c>
      <c r="B287" s="6">
        <v>37</v>
      </c>
      <c r="C287" s="5" t="s">
        <v>11</v>
      </c>
      <c r="D287" s="5" t="s">
        <v>12</v>
      </c>
      <c r="E287" s="6">
        <v>1</v>
      </c>
      <c r="F287" s="6">
        <v>2115</v>
      </c>
      <c r="G287" s="6">
        <v>17</v>
      </c>
      <c r="H287" s="6">
        <v>3</v>
      </c>
      <c r="I287" s="6" t="s">
        <v>13</v>
      </c>
      <c r="J287" s="6" t="str">
        <f>IF(Employee[[#This Row],[Attrition]]="Yes","Resigned","Active")</f>
        <v>Active</v>
      </c>
    </row>
    <row r="288" spans="1:10" x14ac:dyDescent="0.25">
      <c r="A288" s="6">
        <v>392</v>
      </c>
      <c r="B288" s="6">
        <v>44</v>
      </c>
      <c r="C288" s="5" t="s">
        <v>11</v>
      </c>
      <c r="D288" s="5" t="s">
        <v>14</v>
      </c>
      <c r="E288" s="6">
        <v>1</v>
      </c>
      <c r="F288" s="6">
        <v>3161</v>
      </c>
      <c r="G288" s="6">
        <v>1</v>
      </c>
      <c r="H288" s="6">
        <v>1</v>
      </c>
      <c r="I288" s="6" t="s">
        <v>10</v>
      </c>
      <c r="J288" s="6" t="str">
        <f>IF(Employee[[#This Row],[Attrition]]="Yes","Resigned","Active")</f>
        <v>Resigned</v>
      </c>
    </row>
    <row r="289" spans="1:10" x14ac:dyDescent="0.25">
      <c r="A289" s="6">
        <v>393</v>
      </c>
      <c r="B289" s="6">
        <v>38</v>
      </c>
      <c r="C289" s="5" t="s">
        <v>11</v>
      </c>
      <c r="D289" s="5" t="s">
        <v>16</v>
      </c>
      <c r="E289" s="6">
        <v>2</v>
      </c>
      <c r="F289" s="6">
        <v>5745</v>
      </c>
      <c r="G289" s="6">
        <v>2</v>
      </c>
      <c r="H289" s="6">
        <v>3</v>
      </c>
      <c r="I289" s="6" t="s">
        <v>13</v>
      </c>
      <c r="J289" s="6" t="str">
        <f>IF(Employee[[#This Row],[Attrition]]="Yes","Resigned","Active")</f>
        <v>Active</v>
      </c>
    </row>
    <row r="290" spans="1:10" x14ac:dyDescent="0.25">
      <c r="A290" s="6">
        <v>394</v>
      </c>
      <c r="B290" s="6">
        <v>26</v>
      </c>
      <c r="C290" s="5" t="s">
        <v>11</v>
      </c>
      <c r="D290" s="5" t="s">
        <v>14</v>
      </c>
      <c r="E290" s="6">
        <v>1</v>
      </c>
      <c r="F290" s="6">
        <v>2373</v>
      </c>
      <c r="G290" s="6">
        <v>3</v>
      </c>
      <c r="H290" s="6">
        <v>3</v>
      </c>
      <c r="I290" s="6" t="s">
        <v>10</v>
      </c>
      <c r="J290" s="6" t="str">
        <f>IF(Employee[[#This Row],[Attrition]]="Yes","Resigned","Active")</f>
        <v>Resigned</v>
      </c>
    </row>
    <row r="291" spans="1:10" x14ac:dyDescent="0.25">
      <c r="A291" s="6">
        <v>395</v>
      </c>
      <c r="B291" s="6">
        <v>28</v>
      </c>
      <c r="C291" s="5" t="s">
        <v>11</v>
      </c>
      <c r="D291" s="5" t="s">
        <v>12</v>
      </c>
      <c r="E291" s="6">
        <v>1</v>
      </c>
      <c r="F291" s="6">
        <v>3310</v>
      </c>
      <c r="G291" s="6">
        <v>5</v>
      </c>
      <c r="H291" s="6">
        <v>3</v>
      </c>
      <c r="I291" s="6" t="s">
        <v>13</v>
      </c>
      <c r="J291" s="6" t="str">
        <f>IF(Employee[[#This Row],[Attrition]]="Yes","Resigned","Active")</f>
        <v>Active</v>
      </c>
    </row>
    <row r="292" spans="1:10" x14ac:dyDescent="0.25">
      <c r="A292" s="6">
        <v>396</v>
      </c>
      <c r="B292" s="6">
        <v>49</v>
      </c>
      <c r="C292" s="5" t="s">
        <v>11</v>
      </c>
      <c r="D292" s="5" t="s">
        <v>19</v>
      </c>
      <c r="E292" s="6">
        <v>5</v>
      </c>
      <c r="F292" s="6">
        <v>18665</v>
      </c>
      <c r="G292" s="6">
        <v>3</v>
      </c>
      <c r="H292" s="6">
        <v>3</v>
      </c>
      <c r="I292" s="6" t="s">
        <v>13</v>
      </c>
      <c r="J292" s="6" t="str">
        <f>IF(Employee[[#This Row],[Attrition]]="Yes","Resigned","Active")</f>
        <v>Active</v>
      </c>
    </row>
    <row r="293" spans="1:10" x14ac:dyDescent="0.25">
      <c r="A293" s="6">
        <v>397</v>
      </c>
      <c r="B293" s="6">
        <v>36</v>
      </c>
      <c r="C293" s="5" t="s">
        <v>11</v>
      </c>
      <c r="D293" s="5" t="s">
        <v>12</v>
      </c>
      <c r="E293" s="6">
        <v>2</v>
      </c>
      <c r="F293" s="6">
        <v>4485</v>
      </c>
      <c r="G293" s="6">
        <v>8</v>
      </c>
      <c r="H293" s="6">
        <v>3</v>
      </c>
      <c r="I293" s="6" t="s">
        <v>13</v>
      </c>
      <c r="J293" s="6" t="str">
        <f>IF(Employee[[#This Row],[Attrition]]="Yes","Resigned","Active")</f>
        <v>Active</v>
      </c>
    </row>
    <row r="294" spans="1:10" x14ac:dyDescent="0.25">
      <c r="A294" s="6">
        <v>399</v>
      </c>
      <c r="B294" s="6">
        <v>31</v>
      </c>
      <c r="C294" s="5" t="s">
        <v>8</v>
      </c>
      <c r="D294" s="5" t="s">
        <v>18</v>
      </c>
      <c r="E294" s="6">
        <v>1</v>
      </c>
      <c r="F294" s="6">
        <v>2789</v>
      </c>
      <c r="G294" s="6">
        <v>2</v>
      </c>
      <c r="H294" s="6">
        <v>2</v>
      </c>
      <c r="I294" s="6" t="s">
        <v>13</v>
      </c>
      <c r="J294" s="6" t="str">
        <f>IF(Employee[[#This Row],[Attrition]]="Yes","Resigned","Active")</f>
        <v>Active</v>
      </c>
    </row>
    <row r="295" spans="1:10" x14ac:dyDescent="0.25">
      <c r="A295" s="6">
        <v>401</v>
      </c>
      <c r="B295" s="6">
        <v>26</v>
      </c>
      <c r="C295" s="5" t="s">
        <v>8</v>
      </c>
      <c r="D295" s="5" t="s">
        <v>9</v>
      </c>
      <c r="E295" s="6">
        <v>2</v>
      </c>
      <c r="F295" s="6">
        <v>5828</v>
      </c>
      <c r="G295" s="6">
        <v>8</v>
      </c>
      <c r="H295" s="6">
        <v>3</v>
      </c>
      <c r="I295" s="6" t="s">
        <v>10</v>
      </c>
      <c r="J295" s="6" t="str">
        <f>IF(Employee[[#This Row],[Attrition]]="Yes","Resigned","Active")</f>
        <v>Resigned</v>
      </c>
    </row>
    <row r="296" spans="1:10" x14ac:dyDescent="0.25">
      <c r="A296" s="6">
        <v>403</v>
      </c>
      <c r="B296" s="6">
        <v>37</v>
      </c>
      <c r="C296" s="5" t="s">
        <v>11</v>
      </c>
      <c r="D296" s="5" t="s">
        <v>12</v>
      </c>
      <c r="E296" s="6">
        <v>1</v>
      </c>
      <c r="F296" s="6">
        <v>2326</v>
      </c>
      <c r="G296" s="6">
        <v>4</v>
      </c>
      <c r="H296" s="6">
        <v>2</v>
      </c>
      <c r="I296" s="6" t="s">
        <v>13</v>
      </c>
      <c r="J296" s="6" t="str">
        <f>IF(Employee[[#This Row],[Attrition]]="Yes","Resigned","Active")</f>
        <v>Active</v>
      </c>
    </row>
    <row r="297" spans="1:10" x14ac:dyDescent="0.25">
      <c r="A297" s="6">
        <v>404</v>
      </c>
      <c r="B297" s="6">
        <v>42</v>
      </c>
      <c r="C297" s="5" t="s">
        <v>8</v>
      </c>
      <c r="D297" s="5" t="s">
        <v>9</v>
      </c>
      <c r="E297" s="6">
        <v>4</v>
      </c>
      <c r="F297" s="6">
        <v>13525</v>
      </c>
      <c r="G297" s="6">
        <v>20</v>
      </c>
      <c r="H297" s="6">
        <v>4</v>
      </c>
      <c r="I297" s="6" t="s">
        <v>13</v>
      </c>
      <c r="J297" s="6" t="str">
        <f>IF(Employee[[#This Row],[Attrition]]="Yes","Resigned","Active")</f>
        <v>Active</v>
      </c>
    </row>
    <row r="298" spans="1:10" x14ac:dyDescent="0.25">
      <c r="A298" s="6">
        <v>405</v>
      </c>
      <c r="B298" s="6">
        <v>18</v>
      </c>
      <c r="C298" s="5" t="s">
        <v>11</v>
      </c>
      <c r="D298" s="5" t="s">
        <v>14</v>
      </c>
      <c r="E298" s="6">
        <v>1</v>
      </c>
      <c r="F298" s="6">
        <v>1420</v>
      </c>
      <c r="G298" s="6">
        <v>0</v>
      </c>
      <c r="H298" s="6">
        <v>3</v>
      </c>
      <c r="I298" s="6" t="s">
        <v>10</v>
      </c>
      <c r="J298" s="6" t="str">
        <f>IF(Employee[[#This Row],[Attrition]]="Yes","Resigned","Active")</f>
        <v>Resigned</v>
      </c>
    </row>
    <row r="299" spans="1:10" x14ac:dyDescent="0.25">
      <c r="A299" s="6">
        <v>406</v>
      </c>
      <c r="B299" s="6">
        <v>35</v>
      </c>
      <c r="C299" s="5" t="s">
        <v>8</v>
      </c>
      <c r="D299" s="5" t="s">
        <v>9</v>
      </c>
      <c r="E299" s="6">
        <v>3</v>
      </c>
      <c r="F299" s="6">
        <v>8020</v>
      </c>
      <c r="G299" s="6">
        <v>11</v>
      </c>
      <c r="H299" s="6">
        <v>2</v>
      </c>
      <c r="I299" s="6" t="s">
        <v>13</v>
      </c>
      <c r="J299" s="6" t="str">
        <f>IF(Employee[[#This Row],[Attrition]]="Yes","Resigned","Active")</f>
        <v>Active</v>
      </c>
    </row>
    <row r="300" spans="1:10" x14ac:dyDescent="0.25">
      <c r="A300" s="6">
        <v>407</v>
      </c>
      <c r="B300" s="6">
        <v>36</v>
      </c>
      <c r="C300" s="5" t="s">
        <v>11</v>
      </c>
      <c r="D300" s="5" t="s">
        <v>14</v>
      </c>
      <c r="E300" s="6">
        <v>1</v>
      </c>
      <c r="F300" s="6">
        <v>3688</v>
      </c>
      <c r="G300" s="6">
        <v>1</v>
      </c>
      <c r="H300" s="6">
        <v>3</v>
      </c>
      <c r="I300" s="6" t="s">
        <v>13</v>
      </c>
      <c r="J300" s="6" t="str">
        <f>IF(Employee[[#This Row],[Attrition]]="Yes","Resigned","Active")</f>
        <v>Active</v>
      </c>
    </row>
    <row r="301" spans="1:10" x14ac:dyDescent="0.25">
      <c r="A301" s="6">
        <v>408</v>
      </c>
      <c r="B301" s="6">
        <v>51</v>
      </c>
      <c r="C301" s="5" t="s">
        <v>11</v>
      </c>
      <c r="D301" s="5" t="s">
        <v>15</v>
      </c>
      <c r="E301" s="6">
        <v>2</v>
      </c>
      <c r="F301" s="6">
        <v>5482</v>
      </c>
      <c r="G301" s="6">
        <v>4</v>
      </c>
      <c r="H301" s="6">
        <v>3</v>
      </c>
      <c r="I301" s="6" t="s">
        <v>13</v>
      </c>
      <c r="J301" s="6" t="str">
        <f>IF(Employee[[#This Row],[Attrition]]="Yes","Resigned","Active")</f>
        <v>Active</v>
      </c>
    </row>
    <row r="302" spans="1:10" x14ac:dyDescent="0.25">
      <c r="A302" s="6">
        <v>410</v>
      </c>
      <c r="B302" s="6">
        <v>41</v>
      </c>
      <c r="C302" s="5" t="s">
        <v>8</v>
      </c>
      <c r="D302" s="5" t="s">
        <v>17</v>
      </c>
      <c r="E302" s="6">
        <v>4</v>
      </c>
      <c r="F302" s="6">
        <v>16015</v>
      </c>
      <c r="G302" s="6">
        <v>22</v>
      </c>
      <c r="H302" s="6">
        <v>3</v>
      </c>
      <c r="I302" s="6" t="s">
        <v>13</v>
      </c>
      <c r="J302" s="6" t="str">
        <f>IF(Employee[[#This Row],[Attrition]]="Yes","Resigned","Active")</f>
        <v>Active</v>
      </c>
    </row>
    <row r="303" spans="1:10" x14ac:dyDescent="0.25">
      <c r="A303" s="6">
        <v>411</v>
      </c>
      <c r="B303" s="6">
        <v>18</v>
      </c>
      <c r="C303" s="5" t="s">
        <v>8</v>
      </c>
      <c r="D303" s="5" t="s">
        <v>18</v>
      </c>
      <c r="E303" s="6">
        <v>1</v>
      </c>
      <c r="F303" s="6">
        <v>1200</v>
      </c>
      <c r="G303" s="6">
        <v>0</v>
      </c>
      <c r="H303" s="6">
        <v>3</v>
      </c>
      <c r="I303" s="6" t="s">
        <v>13</v>
      </c>
      <c r="J303" s="6" t="str">
        <f>IF(Employee[[#This Row],[Attrition]]="Yes","Resigned","Active")</f>
        <v>Active</v>
      </c>
    </row>
    <row r="304" spans="1:10" x14ac:dyDescent="0.25">
      <c r="A304" s="6">
        <v>412</v>
      </c>
      <c r="B304" s="6">
        <v>28</v>
      </c>
      <c r="C304" s="5" t="s">
        <v>11</v>
      </c>
      <c r="D304" s="5" t="s">
        <v>16</v>
      </c>
      <c r="E304" s="6">
        <v>2</v>
      </c>
      <c r="F304" s="6">
        <v>5661</v>
      </c>
      <c r="G304" s="6">
        <v>8</v>
      </c>
      <c r="H304" s="6">
        <v>3</v>
      </c>
      <c r="I304" s="6" t="s">
        <v>13</v>
      </c>
      <c r="J304" s="6" t="str">
        <f>IF(Employee[[#This Row],[Attrition]]="Yes","Resigned","Active")</f>
        <v>Active</v>
      </c>
    </row>
    <row r="305" spans="1:10" x14ac:dyDescent="0.25">
      <c r="A305" s="6">
        <v>416</v>
      </c>
      <c r="B305" s="6">
        <v>31</v>
      </c>
      <c r="C305" s="5" t="s">
        <v>8</v>
      </c>
      <c r="D305" s="5" t="s">
        <v>9</v>
      </c>
      <c r="E305" s="6">
        <v>2</v>
      </c>
      <c r="F305" s="6">
        <v>6929</v>
      </c>
      <c r="G305" s="6">
        <v>8</v>
      </c>
      <c r="H305" s="6">
        <v>2</v>
      </c>
      <c r="I305" s="6" t="s">
        <v>13</v>
      </c>
      <c r="J305" s="6" t="str">
        <f>IF(Employee[[#This Row],[Attrition]]="Yes","Resigned","Active")</f>
        <v>Active</v>
      </c>
    </row>
    <row r="306" spans="1:10" x14ac:dyDescent="0.25">
      <c r="A306" s="6">
        <v>417</v>
      </c>
      <c r="B306" s="6">
        <v>39</v>
      </c>
      <c r="C306" s="5" t="s">
        <v>11</v>
      </c>
      <c r="D306" s="5" t="s">
        <v>16</v>
      </c>
      <c r="E306" s="6">
        <v>3</v>
      </c>
      <c r="F306" s="6">
        <v>9613</v>
      </c>
      <c r="G306" s="6">
        <v>18</v>
      </c>
      <c r="H306" s="6">
        <v>2</v>
      </c>
      <c r="I306" s="6" t="s">
        <v>13</v>
      </c>
      <c r="J306" s="6" t="str">
        <f>IF(Employee[[#This Row],[Attrition]]="Yes","Resigned","Active")</f>
        <v>Active</v>
      </c>
    </row>
    <row r="307" spans="1:10" x14ac:dyDescent="0.25">
      <c r="A307" s="6">
        <v>419</v>
      </c>
      <c r="B307" s="6">
        <v>36</v>
      </c>
      <c r="C307" s="5" t="s">
        <v>11</v>
      </c>
      <c r="D307" s="5" t="s">
        <v>14</v>
      </c>
      <c r="E307" s="6">
        <v>2</v>
      </c>
      <c r="F307" s="6">
        <v>5674</v>
      </c>
      <c r="G307" s="6">
        <v>9</v>
      </c>
      <c r="H307" s="6">
        <v>3</v>
      </c>
      <c r="I307" s="6" t="s">
        <v>13</v>
      </c>
      <c r="J307" s="6" t="str">
        <f>IF(Employee[[#This Row],[Attrition]]="Yes","Resigned","Active")</f>
        <v>Active</v>
      </c>
    </row>
    <row r="308" spans="1:10" x14ac:dyDescent="0.25">
      <c r="A308" s="6">
        <v>420</v>
      </c>
      <c r="B308" s="6">
        <v>32</v>
      </c>
      <c r="C308" s="5" t="s">
        <v>8</v>
      </c>
      <c r="D308" s="5" t="s">
        <v>9</v>
      </c>
      <c r="E308" s="6">
        <v>2</v>
      </c>
      <c r="F308" s="6">
        <v>5484</v>
      </c>
      <c r="G308" s="6">
        <v>13</v>
      </c>
      <c r="H308" s="6">
        <v>2</v>
      </c>
      <c r="I308" s="6" t="s">
        <v>13</v>
      </c>
      <c r="J308" s="6" t="str">
        <f>IF(Employee[[#This Row],[Attrition]]="Yes","Resigned","Active")</f>
        <v>Active</v>
      </c>
    </row>
    <row r="309" spans="1:10" x14ac:dyDescent="0.25">
      <c r="A309" s="6">
        <v>421</v>
      </c>
      <c r="B309" s="6">
        <v>38</v>
      </c>
      <c r="C309" s="5" t="s">
        <v>11</v>
      </c>
      <c r="D309" s="5" t="s">
        <v>19</v>
      </c>
      <c r="E309" s="6">
        <v>3</v>
      </c>
      <c r="F309" s="6">
        <v>12061</v>
      </c>
      <c r="G309" s="6">
        <v>10</v>
      </c>
      <c r="H309" s="6">
        <v>3</v>
      </c>
      <c r="I309" s="6" t="s">
        <v>13</v>
      </c>
      <c r="J309" s="6" t="str">
        <f>IF(Employee[[#This Row],[Attrition]]="Yes","Resigned","Active")</f>
        <v>Active</v>
      </c>
    </row>
    <row r="310" spans="1:10" x14ac:dyDescent="0.25">
      <c r="A310" s="6">
        <v>422</v>
      </c>
      <c r="B310" s="6">
        <v>58</v>
      </c>
      <c r="C310" s="5" t="s">
        <v>11</v>
      </c>
      <c r="D310" s="5" t="s">
        <v>16</v>
      </c>
      <c r="E310" s="6">
        <v>2</v>
      </c>
      <c r="F310" s="6">
        <v>5660</v>
      </c>
      <c r="G310" s="6">
        <v>5</v>
      </c>
      <c r="H310" s="6">
        <v>3</v>
      </c>
      <c r="I310" s="6" t="s">
        <v>13</v>
      </c>
      <c r="J310" s="6" t="str">
        <f>IF(Employee[[#This Row],[Attrition]]="Yes","Resigned","Active")</f>
        <v>Active</v>
      </c>
    </row>
    <row r="311" spans="1:10" x14ac:dyDescent="0.25">
      <c r="A311" s="6">
        <v>423</v>
      </c>
      <c r="B311" s="6">
        <v>31</v>
      </c>
      <c r="C311" s="5" t="s">
        <v>11</v>
      </c>
      <c r="D311" s="5" t="s">
        <v>12</v>
      </c>
      <c r="E311" s="6">
        <v>1</v>
      </c>
      <c r="F311" s="6">
        <v>4821</v>
      </c>
      <c r="G311" s="6">
        <v>5</v>
      </c>
      <c r="H311" s="6">
        <v>3</v>
      </c>
      <c r="I311" s="6" t="s">
        <v>13</v>
      </c>
      <c r="J311" s="6" t="str">
        <f>IF(Employee[[#This Row],[Attrition]]="Yes","Resigned","Active")</f>
        <v>Active</v>
      </c>
    </row>
    <row r="312" spans="1:10" x14ac:dyDescent="0.25">
      <c r="A312" s="6">
        <v>424</v>
      </c>
      <c r="B312" s="6">
        <v>31</v>
      </c>
      <c r="C312" s="5" t="s">
        <v>20</v>
      </c>
      <c r="D312" s="5" t="s">
        <v>20</v>
      </c>
      <c r="E312" s="6">
        <v>2</v>
      </c>
      <c r="F312" s="6">
        <v>6410</v>
      </c>
      <c r="G312" s="6">
        <v>2</v>
      </c>
      <c r="H312" s="6">
        <v>3</v>
      </c>
      <c r="I312" s="6" t="s">
        <v>13</v>
      </c>
      <c r="J312" s="6" t="str">
        <f>IF(Employee[[#This Row],[Attrition]]="Yes","Resigned","Active")</f>
        <v>Active</v>
      </c>
    </row>
    <row r="313" spans="1:10" x14ac:dyDescent="0.25">
      <c r="A313" s="6">
        <v>425</v>
      </c>
      <c r="B313" s="6">
        <v>45</v>
      </c>
      <c r="C313" s="5" t="s">
        <v>11</v>
      </c>
      <c r="D313" s="5" t="s">
        <v>14</v>
      </c>
      <c r="E313" s="6">
        <v>3</v>
      </c>
      <c r="F313" s="6">
        <v>5210</v>
      </c>
      <c r="G313" s="6">
        <v>24</v>
      </c>
      <c r="H313" s="6">
        <v>3</v>
      </c>
      <c r="I313" s="6" t="s">
        <v>13</v>
      </c>
      <c r="J313" s="6" t="str">
        <f>IF(Employee[[#This Row],[Attrition]]="Yes","Resigned","Active")</f>
        <v>Active</v>
      </c>
    </row>
    <row r="314" spans="1:10" x14ac:dyDescent="0.25">
      <c r="A314" s="6">
        <v>426</v>
      </c>
      <c r="B314" s="6">
        <v>31</v>
      </c>
      <c r="C314" s="5" t="s">
        <v>11</v>
      </c>
      <c r="D314" s="5" t="s">
        <v>12</v>
      </c>
      <c r="E314" s="6">
        <v>1</v>
      </c>
      <c r="F314" s="6">
        <v>2695</v>
      </c>
      <c r="G314" s="6">
        <v>2</v>
      </c>
      <c r="H314" s="6">
        <v>1</v>
      </c>
      <c r="I314" s="6" t="s">
        <v>13</v>
      </c>
      <c r="J314" s="6" t="str">
        <f>IF(Employee[[#This Row],[Attrition]]="Yes","Resigned","Active")</f>
        <v>Active</v>
      </c>
    </row>
    <row r="315" spans="1:10" x14ac:dyDescent="0.25">
      <c r="A315" s="6">
        <v>428</v>
      </c>
      <c r="B315" s="6">
        <v>33</v>
      </c>
      <c r="C315" s="5" t="s">
        <v>11</v>
      </c>
      <c r="D315" s="5" t="s">
        <v>17</v>
      </c>
      <c r="E315" s="6">
        <v>3</v>
      </c>
      <c r="F315" s="6">
        <v>11878</v>
      </c>
      <c r="G315" s="6">
        <v>10</v>
      </c>
      <c r="H315" s="6">
        <v>3</v>
      </c>
      <c r="I315" s="6" t="s">
        <v>13</v>
      </c>
      <c r="J315" s="6" t="str">
        <f>IF(Employee[[#This Row],[Attrition]]="Yes","Resigned","Active")</f>
        <v>Active</v>
      </c>
    </row>
    <row r="316" spans="1:10" x14ac:dyDescent="0.25">
      <c r="A316" s="6">
        <v>429</v>
      </c>
      <c r="B316" s="6">
        <v>39</v>
      </c>
      <c r="C316" s="5" t="s">
        <v>11</v>
      </c>
      <c r="D316" s="5" t="s">
        <v>17</v>
      </c>
      <c r="E316" s="6">
        <v>4</v>
      </c>
      <c r="F316" s="6">
        <v>17068</v>
      </c>
      <c r="G316" s="6">
        <v>21</v>
      </c>
      <c r="H316" s="6">
        <v>3</v>
      </c>
      <c r="I316" s="6" t="s">
        <v>13</v>
      </c>
      <c r="J316" s="6" t="str">
        <f>IF(Employee[[#This Row],[Attrition]]="Yes","Resigned","Active")</f>
        <v>Active</v>
      </c>
    </row>
    <row r="317" spans="1:10" x14ac:dyDescent="0.25">
      <c r="A317" s="6">
        <v>430</v>
      </c>
      <c r="B317" s="6">
        <v>43</v>
      </c>
      <c r="C317" s="5" t="s">
        <v>11</v>
      </c>
      <c r="D317" s="5" t="s">
        <v>14</v>
      </c>
      <c r="E317" s="6">
        <v>1</v>
      </c>
      <c r="F317" s="6">
        <v>2455</v>
      </c>
      <c r="G317" s="6">
        <v>8</v>
      </c>
      <c r="H317" s="6">
        <v>3</v>
      </c>
      <c r="I317" s="6" t="s">
        <v>13</v>
      </c>
      <c r="J317" s="6" t="str">
        <f>IF(Employee[[#This Row],[Attrition]]="Yes","Resigned","Active")</f>
        <v>Active</v>
      </c>
    </row>
    <row r="318" spans="1:10" x14ac:dyDescent="0.25">
      <c r="A318" s="6">
        <v>431</v>
      </c>
      <c r="B318" s="6">
        <v>49</v>
      </c>
      <c r="C318" s="5" t="s">
        <v>11</v>
      </c>
      <c r="D318" s="5" t="s">
        <v>16</v>
      </c>
      <c r="E318" s="6">
        <v>4</v>
      </c>
      <c r="F318" s="6">
        <v>13964</v>
      </c>
      <c r="G318" s="6">
        <v>7</v>
      </c>
      <c r="H318" s="6">
        <v>3</v>
      </c>
      <c r="I318" s="6" t="s">
        <v>13</v>
      </c>
      <c r="J318" s="6" t="str">
        <f>IF(Employee[[#This Row],[Attrition]]="Yes","Resigned","Active")</f>
        <v>Active</v>
      </c>
    </row>
    <row r="319" spans="1:10" x14ac:dyDescent="0.25">
      <c r="A319" s="6">
        <v>433</v>
      </c>
      <c r="B319" s="6">
        <v>52</v>
      </c>
      <c r="C319" s="5" t="s">
        <v>11</v>
      </c>
      <c r="D319" s="5" t="s">
        <v>12</v>
      </c>
      <c r="E319" s="6">
        <v>2</v>
      </c>
      <c r="F319" s="6">
        <v>4941</v>
      </c>
      <c r="G319" s="6">
        <v>8</v>
      </c>
      <c r="H319" s="6">
        <v>2</v>
      </c>
      <c r="I319" s="6" t="s">
        <v>10</v>
      </c>
      <c r="J319" s="6" t="str">
        <f>IF(Employee[[#This Row],[Attrition]]="Yes","Resigned","Active")</f>
        <v>Resigned</v>
      </c>
    </row>
    <row r="320" spans="1:10" x14ac:dyDescent="0.25">
      <c r="A320" s="6">
        <v>434</v>
      </c>
      <c r="B320" s="6">
        <v>27</v>
      </c>
      <c r="C320" s="5" t="s">
        <v>11</v>
      </c>
      <c r="D320" s="5" t="s">
        <v>12</v>
      </c>
      <c r="E320" s="6">
        <v>1</v>
      </c>
      <c r="F320" s="6">
        <v>2478</v>
      </c>
      <c r="G320" s="6">
        <v>4</v>
      </c>
      <c r="H320" s="6">
        <v>2</v>
      </c>
      <c r="I320" s="6" t="s">
        <v>13</v>
      </c>
      <c r="J320" s="6" t="str">
        <f>IF(Employee[[#This Row],[Attrition]]="Yes","Resigned","Active")</f>
        <v>Active</v>
      </c>
    </row>
    <row r="321" spans="1:10" x14ac:dyDescent="0.25">
      <c r="A321" s="6">
        <v>436</v>
      </c>
      <c r="B321" s="6">
        <v>32</v>
      </c>
      <c r="C321" s="5" t="s">
        <v>8</v>
      </c>
      <c r="D321" s="5" t="s">
        <v>9</v>
      </c>
      <c r="E321" s="6">
        <v>2</v>
      </c>
      <c r="F321" s="6">
        <v>5228</v>
      </c>
      <c r="G321" s="6">
        <v>13</v>
      </c>
      <c r="H321" s="6">
        <v>3</v>
      </c>
      <c r="I321" s="6" t="s">
        <v>13</v>
      </c>
      <c r="J321" s="6" t="str">
        <f>IF(Employee[[#This Row],[Attrition]]="Yes","Resigned","Active")</f>
        <v>Active</v>
      </c>
    </row>
    <row r="322" spans="1:10" x14ac:dyDescent="0.25">
      <c r="A322" s="6">
        <v>437</v>
      </c>
      <c r="B322" s="6">
        <v>27</v>
      </c>
      <c r="C322" s="5" t="s">
        <v>8</v>
      </c>
      <c r="D322" s="5" t="s">
        <v>9</v>
      </c>
      <c r="E322" s="6">
        <v>2</v>
      </c>
      <c r="F322" s="6">
        <v>4478</v>
      </c>
      <c r="G322" s="6">
        <v>5</v>
      </c>
      <c r="H322" s="6">
        <v>3</v>
      </c>
      <c r="I322" s="6" t="s">
        <v>13</v>
      </c>
      <c r="J322" s="6" t="str">
        <f>IF(Employee[[#This Row],[Attrition]]="Yes","Resigned","Active")</f>
        <v>Active</v>
      </c>
    </row>
    <row r="323" spans="1:10" x14ac:dyDescent="0.25">
      <c r="A323" s="6">
        <v>438</v>
      </c>
      <c r="B323" s="6">
        <v>31</v>
      </c>
      <c r="C323" s="5" t="s">
        <v>8</v>
      </c>
      <c r="D323" s="5" t="s">
        <v>9</v>
      </c>
      <c r="E323" s="6">
        <v>2</v>
      </c>
      <c r="F323" s="6">
        <v>7547</v>
      </c>
      <c r="G323" s="6">
        <v>7</v>
      </c>
      <c r="H323" s="6">
        <v>3</v>
      </c>
      <c r="I323" s="6" t="s">
        <v>13</v>
      </c>
      <c r="J323" s="6" t="str">
        <f>IF(Employee[[#This Row],[Attrition]]="Yes","Resigned","Active")</f>
        <v>Active</v>
      </c>
    </row>
    <row r="324" spans="1:10" x14ac:dyDescent="0.25">
      <c r="A324" s="6">
        <v>439</v>
      </c>
      <c r="B324" s="6">
        <v>32</v>
      </c>
      <c r="C324" s="5" t="s">
        <v>11</v>
      </c>
      <c r="D324" s="5" t="s">
        <v>12</v>
      </c>
      <c r="E324" s="6">
        <v>2</v>
      </c>
      <c r="F324" s="6">
        <v>5055</v>
      </c>
      <c r="G324" s="6">
        <v>7</v>
      </c>
      <c r="H324" s="6">
        <v>2</v>
      </c>
      <c r="I324" s="6" t="s">
        <v>13</v>
      </c>
      <c r="J324" s="6" t="str">
        <f>IF(Employee[[#This Row],[Attrition]]="Yes","Resigned","Active")</f>
        <v>Active</v>
      </c>
    </row>
    <row r="325" spans="1:10" x14ac:dyDescent="0.25">
      <c r="A325" s="6">
        <v>440</v>
      </c>
      <c r="B325" s="6">
        <v>28</v>
      </c>
      <c r="C325" s="5" t="s">
        <v>11</v>
      </c>
      <c r="D325" s="5" t="s">
        <v>12</v>
      </c>
      <c r="E325" s="6">
        <v>1</v>
      </c>
      <c r="F325" s="6">
        <v>3464</v>
      </c>
      <c r="G325" s="6">
        <v>3</v>
      </c>
      <c r="H325" s="6">
        <v>2</v>
      </c>
      <c r="I325" s="6" t="s">
        <v>10</v>
      </c>
      <c r="J325" s="6" t="str">
        <f>IF(Employee[[#This Row],[Attrition]]="Yes","Resigned","Active")</f>
        <v>Resigned</v>
      </c>
    </row>
    <row r="326" spans="1:10" x14ac:dyDescent="0.25">
      <c r="A326" s="6">
        <v>441</v>
      </c>
      <c r="B326" s="6">
        <v>30</v>
      </c>
      <c r="C326" s="5" t="s">
        <v>11</v>
      </c>
      <c r="D326" s="5" t="s">
        <v>12</v>
      </c>
      <c r="E326" s="6">
        <v>2</v>
      </c>
      <c r="F326" s="6">
        <v>5775</v>
      </c>
      <c r="G326" s="6">
        <v>10</v>
      </c>
      <c r="H326" s="6">
        <v>3</v>
      </c>
      <c r="I326" s="6" t="s">
        <v>13</v>
      </c>
      <c r="J326" s="6" t="str">
        <f>IF(Employee[[#This Row],[Attrition]]="Yes","Resigned","Active")</f>
        <v>Active</v>
      </c>
    </row>
    <row r="327" spans="1:10" x14ac:dyDescent="0.25">
      <c r="A327" s="6">
        <v>442</v>
      </c>
      <c r="B327" s="6">
        <v>31</v>
      </c>
      <c r="C327" s="5" t="s">
        <v>11</v>
      </c>
      <c r="D327" s="5" t="s">
        <v>15</v>
      </c>
      <c r="E327" s="6">
        <v>3</v>
      </c>
      <c r="F327" s="6">
        <v>8943</v>
      </c>
      <c r="G327" s="6">
        <v>10</v>
      </c>
      <c r="H327" s="6">
        <v>3</v>
      </c>
      <c r="I327" s="6" t="s">
        <v>13</v>
      </c>
      <c r="J327" s="6" t="str">
        <f>IF(Employee[[#This Row],[Attrition]]="Yes","Resigned","Active")</f>
        <v>Active</v>
      </c>
    </row>
    <row r="328" spans="1:10" x14ac:dyDescent="0.25">
      <c r="A328" s="6">
        <v>444</v>
      </c>
      <c r="B328" s="6">
        <v>39</v>
      </c>
      <c r="C328" s="5" t="s">
        <v>11</v>
      </c>
      <c r="D328" s="5" t="s">
        <v>17</v>
      </c>
      <c r="E328" s="6">
        <v>5</v>
      </c>
      <c r="F328" s="6">
        <v>19272</v>
      </c>
      <c r="G328" s="6">
        <v>21</v>
      </c>
      <c r="H328" s="6">
        <v>3</v>
      </c>
      <c r="I328" s="6" t="s">
        <v>13</v>
      </c>
      <c r="J328" s="6" t="str">
        <f>IF(Employee[[#This Row],[Attrition]]="Yes","Resigned","Active")</f>
        <v>Active</v>
      </c>
    </row>
    <row r="329" spans="1:10" x14ac:dyDescent="0.25">
      <c r="A329" s="6">
        <v>445</v>
      </c>
      <c r="B329" s="6">
        <v>39</v>
      </c>
      <c r="C329" s="5" t="s">
        <v>8</v>
      </c>
      <c r="D329" s="5" t="s">
        <v>9</v>
      </c>
      <c r="E329" s="6">
        <v>2</v>
      </c>
      <c r="F329" s="6">
        <v>5238</v>
      </c>
      <c r="G329" s="6">
        <v>1</v>
      </c>
      <c r="H329" s="6">
        <v>2</v>
      </c>
      <c r="I329" s="6" t="s">
        <v>10</v>
      </c>
      <c r="J329" s="6" t="str">
        <f>IF(Employee[[#This Row],[Attrition]]="Yes","Resigned","Active")</f>
        <v>Resigned</v>
      </c>
    </row>
    <row r="330" spans="1:10" x14ac:dyDescent="0.25">
      <c r="A330" s="6">
        <v>446</v>
      </c>
      <c r="B330" s="6">
        <v>33</v>
      </c>
      <c r="C330" s="5" t="s">
        <v>8</v>
      </c>
      <c r="D330" s="5" t="s">
        <v>9</v>
      </c>
      <c r="E330" s="6">
        <v>2</v>
      </c>
      <c r="F330" s="6">
        <v>4682</v>
      </c>
      <c r="G330" s="6">
        <v>7</v>
      </c>
      <c r="H330" s="6">
        <v>2</v>
      </c>
      <c r="I330" s="6" t="s">
        <v>13</v>
      </c>
      <c r="J330" s="6" t="str">
        <f>IF(Employee[[#This Row],[Attrition]]="Yes","Resigned","Active")</f>
        <v>Active</v>
      </c>
    </row>
    <row r="331" spans="1:10" x14ac:dyDescent="0.25">
      <c r="A331" s="6">
        <v>447</v>
      </c>
      <c r="B331" s="6">
        <v>47</v>
      </c>
      <c r="C331" s="5" t="s">
        <v>11</v>
      </c>
      <c r="D331" s="5" t="s">
        <v>19</v>
      </c>
      <c r="E331" s="6">
        <v>5</v>
      </c>
      <c r="F331" s="6">
        <v>18300</v>
      </c>
      <c r="G331" s="6">
        <v>3</v>
      </c>
      <c r="H331" s="6">
        <v>3</v>
      </c>
      <c r="I331" s="6" t="s">
        <v>13</v>
      </c>
      <c r="J331" s="6" t="str">
        <f>IF(Employee[[#This Row],[Attrition]]="Yes","Resigned","Active")</f>
        <v>Active</v>
      </c>
    </row>
    <row r="332" spans="1:10" x14ac:dyDescent="0.25">
      <c r="A332" s="6">
        <v>448</v>
      </c>
      <c r="B332" s="6">
        <v>43</v>
      </c>
      <c r="C332" s="5" t="s">
        <v>11</v>
      </c>
      <c r="D332" s="5" t="s">
        <v>14</v>
      </c>
      <c r="E332" s="6">
        <v>2</v>
      </c>
      <c r="F332" s="6">
        <v>5257</v>
      </c>
      <c r="G332" s="6">
        <v>9</v>
      </c>
      <c r="H332" s="6">
        <v>4</v>
      </c>
      <c r="I332" s="6" t="s">
        <v>13</v>
      </c>
      <c r="J332" s="6" t="str">
        <f>IF(Employee[[#This Row],[Attrition]]="Yes","Resigned","Active")</f>
        <v>Active</v>
      </c>
    </row>
    <row r="333" spans="1:10" x14ac:dyDescent="0.25">
      <c r="A333" s="6">
        <v>449</v>
      </c>
      <c r="B333" s="6">
        <v>27</v>
      </c>
      <c r="C333" s="5" t="s">
        <v>8</v>
      </c>
      <c r="D333" s="5" t="s">
        <v>9</v>
      </c>
      <c r="E333" s="6">
        <v>2</v>
      </c>
      <c r="F333" s="6">
        <v>6349</v>
      </c>
      <c r="G333" s="6">
        <v>5</v>
      </c>
      <c r="H333" s="6">
        <v>3</v>
      </c>
      <c r="I333" s="6" t="s">
        <v>13</v>
      </c>
      <c r="J333" s="6" t="str">
        <f>IF(Employee[[#This Row],[Attrition]]="Yes","Resigned","Active")</f>
        <v>Active</v>
      </c>
    </row>
    <row r="334" spans="1:10" x14ac:dyDescent="0.25">
      <c r="A334" s="6">
        <v>450</v>
      </c>
      <c r="B334" s="6">
        <v>54</v>
      </c>
      <c r="C334" s="5" t="s">
        <v>11</v>
      </c>
      <c r="D334" s="5" t="s">
        <v>12</v>
      </c>
      <c r="E334" s="6">
        <v>2</v>
      </c>
      <c r="F334" s="6">
        <v>4869</v>
      </c>
      <c r="G334" s="6">
        <v>4</v>
      </c>
      <c r="H334" s="6">
        <v>2</v>
      </c>
      <c r="I334" s="6" t="s">
        <v>13</v>
      </c>
      <c r="J334" s="6" t="str">
        <f>IF(Employee[[#This Row],[Attrition]]="Yes","Resigned","Active")</f>
        <v>Active</v>
      </c>
    </row>
    <row r="335" spans="1:10" x14ac:dyDescent="0.25">
      <c r="A335" s="6">
        <v>451</v>
      </c>
      <c r="B335" s="6">
        <v>43</v>
      </c>
      <c r="C335" s="5" t="s">
        <v>11</v>
      </c>
      <c r="D335" s="5" t="s">
        <v>16</v>
      </c>
      <c r="E335" s="6">
        <v>3</v>
      </c>
      <c r="F335" s="6">
        <v>9985</v>
      </c>
      <c r="G335" s="6">
        <v>1</v>
      </c>
      <c r="H335" s="6">
        <v>2</v>
      </c>
      <c r="I335" s="6" t="s">
        <v>13</v>
      </c>
      <c r="J335" s="6" t="str">
        <f>IF(Employee[[#This Row],[Attrition]]="Yes","Resigned","Active")</f>
        <v>Active</v>
      </c>
    </row>
    <row r="336" spans="1:10" x14ac:dyDescent="0.25">
      <c r="A336" s="6">
        <v>452</v>
      </c>
      <c r="B336" s="6">
        <v>45</v>
      </c>
      <c r="C336" s="5" t="s">
        <v>11</v>
      </c>
      <c r="D336" s="5" t="s">
        <v>12</v>
      </c>
      <c r="E336" s="6">
        <v>2</v>
      </c>
      <c r="F336" s="6">
        <v>3697</v>
      </c>
      <c r="G336" s="6">
        <v>10</v>
      </c>
      <c r="H336" s="6">
        <v>3</v>
      </c>
      <c r="I336" s="6" t="s">
        <v>13</v>
      </c>
      <c r="J336" s="6" t="str">
        <f>IF(Employee[[#This Row],[Attrition]]="Yes","Resigned","Active")</f>
        <v>Active</v>
      </c>
    </row>
    <row r="337" spans="1:10" x14ac:dyDescent="0.25">
      <c r="A337" s="6">
        <v>453</v>
      </c>
      <c r="B337" s="6">
        <v>40</v>
      </c>
      <c r="C337" s="5" t="s">
        <v>8</v>
      </c>
      <c r="D337" s="5" t="s">
        <v>9</v>
      </c>
      <c r="E337" s="6">
        <v>2</v>
      </c>
      <c r="F337" s="6">
        <v>7457</v>
      </c>
      <c r="G337" s="6">
        <v>4</v>
      </c>
      <c r="H337" s="6">
        <v>2</v>
      </c>
      <c r="I337" s="6" t="s">
        <v>13</v>
      </c>
      <c r="J337" s="6" t="str">
        <f>IF(Employee[[#This Row],[Attrition]]="Yes","Resigned","Active")</f>
        <v>Active</v>
      </c>
    </row>
    <row r="338" spans="1:10" x14ac:dyDescent="0.25">
      <c r="A338" s="6">
        <v>454</v>
      </c>
      <c r="B338" s="6">
        <v>29</v>
      </c>
      <c r="C338" s="5" t="s">
        <v>11</v>
      </c>
      <c r="D338" s="5" t="s">
        <v>14</v>
      </c>
      <c r="E338" s="6">
        <v>1</v>
      </c>
      <c r="F338" s="6">
        <v>2119</v>
      </c>
      <c r="G338" s="6">
        <v>7</v>
      </c>
      <c r="H338" s="6">
        <v>2</v>
      </c>
      <c r="I338" s="6" t="s">
        <v>10</v>
      </c>
      <c r="J338" s="6" t="str">
        <f>IF(Employee[[#This Row],[Attrition]]="Yes","Resigned","Active")</f>
        <v>Resigned</v>
      </c>
    </row>
    <row r="339" spans="1:10" x14ac:dyDescent="0.25">
      <c r="A339" s="6">
        <v>455</v>
      </c>
      <c r="B339" s="6">
        <v>29</v>
      </c>
      <c r="C339" s="5" t="s">
        <v>11</v>
      </c>
      <c r="D339" s="5" t="s">
        <v>14</v>
      </c>
      <c r="E339" s="6">
        <v>1</v>
      </c>
      <c r="F339" s="6">
        <v>3983</v>
      </c>
      <c r="G339" s="6">
        <v>3</v>
      </c>
      <c r="H339" s="6">
        <v>3</v>
      </c>
      <c r="I339" s="6" t="s">
        <v>13</v>
      </c>
      <c r="J339" s="6" t="str">
        <f>IF(Employee[[#This Row],[Attrition]]="Yes","Resigned","Active")</f>
        <v>Active</v>
      </c>
    </row>
    <row r="340" spans="1:10" x14ac:dyDescent="0.25">
      <c r="A340" s="6">
        <v>456</v>
      </c>
      <c r="B340" s="6">
        <v>30</v>
      </c>
      <c r="C340" s="5" t="s">
        <v>8</v>
      </c>
      <c r="D340" s="5" t="s">
        <v>9</v>
      </c>
      <c r="E340" s="6">
        <v>2</v>
      </c>
      <c r="F340" s="6">
        <v>6118</v>
      </c>
      <c r="G340" s="6">
        <v>10</v>
      </c>
      <c r="H340" s="6">
        <v>3</v>
      </c>
      <c r="I340" s="6" t="s">
        <v>13</v>
      </c>
      <c r="J340" s="6" t="str">
        <f>IF(Employee[[#This Row],[Attrition]]="Yes","Resigned","Active")</f>
        <v>Active</v>
      </c>
    </row>
    <row r="341" spans="1:10" x14ac:dyDescent="0.25">
      <c r="A341" s="6">
        <v>458</v>
      </c>
      <c r="B341" s="6">
        <v>27</v>
      </c>
      <c r="C341" s="5" t="s">
        <v>8</v>
      </c>
      <c r="D341" s="5" t="s">
        <v>9</v>
      </c>
      <c r="E341" s="6">
        <v>2</v>
      </c>
      <c r="F341" s="6">
        <v>6214</v>
      </c>
      <c r="G341" s="6">
        <v>8</v>
      </c>
      <c r="H341" s="6">
        <v>3</v>
      </c>
      <c r="I341" s="6" t="s">
        <v>13</v>
      </c>
      <c r="J341" s="6" t="str">
        <f>IF(Employee[[#This Row],[Attrition]]="Yes","Resigned","Active")</f>
        <v>Active</v>
      </c>
    </row>
    <row r="342" spans="1:10" x14ac:dyDescent="0.25">
      <c r="A342" s="6">
        <v>460</v>
      </c>
      <c r="B342" s="6">
        <v>37</v>
      </c>
      <c r="C342" s="5" t="s">
        <v>11</v>
      </c>
      <c r="D342" s="5" t="s">
        <v>15</v>
      </c>
      <c r="E342" s="6">
        <v>2</v>
      </c>
      <c r="F342" s="6">
        <v>6347</v>
      </c>
      <c r="G342" s="6">
        <v>6</v>
      </c>
      <c r="H342" s="6">
        <v>2</v>
      </c>
      <c r="I342" s="6" t="s">
        <v>13</v>
      </c>
      <c r="J342" s="6" t="str">
        <f>IF(Employee[[#This Row],[Attrition]]="Yes","Resigned","Active")</f>
        <v>Active</v>
      </c>
    </row>
    <row r="343" spans="1:10" x14ac:dyDescent="0.25">
      <c r="A343" s="6">
        <v>461</v>
      </c>
      <c r="B343" s="6">
        <v>38</v>
      </c>
      <c r="C343" s="5" t="s">
        <v>11</v>
      </c>
      <c r="D343" s="5" t="s">
        <v>19</v>
      </c>
      <c r="E343" s="6">
        <v>3</v>
      </c>
      <c r="F343" s="6">
        <v>11510</v>
      </c>
      <c r="G343" s="6">
        <v>11</v>
      </c>
      <c r="H343" s="6">
        <v>3</v>
      </c>
      <c r="I343" s="6" t="s">
        <v>13</v>
      </c>
      <c r="J343" s="6" t="str">
        <f>IF(Employee[[#This Row],[Attrition]]="Yes","Resigned","Active")</f>
        <v>Active</v>
      </c>
    </row>
    <row r="344" spans="1:10" x14ac:dyDescent="0.25">
      <c r="A344" s="6">
        <v>462</v>
      </c>
      <c r="B344" s="6">
        <v>31</v>
      </c>
      <c r="C344" s="5" t="s">
        <v>11</v>
      </c>
      <c r="D344" s="5" t="s">
        <v>15</v>
      </c>
      <c r="E344" s="6">
        <v>3</v>
      </c>
      <c r="F344" s="6">
        <v>7143</v>
      </c>
      <c r="G344" s="6">
        <v>11</v>
      </c>
      <c r="H344" s="6">
        <v>2</v>
      </c>
      <c r="I344" s="6" t="s">
        <v>13</v>
      </c>
      <c r="J344" s="6" t="str">
        <f>IF(Employee[[#This Row],[Attrition]]="Yes","Resigned","Active")</f>
        <v>Active</v>
      </c>
    </row>
    <row r="345" spans="1:10" x14ac:dyDescent="0.25">
      <c r="A345" s="6">
        <v>463</v>
      </c>
      <c r="B345" s="6">
        <v>29</v>
      </c>
      <c r="C345" s="5" t="s">
        <v>8</v>
      </c>
      <c r="D345" s="5" t="s">
        <v>9</v>
      </c>
      <c r="E345" s="6">
        <v>2</v>
      </c>
      <c r="F345" s="6">
        <v>8268</v>
      </c>
      <c r="G345" s="6">
        <v>7</v>
      </c>
      <c r="H345" s="6">
        <v>3</v>
      </c>
      <c r="I345" s="6" t="s">
        <v>13</v>
      </c>
      <c r="J345" s="6" t="str">
        <f>IF(Employee[[#This Row],[Attrition]]="Yes","Resigned","Active")</f>
        <v>Active</v>
      </c>
    </row>
    <row r="346" spans="1:10" x14ac:dyDescent="0.25">
      <c r="A346" s="6">
        <v>464</v>
      </c>
      <c r="B346" s="6">
        <v>35</v>
      </c>
      <c r="C346" s="5" t="s">
        <v>11</v>
      </c>
      <c r="D346" s="5" t="s">
        <v>15</v>
      </c>
      <c r="E346" s="6">
        <v>3</v>
      </c>
      <c r="F346" s="6">
        <v>8095</v>
      </c>
      <c r="G346" s="6">
        <v>16</v>
      </c>
      <c r="H346" s="6">
        <v>3</v>
      </c>
      <c r="I346" s="6" t="s">
        <v>13</v>
      </c>
      <c r="J346" s="6" t="str">
        <f>IF(Employee[[#This Row],[Attrition]]="Yes","Resigned","Active")</f>
        <v>Active</v>
      </c>
    </row>
    <row r="347" spans="1:10" x14ac:dyDescent="0.25">
      <c r="A347" s="6">
        <v>465</v>
      </c>
      <c r="B347" s="6">
        <v>23</v>
      </c>
      <c r="C347" s="5" t="s">
        <v>11</v>
      </c>
      <c r="D347" s="5" t="s">
        <v>12</v>
      </c>
      <c r="E347" s="6">
        <v>1</v>
      </c>
      <c r="F347" s="6">
        <v>2904</v>
      </c>
      <c r="G347" s="6">
        <v>4</v>
      </c>
      <c r="H347" s="6">
        <v>2</v>
      </c>
      <c r="I347" s="6" t="s">
        <v>13</v>
      </c>
      <c r="J347" s="6" t="str">
        <f>IF(Employee[[#This Row],[Attrition]]="Yes","Resigned","Active")</f>
        <v>Active</v>
      </c>
    </row>
    <row r="348" spans="1:10" x14ac:dyDescent="0.25">
      <c r="A348" s="6">
        <v>466</v>
      </c>
      <c r="B348" s="6">
        <v>41</v>
      </c>
      <c r="C348" s="5" t="s">
        <v>11</v>
      </c>
      <c r="D348" s="5" t="s">
        <v>15</v>
      </c>
      <c r="E348" s="6">
        <v>2</v>
      </c>
      <c r="F348" s="6">
        <v>6032</v>
      </c>
      <c r="G348" s="6">
        <v>5</v>
      </c>
      <c r="H348" s="6">
        <v>3</v>
      </c>
      <c r="I348" s="6" t="s">
        <v>13</v>
      </c>
      <c r="J348" s="6" t="str">
        <f>IF(Employee[[#This Row],[Attrition]]="Yes","Resigned","Active")</f>
        <v>Active</v>
      </c>
    </row>
    <row r="349" spans="1:10" x14ac:dyDescent="0.25">
      <c r="A349" s="6">
        <v>467</v>
      </c>
      <c r="B349" s="6">
        <v>47</v>
      </c>
      <c r="C349" s="5" t="s">
        <v>8</v>
      </c>
      <c r="D349" s="5" t="s">
        <v>18</v>
      </c>
      <c r="E349" s="6">
        <v>2</v>
      </c>
      <c r="F349" s="6">
        <v>2976</v>
      </c>
      <c r="G349" s="6">
        <v>0</v>
      </c>
      <c r="H349" s="6">
        <v>3</v>
      </c>
      <c r="I349" s="6" t="s">
        <v>13</v>
      </c>
      <c r="J349" s="6" t="str">
        <f>IF(Employee[[#This Row],[Attrition]]="Yes","Resigned","Active")</f>
        <v>Active</v>
      </c>
    </row>
    <row r="350" spans="1:10" x14ac:dyDescent="0.25">
      <c r="A350" s="6">
        <v>468</v>
      </c>
      <c r="B350" s="6">
        <v>42</v>
      </c>
      <c r="C350" s="5" t="s">
        <v>11</v>
      </c>
      <c r="D350" s="5" t="s">
        <v>19</v>
      </c>
      <c r="E350" s="6">
        <v>4</v>
      </c>
      <c r="F350" s="6">
        <v>15992</v>
      </c>
      <c r="G350" s="6">
        <v>1</v>
      </c>
      <c r="H350" s="6">
        <v>3</v>
      </c>
      <c r="I350" s="6" t="s">
        <v>13</v>
      </c>
      <c r="J350" s="6" t="str">
        <f>IF(Employee[[#This Row],[Attrition]]="Yes","Resigned","Active")</f>
        <v>Active</v>
      </c>
    </row>
    <row r="351" spans="1:10" x14ac:dyDescent="0.25">
      <c r="A351" s="6">
        <v>469</v>
      </c>
      <c r="B351" s="6">
        <v>29</v>
      </c>
      <c r="C351" s="5" t="s">
        <v>8</v>
      </c>
      <c r="D351" s="5" t="s">
        <v>9</v>
      </c>
      <c r="E351" s="6">
        <v>2</v>
      </c>
      <c r="F351" s="6">
        <v>4649</v>
      </c>
      <c r="G351" s="6">
        <v>4</v>
      </c>
      <c r="H351" s="6">
        <v>2</v>
      </c>
      <c r="I351" s="6" t="s">
        <v>13</v>
      </c>
      <c r="J351" s="6" t="str">
        <f>IF(Employee[[#This Row],[Attrition]]="Yes","Resigned","Active")</f>
        <v>Active</v>
      </c>
    </row>
    <row r="352" spans="1:10" x14ac:dyDescent="0.25">
      <c r="A352" s="6">
        <v>470</v>
      </c>
      <c r="B352" s="6">
        <v>42</v>
      </c>
      <c r="C352" s="5" t="s">
        <v>20</v>
      </c>
      <c r="D352" s="5" t="s">
        <v>20</v>
      </c>
      <c r="E352" s="6">
        <v>1</v>
      </c>
      <c r="F352" s="6">
        <v>2696</v>
      </c>
      <c r="G352" s="6">
        <v>3</v>
      </c>
      <c r="H352" s="6">
        <v>3</v>
      </c>
      <c r="I352" s="6" t="s">
        <v>13</v>
      </c>
      <c r="J352" s="6" t="str">
        <f>IF(Employee[[#This Row],[Attrition]]="Yes","Resigned","Active")</f>
        <v>Active</v>
      </c>
    </row>
    <row r="353" spans="1:10" x14ac:dyDescent="0.25">
      <c r="A353" s="6">
        <v>471</v>
      </c>
      <c r="B353" s="6">
        <v>32</v>
      </c>
      <c r="C353" s="5" t="s">
        <v>11</v>
      </c>
      <c r="D353" s="5" t="s">
        <v>14</v>
      </c>
      <c r="E353" s="6">
        <v>1</v>
      </c>
      <c r="F353" s="6">
        <v>2370</v>
      </c>
      <c r="G353" s="6">
        <v>8</v>
      </c>
      <c r="H353" s="6">
        <v>3</v>
      </c>
      <c r="I353" s="6" t="s">
        <v>13</v>
      </c>
      <c r="J353" s="6" t="str">
        <f>IF(Employee[[#This Row],[Attrition]]="Yes","Resigned","Active")</f>
        <v>Active</v>
      </c>
    </row>
    <row r="354" spans="1:10" x14ac:dyDescent="0.25">
      <c r="A354" s="6">
        <v>473</v>
      </c>
      <c r="B354" s="6">
        <v>48</v>
      </c>
      <c r="C354" s="5" t="s">
        <v>8</v>
      </c>
      <c r="D354" s="5" t="s">
        <v>17</v>
      </c>
      <c r="E354" s="6">
        <v>3</v>
      </c>
      <c r="F354" s="6">
        <v>12504</v>
      </c>
      <c r="G354" s="6">
        <v>0</v>
      </c>
      <c r="H354" s="6">
        <v>1</v>
      </c>
      <c r="I354" s="6" t="s">
        <v>13</v>
      </c>
      <c r="J354" s="6" t="str">
        <f>IF(Employee[[#This Row],[Attrition]]="Yes","Resigned","Active")</f>
        <v>Active</v>
      </c>
    </row>
    <row r="355" spans="1:10" x14ac:dyDescent="0.25">
      <c r="A355" s="6">
        <v>474</v>
      </c>
      <c r="B355" s="6">
        <v>37</v>
      </c>
      <c r="C355" s="5" t="s">
        <v>11</v>
      </c>
      <c r="D355" s="5" t="s">
        <v>12</v>
      </c>
      <c r="E355" s="6">
        <v>2</v>
      </c>
      <c r="F355" s="6">
        <v>5974</v>
      </c>
      <c r="G355" s="6">
        <v>7</v>
      </c>
      <c r="H355" s="6">
        <v>3</v>
      </c>
      <c r="I355" s="6" t="s">
        <v>13</v>
      </c>
      <c r="J355" s="6" t="str">
        <f>IF(Employee[[#This Row],[Attrition]]="Yes","Resigned","Active")</f>
        <v>Active</v>
      </c>
    </row>
    <row r="356" spans="1:10" x14ac:dyDescent="0.25">
      <c r="A356" s="6">
        <v>475</v>
      </c>
      <c r="B356" s="6">
        <v>30</v>
      </c>
      <c r="C356" s="5" t="s">
        <v>8</v>
      </c>
      <c r="D356" s="5" t="s">
        <v>9</v>
      </c>
      <c r="E356" s="6">
        <v>2</v>
      </c>
      <c r="F356" s="6">
        <v>4736</v>
      </c>
      <c r="G356" s="6">
        <v>2</v>
      </c>
      <c r="H356" s="6">
        <v>4</v>
      </c>
      <c r="I356" s="6" t="s">
        <v>13</v>
      </c>
      <c r="J356" s="6" t="str">
        <f>IF(Employee[[#This Row],[Attrition]]="Yes","Resigned","Active")</f>
        <v>Active</v>
      </c>
    </row>
    <row r="357" spans="1:10" x14ac:dyDescent="0.25">
      <c r="A357" s="6">
        <v>476</v>
      </c>
      <c r="B357" s="6">
        <v>26</v>
      </c>
      <c r="C357" s="5" t="s">
        <v>8</v>
      </c>
      <c r="D357" s="5" t="s">
        <v>9</v>
      </c>
      <c r="E357" s="6">
        <v>2</v>
      </c>
      <c r="F357" s="6">
        <v>5296</v>
      </c>
      <c r="G357" s="6">
        <v>8</v>
      </c>
      <c r="H357" s="6">
        <v>3</v>
      </c>
      <c r="I357" s="6" t="s">
        <v>13</v>
      </c>
      <c r="J357" s="6" t="str">
        <f>IF(Employee[[#This Row],[Attrition]]="Yes","Resigned","Active")</f>
        <v>Active</v>
      </c>
    </row>
    <row r="358" spans="1:10" x14ac:dyDescent="0.25">
      <c r="A358" s="6">
        <v>477</v>
      </c>
      <c r="B358" s="6">
        <v>42</v>
      </c>
      <c r="C358" s="5" t="s">
        <v>11</v>
      </c>
      <c r="D358" s="5" t="s">
        <v>16</v>
      </c>
      <c r="E358" s="6">
        <v>2</v>
      </c>
      <c r="F358" s="6">
        <v>6781</v>
      </c>
      <c r="G358" s="6">
        <v>1</v>
      </c>
      <c r="H358" s="6">
        <v>3</v>
      </c>
      <c r="I358" s="6" t="s">
        <v>13</v>
      </c>
      <c r="J358" s="6" t="str">
        <f>IF(Employee[[#This Row],[Attrition]]="Yes","Resigned","Active")</f>
        <v>Active</v>
      </c>
    </row>
    <row r="359" spans="1:10" x14ac:dyDescent="0.25">
      <c r="A359" s="6">
        <v>478</v>
      </c>
      <c r="B359" s="6">
        <v>21</v>
      </c>
      <c r="C359" s="5" t="s">
        <v>8</v>
      </c>
      <c r="D359" s="5" t="s">
        <v>18</v>
      </c>
      <c r="E359" s="6">
        <v>1</v>
      </c>
      <c r="F359" s="6">
        <v>2174</v>
      </c>
      <c r="G359" s="6">
        <v>3</v>
      </c>
      <c r="H359" s="6">
        <v>3</v>
      </c>
      <c r="I359" s="6" t="s">
        <v>10</v>
      </c>
      <c r="J359" s="6" t="str">
        <f>IF(Employee[[#This Row],[Attrition]]="Yes","Resigned","Active")</f>
        <v>Resigned</v>
      </c>
    </row>
    <row r="360" spans="1:10" x14ac:dyDescent="0.25">
      <c r="A360" s="6">
        <v>479</v>
      </c>
      <c r="B360" s="6">
        <v>36</v>
      </c>
      <c r="C360" s="5" t="s">
        <v>8</v>
      </c>
      <c r="D360" s="5" t="s">
        <v>9</v>
      </c>
      <c r="E360" s="6">
        <v>2</v>
      </c>
      <c r="F360" s="6">
        <v>6653</v>
      </c>
      <c r="G360" s="6">
        <v>1</v>
      </c>
      <c r="H360" s="6">
        <v>3</v>
      </c>
      <c r="I360" s="6" t="s">
        <v>13</v>
      </c>
      <c r="J360" s="6" t="str">
        <f>IF(Employee[[#This Row],[Attrition]]="Yes","Resigned","Active")</f>
        <v>Active</v>
      </c>
    </row>
    <row r="361" spans="1:10" x14ac:dyDescent="0.25">
      <c r="A361" s="6">
        <v>481</v>
      </c>
      <c r="B361" s="6">
        <v>36</v>
      </c>
      <c r="C361" s="5" t="s">
        <v>8</v>
      </c>
      <c r="D361" s="5" t="s">
        <v>9</v>
      </c>
      <c r="E361" s="6">
        <v>3</v>
      </c>
      <c r="F361" s="6">
        <v>9699</v>
      </c>
      <c r="G361" s="6">
        <v>13</v>
      </c>
      <c r="H361" s="6">
        <v>3</v>
      </c>
      <c r="I361" s="6" t="s">
        <v>13</v>
      </c>
      <c r="J361" s="6" t="str">
        <f>IF(Employee[[#This Row],[Attrition]]="Yes","Resigned","Active")</f>
        <v>Active</v>
      </c>
    </row>
    <row r="362" spans="1:10" x14ac:dyDescent="0.25">
      <c r="A362" s="6">
        <v>482</v>
      </c>
      <c r="B362" s="6">
        <v>57</v>
      </c>
      <c r="C362" s="5" t="s">
        <v>11</v>
      </c>
      <c r="D362" s="5" t="s">
        <v>16</v>
      </c>
      <c r="E362" s="6">
        <v>2</v>
      </c>
      <c r="F362" s="6">
        <v>6755</v>
      </c>
      <c r="G362" s="6">
        <v>3</v>
      </c>
      <c r="H362" s="6">
        <v>3</v>
      </c>
      <c r="I362" s="6" t="s">
        <v>13</v>
      </c>
      <c r="J362" s="6" t="str">
        <f>IF(Employee[[#This Row],[Attrition]]="Yes","Resigned","Active")</f>
        <v>Active</v>
      </c>
    </row>
    <row r="363" spans="1:10" x14ac:dyDescent="0.25">
      <c r="A363" s="6">
        <v>483</v>
      </c>
      <c r="B363" s="6">
        <v>40</v>
      </c>
      <c r="C363" s="5" t="s">
        <v>11</v>
      </c>
      <c r="D363" s="5" t="s">
        <v>14</v>
      </c>
      <c r="E363" s="6">
        <v>1</v>
      </c>
      <c r="F363" s="6">
        <v>2213</v>
      </c>
      <c r="G363" s="6">
        <v>7</v>
      </c>
      <c r="H363" s="6">
        <v>3</v>
      </c>
      <c r="I363" s="6" t="s">
        <v>13</v>
      </c>
      <c r="J363" s="6" t="str">
        <f>IF(Employee[[#This Row],[Attrition]]="Yes","Resigned","Active")</f>
        <v>Active</v>
      </c>
    </row>
    <row r="364" spans="1:10" x14ac:dyDescent="0.25">
      <c r="A364" s="6">
        <v>484</v>
      </c>
      <c r="B364" s="6">
        <v>21</v>
      </c>
      <c r="C364" s="5" t="s">
        <v>8</v>
      </c>
      <c r="D364" s="5" t="s">
        <v>18</v>
      </c>
      <c r="E364" s="6">
        <v>1</v>
      </c>
      <c r="F364" s="6">
        <v>2610</v>
      </c>
      <c r="G364" s="6">
        <v>3</v>
      </c>
      <c r="H364" s="6">
        <v>2</v>
      </c>
      <c r="I364" s="6" t="s">
        <v>13</v>
      </c>
      <c r="J364" s="6" t="str">
        <f>IF(Employee[[#This Row],[Attrition]]="Yes","Resigned","Active")</f>
        <v>Active</v>
      </c>
    </row>
    <row r="365" spans="1:10" x14ac:dyDescent="0.25">
      <c r="A365" s="6">
        <v>485</v>
      </c>
      <c r="B365" s="6">
        <v>33</v>
      </c>
      <c r="C365" s="5" t="s">
        <v>8</v>
      </c>
      <c r="D365" s="5" t="s">
        <v>18</v>
      </c>
      <c r="E365" s="6">
        <v>1</v>
      </c>
      <c r="F365" s="6">
        <v>2851</v>
      </c>
      <c r="G365" s="6">
        <v>1</v>
      </c>
      <c r="H365" s="6">
        <v>3</v>
      </c>
      <c r="I365" s="6" t="s">
        <v>10</v>
      </c>
      <c r="J365" s="6" t="str">
        <f>IF(Employee[[#This Row],[Attrition]]="Yes","Resigned","Active")</f>
        <v>Resigned</v>
      </c>
    </row>
    <row r="366" spans="1:10" x14ac:dyDescent="0.25">
      <c r="A366" s="6">
        <v>486</v>
      </c>
      <c r="B366" s="6">
        <v>37</v>
      </c>
      <c r="C366" s="5" t="s">
        <v>11</v>
      </c>
      <c r="D366" s="5" t="s">
        <v>14</v>
      </c>
      <c r="E366" s="6">
        <v>1</v>
      </c>
      <c r="F366" s="6">
        <v>3452</v>
      </c>
      <c r="G366" s="6">
        <v>5</v>
      </c>
      <c r="H366" s="6">
        <v>3</v>
      </c>
      <c r="I366" s="6" t="s">
        <v>13</v>
      </c>
      <c r="J366" s="6" t="str">
        <f>IF(Employee[[#This Row],[Attrition]]="Yes","Resigned","Active")</f>
        <v>Active</v>
      </c>
    </row>
    <row r="367" spans="1:10" x14ac:dyDescent="0.25">
      <c r="A367" s="6">
        <v>487</v>
      </c>
      <c r="B367" s="6">
        <v>46</v>
      </c>
      <c r="C367" s="5" t="s">
        <v>11</v>
      </c>
      <c r="D367" s="5" t="s">
        <v>15</v>
      </c>
      <c r="E367" s="6">
        <v>2</v>
      </c>
      <c r="F367" s="6">
        <v>5258</v>
      </c>
      <c r="G367" s="6">
        <v>1</v>
      </c>
      <c r="H367" s="6">
        <v>4</v>
      </c>
      <c r="I367" s="6" t="s">
        <v>13</v>
      </c>
      <c r="J367" s="6" t="str">
        <f>IF(Employee[[#This Row],[Attrition]]="Yes","Resigned","Active")</f>
        <v>Active</v>
      </c>
    </row>
    <row r="368" spans="1:10" x14ac:dyDescent="0.25">
      <c r="A368" s="6">
        <v>488</v>
      </c>
      <c r="B368" s="6">
        <v>41</v>
      </c>
      <c r="C368" s="5" t="s">
        <v>8</v>
      </c>
      <c r="D368" s="5" t="s">
        <v>9</v>
      </c>
      <c r="E368" s="6">
        <v>2</v>
      </c>
      <c r="F368" s="6">
        <v>9355</v>
      </c>
      <c r="G368" s="6">
        <v>8</v>
      </c>
      <c r="H368" s="6">
        <v>3</v>
      </c>
      <c r="I368" s="6" t="s">
        <v>10</v>
      </c>
      <c r="J368" s="6" t="str">
        <f>IF(Employee[[#This Row],[Attrition]]="Yes","Resigned","Active")</f>
        <v>Resigned</v>
      </c>
    </row>
    <row r="369" spans="1:10" x14ac:dyDescent="0.25">
      <c r="A369" s="6">
        <v>491</v>
      </c>
      <c r="B369" s="6">
        <v>50</v>
      </c>
      <c r="C369" s="5" t="s">
        <v>11</v>
      </c>
      <c r="D369" s="5" t="s">
        <v>16</v>
      </c>
      <c r="E369" s="6">
        <v>3</v>
      </c>
      <c r="F369" s="6">
        <v>10496</v>
      </c>
      <c r="G369" s="6">
        <v>4</v>
      </c>
      <c r="H369" s="6">
        <v>3</v>
      </c>
      <c r="I369" s="6" t="s">
        <v>13</v>
      </c>
      <c r="J369" s="6" t="str">
        <f>IF(Employee[[#This Row],[Attrition]]="Yes","Resigned","Active")</f>
        <v>Active</v>
      </c>
    </row>
    <row r="370" spans="1:10" x14ac:dyDescent="0.25">
      <c r="A370" s="6">
        <v>492</v>
      </c>
      <c r="B370" s="6">
        <v>40</v>
      </c>
      <c r="C370" s="5" t="s">
        <v>8</v>
      </c>
      <c r="D370" s="5" t="s">
        <v>9</v>
      </c>
      <c r="E370" s="6">
        <v>2</v>
      </c>
      <c r="F370" s="6">
        <v>6380</v>
      </c>
      <c r="G370" s="6">
        <v>6</v>
      </c>
      <c r="H370" s="6">
        <v>3</v>
      </c>
      <c r="I370" s="6" t="s">
        <v>10</v>
      </c>
      <c r="J370" s="6" t="str">
        <f>IF(Employee[[#This Row],[Attrition]]="Yes","Resigned","Active")</f>
        <v>Resigned</v>
      </c>
    </row>
    <row r="371" spans="1:10" x14ac:dyDescent="0.25">
      <c r="A371" s="6">
        <v>493</v>
      </c>
      <c r="B371" s="6">
        <v>31</v>
      </c>
      <c r="C371" s="5" t="s">
        <v>11</v>
      </c>
      <c r="D371" s="5" t="s">
        <v>12</v>
      </c>
      <c r="E371" s="6">
        <v>1</v>
      </c>
      <c r="F371" s="6">
        <v>2657</v>
      </c>
      <c r="G371" s="6">
        <v>2</v>
      </c>
      <c r="H371" s="6">
        <v>3</v>
      </c>
      <c r="I371" s="6" t="s">
        <v>13</v>
      </c>
      <c r="J371" s="6" t="str">
        <f>IF(Employee[[#This Row],[Attrition]]="Yes","Resigned","Active")</f>
        <v>Active</v>
      </c>
    </row>
    <row r="372" spans="1:10" x14ac:dyDescent="0.25">
      <c r="A372" s="6">
        <v>494</v>
      </c>
      <c r="B372" s="6">
        <v>21</v>
      </c>
      <c r="C372" s="5" t="s">
        <v>8</v>
      </c>
      <c r="D372" s="5" t="s">
        <v>18</v>
      </c>
      <c r="E372" s="6">
        <v>1</v>
      </c>
      <c r="F372" s="6">
        <v>2716</v>
      </c>
      <c r="G372" s="6">
        <v>1</v>
      </c>
      <c r="H372" s="6">
        <v>3</v>
      </c>
      <c r="I372" s="6" t="s">
        <v>10</v>
      </c>
      <c r="J372" s="6" t="str">
        <f>IF(Employee[[#This Row],[Attrition]]="Yes","Resigned","Active")</f>
        <v>Resigned</v>
      </c>
    </row>
    <row r="373" spans="1:10" x14ac:dyDescent="0.25">
      <c r="A373" s="6">
        <v>495</v>
      </c>
      <c r="B373" s="6">
        <v>29</v>
      </c>
      <c r="C373" s="5" t="s">
        <v>11</v>
      </c>
      <c r="D373" s="5" t="s">
        <v>12</v>
      </c>
      <c r="E373" s="6">
        <v>1</v>
      </c>
      <c r="F373" s="6">
        <v>2201</v>
      </c>
      <c r="G373" s="6">
        <v>3</v>
      </c>
      <c r="H373" s="6">
        <v>3</v>
      </c>
      <c r="I373" s="6" t="s">
        <v>13</v>
      </c>
      <c r="J373" s="6" t="str">
        <f>IF(Employee[[#This Row],[Attrition]]="Yes","Resigned","Active")</f>
        <v>Active</v>
      </c>
    </row>
    <row r="374" spans="1:10" x14ac:dyDescent="0.25">
      <c r="A374" s="6">
        <v>496</v>
      </c>
      <c r="B374" s="6">
        <v>35</v>
      </c>
      <c r="C374" s="5" t="s">
        <v>11</v>
      </c>
      <c r="D374" s="5" t="s">
        <v>16</v>
      </c>
      <c r="E374" s="6">
        <v>2</v>
      </c>
      <c r="F374" s="6">
        <v>6540</v>
      </c>
      <c r="G374" s="6">
        <v>1</v>
      </c>
      <c r="H374" s="6">
        <v>3</v>
      </c>
      <c r="I374" s="6" t="s">
        <v>13</v>
      </c>
      <c r="J374" s="6" t="str">
        <f>IF(Employee[[#This Row],[Attrition]]="Yes","Resigned","Active")</f>
        <v>Active</v>
      </c>
    </row>
    <row r="375" spans="1:10" x14ac:dyDescent="0.25">
      <c r="A375" s="6">
        <v>497</v>
      </c>
      <c r="B375" s="6">
        <v>27</v>
      </c>
      <c r="C375" s="5" t="s">
        <v>11</v>
      </c>
      <c r="D375" s="5" t="s">
        <v>14</v>
      </c>
      <c r="E375" s="6">
        <v>1</v>
      </c>
      <c r="F375" s="6">
        <v>3816</v>
      </c>
      <c r="G375" s="6">
        <v>5</v>
      </c>
      <c r="H375" s="6">
        <v>3</v>
      </c>
      <c r="I375" s="6" t="s">
        <v>13</v>
      </c>
      <c r="J375" s="6" t="str">
        <f>IF(Employee[[#This Row],[Attrition]]="Yes","Resigned","Active")</f>
        <v>Active</v>
      </c>
    </row>
    <row r="376" spans="1:10" x14ac:dyDescent="0.25">
      <c r="A376" s="6">
        <v>498</v>
      </c>
      <c r="B376" s="6">
        <v>28</v>
      </c>
      <c r="C376" s="5" t="s">
        <v>8</v>
      </c>
      <c r="D376" s="5" t="s">
        <v>9</v>
      </c>
      <c r="E376" s="6">
        <v>2</v>
      </c>
      <c r="F376" s="6">
        <v>5253</v>
      </c>
      <c r="G376" s="6">
        <v>7</v>
      </c>
      <c r="H376" s="6">
        <v>3</v>
      </c>
      <c r="I376" s="6" t="s">
        <v>13</v>
      </c>
      <c r="J376" s="6" t="str">
        <f>IF(Employee[[#This Row],[Attrition]]="Yes","Resigned","Active")</f>
        <v>Active</v>
      </c>
    </row>
    <row r="377" spans="1:10" x14ac:dyDescent="0.25">
      <c r="A377" s="6">
        <v>499</v>
      </c>
      <c r="B377" s="6">
        <v>49</v>
      </c>
      <c r="C377" s="5" t="s">
        <v>11</v>
      </c>
      <c r="D377" s="5" t="s">
        <v>16</v>
      </c>
      <c r="E377" s="6">
        <v>3</v>
      </c>
      <c r="F377" s="6">
        <v>10965</v>
      </c>
      <c r="G377" s="6">
        <v>5</v>
      </c>
      <c r="H377" s="6">
        <v>3</v>
      </c>
      <c r="I377" s="6" t="s">
        <v>13</v>
      </c>
      <c r="J377" s="6" t="str">
        <f>IF(Employee[[#This Row],[Attrition]]="Yes","Resigned","Active")</f>
        <v>Active</v>
      </c>
    </row>
    <row r="378" spans="1:10" x14ac:dyDescent="0.25">
      <c r="A378" s="6">
        <v>500</v>
      </c>
      <c r="B378" s="6">
        <v>51</v>
      </c>
      <c r="C378" s="5" t="s">
        <v>8</v>
      </c>
      <c r="D378" s="5" t="s">
        <v>9</v>
      </c>
      <c r="E378" s="6">
        <v>2</v>
      </c>
      <c r="F378" s="6">
        <v>4936</v>
      </c>
      <c r="G378" s="6">
        <v>7</v>
      </c>
      <c r="H378" s="6">
        <v>2</v>
      </c>
      <c r="I378" s="6" t="s">
        <v>13</v>
      </c>
      <c r="J378" s="6" t="str">
        <f>IF(Employee[[#This Row],[Attrition]]="Yes","Resigned","Active")</f>
        <v>Active</v>
      </c>
    </row>
    <row r="379" spans="1:10" x14ac:dyDescent="0.25">
      <c r="A379" s="6">
        <v>501</v>
      </c>
      <c r="B379" s="6">
        <v>36</v>
      </c>
      <c r="C379" s="5" t="s">
        <v>11</v>
      </c>
      <c r="D379" s="5" t="s">
        <v>12</v>
      </c>
      <c r="E379" s="6">
        <v>1</v>
      </c>
      <c r="F379" s="6">
        <v>2543</v>
      </c>
      <c r="G379" s="6">
        <v>2</v>
      </c>
      <c r="H379" s="6">
        <v>3</v>
      </c>
      <c r="I379" s="6" t="s">
        <v>13</v>
      </c>
      <c r="J379" s="6" t="str">
        <f>IF(Employee[[#This Row],[Attrition]]="Yes","Resigned","Active")</f>
        <v>Active</v>
      </c>
    </row>
    <row r="380" spans="1:10" x14ac:dyDescent="0.25">
      <c r="A380" s="6">
        <v>502</v>
      </c>
      <c r="B380" s="6">
        <v>34</v>
      </c>
      <c r="C380" s="5" t="s">
        <v>8</v>
      </c>
      <c r="D380" s="5" t="s">
        <v>9</v>
      </c>
      <c r="E380" s="6">
        <v>2</v>
      </c>
      <c r="F380" s="6">
        <v>5304</v>
      </c>
      <c r="G380" s="6">
        <v>5</v>
      </c>
      <c r="H380" s="6">
        <v>2</v>
      </c>
      <c r="I380" s="6" t="s">
        <v>10</v>
      </c>
      <c r="J380" s="6" t="str">
        <f>IF(Employee[[#This Row],[Attrition]]="Yes","Resigned","Active")</f>
        <v>Resigned</v>
      </c>
    </row>
    <row r="381" spans="1:10" x14ac:dyDescent="0.25">
      <c r="A381" s="6">
        <v>505</v>
      </c>
      <c r="B381" s="6">
        <v>55</v>
      </c>
      <c r="C381" s="5" t="s">
        <v>11</v>
      </c>
      <c r="D381" s="5" t="s">
        <v>17</v>
      </c>
      <c r="E381" s="6">
        <v>4</v>
      </c>
      <c r="F381" s="6">
        <v>16659</v>
      </c>
      <c r="G381" s="6">
        <v>5</v>
      </c>
      <c r="H381" s="6">
        <v>3</v>
      </c>
      <c r="I381" s="6" t="s">
        <v>13</v>
      </c>
      <c r="J381" s="6" t="str">
        <f>IF(Employee[[#This Row],[Attrition]]="Yes","Resigned","Active")</f>
        <v>Active</v>
      </c>
    </row>
    <row r="382" spans="1:10" x14ac:dyDescent="0.25">
      <c r="A382" s="6">
        <v>507</v>
      </c>
      <c r="B382" s="6">
        <v>24</v>
      </c>
      <c r="C382" s="5" t="s">
        <v>8</v>
      </c>
      <c r="D382" s="5" t="s">
        <v>9</v>
      </c>
      <c r="E382" s="6">
        <v>2</v>
      </c>
      <c r="F382" s="6">
        <v>4260</v>
      </c>
      <c r="G382" s="6">
        <v>5</v>
      </c>
      <c r="H382" s="6">
        <v>4</v>
      </c>
      <c r="I382" s="6" t="s">
        <v>13</v>
      </c>
      <c r="J382" s="6" t="str">
        <f>IF(Employee[[#This Row],[Attrition]]="Yes","Resigned","Active")</f>
        <v>Active</v>
      </c>
    </row>
    <row r="383" spans="1:10" x14ac:dyDescent="0.25">
      <c r="A383" s="6">
        <v>508</v>
      </c>
      <c r="B383" s="6">
        <v>30</v>
      </c>
      <c r="C383" s="5" t="s">
        <v>8</v>
      </c>
      <c r="D383" s="5" t="s">
        <v>18</v>
      </c>
      <c r="E383" s="6">
        <v>1</v>
      </c>
      <c r="F383" s="6">
        <v>2476</v>
      </c>
      <c r="G383" s="6">
        <v>1</v>
      </c>
      <c r="H383" s="6">
        <v>3</v>
      </c>
      <c r="I383" s="6" t="s">
        <v>13</v>
      </c>
      <c r="J383" s="6" t="str">
        <f>IF(Employee[[#This Row],[Attrition]]="Yes","Resigned","Active")</f>
        <v>Active</v>
      </c>
    </row>
    <row r="384" spans="1:10" x14ac:dyDescent="0.25">
      <c r="A384" s="6">
        <v>510</v>
      </c>
      <c r="B384" s="6">
        <v>26</v>
      </c>
      <c r="C384" s="5" t="s">
        <v>11</v>
      </c>
      <c r="D384" s="5" t="s">
        <v>12</v>
      </c>
      <c r="E384" s="6">
        <v>1</v>
      </c>
      <c r="F384" s="6">
        <v>3102</v>
      </c>
      <c r="G384" s="6">
        <v>6</v>
      </c>
      <c r="H384" s="6">
        <v>3</v>
      </c>
      <c r="I384" s="6" t="s">
        <v>10</v>
      </c>
      <c r="J384" s="6" t="str">
        <f>IF(Employee[[#This Row],[Attrition]]="Yes","Resigned","Active")</f>
        <v>Resigned</v>
      </c>
    </row>
    <row r="385" spans="1:10" x14ac:dyDescent="0.25">
      <c r="A385" s="6">
        <v>511</v>
      </c>
      <c r="B385" s="6">
        <v>22</v>
      </c>
      <c r="C385" s="5" t="s">
        <v>11</v>
      </c>
      <c r="D385" s="5" t="s">
        <v>12</v>
      </c>
      <c r="E385" s="6">
        <v>1</v>
      </c>
      <c r="F385" s="6">
        <v>2244</v>
      </c>
      <c r="G385" s="6">
        <v>2</v>
      </c>
      <c r="H385" s="6">
        <v>3</v>
      </c>
      <c r="I385" s="6" t="s">
        <v>13</v>
      </c>
      <c r="J385" s="6" t="str">
        <f>IF(Employee[[#This Row],[Attrition]]="Yes","Resigned","Active")</f>
        <v>Active</v>
      </c>
    </row>
    <row r="386" spans="1:10" x14ac:dyDescent="0.25">
      <c r="A386" s="6">
        <v>513</v>
      </c>
      <c r="B386" s="6">
        <v>36</v>
      </c>
      <c r="C386" s="5" t="s">
        <v>8</v>
      </c>
      <c r="D386" s="5" t="s">
        <v>9</v>
      </c>
      <c r="E386" s="6">
        <v>3</v>
      </c>
      <c r="F386" s="6">
        <v>7596</v>
      </c>
      <c r="G386" s="6">
        <v>10</v>
      </c>
      <c r="H386" s="6">
        <v>3</v>
      </c>
      <c r="I386" s="6" t="s">
        <v>13</v>
      </c>
      <c r="J386" s="6" t="str">
        <f>IF(Employee[[#This Row],[Attrition]]="Yes","Resigned","Active")</f>
        <v>Active</v>
      </c>
    </row>
    <row r="387" spans="1:10" x14ac:dyDescent="0.25">
      <c r="A387" s="6">
        <v>514</v>
      </c>
      <c r="B387" s="6">
        <v>30</v>
      </c>
      <c r="C387" s="5" t="s">
        <v>11</v>
      </c>
      <c r="D387" s="5" t="s">
        <v>12</v>
      </c>
      <c r="E387" s="6">
        <v>1</v>
      </c>
      <c r="F387" s="6">
        <v>2285</v>
      </c>
      <c r="G387" s="6">
        <v>1</v>
      </c>
      <c r="H387" s="6">
        <v>3</v>
      </c>
      <c r="I387" s="6" t="s">
        <v>10</v>
      </c>
      <c r="J387" s="6" t="str">
        <f>IF(Employee[[#This Row],[Attrition]]="Yes","Resigned","Active")</f>
        <v>Resigned</v>
      </c>
    </row>
    <row r="388" spans="1:10" x14ac:dyDescent="0.25">
      <c r="A388" s="6">
        <v>515</v>
      </c>
      <c r="B388" s="6">
        <v>37</v>
      </c>
      <c r="C388" s="5" t="s">
        <v>11</v>
      </c>
      <c r="D388" s="5" t="s">
        <v>14</v>
      </c>
      <c r="E388" s="6">
        <v>1</v>
      </c>
      <c r="F388" s="6">
        <v>3034</v>
      </c>
      <c r="G388" s="6">
        <v>18</v>
      </c>
      <c r="H388" s="6">
        <v>2</v>
      </c>
      <c r="I388" s="6" t="s">
        <v>13</v>
      </c>
      <c r="J388" s="6" t="str">
        <f>IF(Employee[[#This Row],[Attrition]]="Yes","Resigned","Active")</f>
        <v>Active</v>
      </c>
    </row>
    <row r="389" spans="1:10" x14ac:dyDescent="0.25">
      <c r="A389" s="6">
        <v>516</v>
      </c>
      <c r="B389" s="6">
        <v>40</v>
      </c>
      <c r="C389" s="5" t="s">
        <v>8</v>
      </c>
      <c r="D389" s="5" t="s">
        <v>9</v>
      </c>
      <c r="E389" s="6">
        <v>2</v>
      </c>
      <c r="F389" s="6">
        <v>5715</v>
      </c>
      <c r="G389" s="6">
        <v>5</v>
      </c>
      <c r="H389" s="6">
        <v>3</v>
      </c>
      <c r="I389" s="6" t="s">
        <v>13</v>
      </c>
      <c r="J389" s="6" t="str">
        <f>IF(Employee[[#This Row],[Attrition]]="Yes","Resigned","Active")</f>
        <v>Active</v>
      </c>
    </row>
    <row r="390" spans="1:10" x14ac:dyDescent="0.25">
      <c r="A390" s="6">
        <v>517</v>
      </c>
      <c r="B390" s="6">
        <v>42</v>
      </c>
      <c r="C390" s="5" t="s">
        <v>11</v>
      </c>
      <c r="D390" s="5" t="s">
        <v>14</v>
      </c>
      <c r="E390" s="6">
        <v>1</v>
      </c>
      <c r="F390" s="6">
        <v>2576</v>
      </c>
      <c r="G390" s="6">
        <v>5</v>
      </c>
      <c r="H390" s="6">
        <v>3</v>
      </c>
      <c r="I390" s="6" t="s">
        <v>13</v>
      </c>
      <c r="J390" s="6" t="str">
        <f>IF(Employee[[#This Row],[Attrition]]="Yes","Resigned","Active")</f>
        <v>Active</v>
      </c>
    </row>
    <row r="391" spans="1:10" x14ac:dyDescent="0.25">
      <c r="A391" s="6">
        <v>518</v>
      </c>
      <c r="B391" s="6">
        <v>37</v>
      </c>
      <c r="C391" s="5" t="s">
        <v>11</v>
      </c>
      <c r="D391" s="5" t="s">
        <v>15</v>
      </c>
      <c r="E391" s="6">
        <v>2</v>
      </c>
      <c r="F391" s="6">
        <v>4197</v>
      </c>
      <c r="G391" s="6">
        <v>1</v>
      </c>
      <c r="H391" s="6">
        <v>2</v>
      </c>
      <c r="I391" s="6" t="s">
        <v>13</v>
      </c>
      <c r="J391" s="6" t="str">
        <f>IF(Employee[[#This Row],[Attrition]]="Yes","Resigned","Active")</f>
        <v>Active</v>
      </c>
    </row>
    <row r="392" spans="1:10" x14ac:dyDescent="0.25">
      <c r="A392" s="6">
        <v>520</v>
      </c>
      <c r="B392" s="6">
        <v>43</v>
      </c>
      <c r="C392" s="5" t="s">
        <v>11</v>
      </c>
      <c r="D392" s="5" t="s">
        <v>19</v>
      </c>
      <c r="E392" s="6">
        <v>4</v>
      </c>
      <c r="F392" s="6">
        <v>14336</v>
      </c>
      <c r="G392" s="6">
        <v>25</v>
      </c>
      <c r="H392" s="6">
        <v>3</v>
      </c>
      <c r="I392" s="6" t="s">
        <v>13</v>
      </c>
      <c r="J392" s="6" t="str">
        <f>IF(Employee[[#This Row],[Attrition]]="Yes","Resigned","Active")</f>
        <v>Active</v>
      </c>
    </row>
    <row r="393" spans="1:10" x14ac:dyDescent="0.25">
      <c r="A393" s="6">
        <v>521</v>
      </c>
      <c r="B393" s="6">
        <v>40</v>
      </c>
      <c r="C393" s="5" t="s">
        <v>11</v>
      </c>
      <c r="D393" s="5" t="s">
        <v>14</v>
      </c>
      <c r="E393" s="6">
        <v>2</v>
      </c>
      <c r="F393" s="6">
        <v>3448</v>
      </c>
      <c r="G393" s="6">
        <v>1</v>
      </c>
      <c r="H393" s="6">
        <v>3</v>
      </c>
      <c r="I393" s="6" t="s">
        <v>13</v>
      </c>
      <c r="J393" s="6" t="str">
        <f>IF(Employee[[#This Row],[Attrition]]="Yes","Resigned","Active")</f>
        <v>Active</v>
      </c>
    </row>
    <row r="394" spans="1:10" x14ac:dyDescent="0.25">
      <c r="A394" s="6">
        <v>522</v>
      </c>
      <c r="B394" s="6">
        <v>54</v>
      </c>
      <c r="C394" s="5" t="s">
        <v>11</v>
      </c>
      <c r="D394" s="5" t="s">
        <v>19</v>
      </c>
      <c r="E394" s="6">
        <v>5</v>
      </c>
      <c r="F394" s="6">
        <v>19406</v>
      </c>
      <c r="G394" s="6">
        <v>4</v>
      </c>
      <c r="H394" s="6">
        <v>2</v>
      </c>
      <c r="I394" s="6" t="s">
        <v>13</v>
      </c>
      <c r="J394" s="6" t="str">
        <f>IF(Employee[[#This Row],[Attrition]]="Yes","Resigned","Active")</f>
        <v>Active</v>
      </c>
    </row>
    <row r="395" spans="1:10" x14ac:dyDescent="0.25">
      <c r="A395" s="6">
        <v>523</v>
      </c>
      <c r="B395" s="6">
        <v>34</v>
      </c>
      <c r="C395" s="5" t="s">
        <v>8</v>
      </c>
      <c r="D395" s="5" t="s">
        <v>9</v>
      </c>
      <c r="E395" s="6">
        <v>2</v>
      </c>
      <c r="F395" s="6">
        <v>6538</v>
      </c>
      <c r="G395" s="6">
        <v>3</v>
      </c>
      <c r="H395" s="6">
        <v>3</v>
      </c>
      <c r="I395" s="6" t="s">
        <v>13</v>
      </c>
      <c r="J395" s="6" t="str">
        <f>IF(Employee[[#This Row],[Attrition]]="Yes","Resigned","Active")</f>
        <v>Active</v>
      </c>
    </row>
    <row r="396" spans="1:10" x14ac:dyDescent="0.25">
      <c r="A396" s="6">
        <v>524</v>
      </c>
      <c r="B396" s="6">
        <v>31</v>
      </c>
      <c r="C396" s="5" t="s">
        <v>11</v>
      </c>
      <c r="D396" s="5" t="s">
        <v>15</v>
      </c>
      <c r="E396" s="6">
        <v>2</v>
      </c>
      <c r="F396" s="6">
        <v>4306</v>
      </c>
      <c r="G396" s="6">
        <v>13</v>
      </c>
      <c r="H396" s="6">
        <v>1</v>
      </c>
      <c r="I396" s="6" t="s">
        <v>13</v>
      </c>
      <c r="J396" s="6" t="str">
        <f>IF(Employee[[#This Row],[Attrition]]="Yes","Resigned","Active")</f>
        <v>Active</v>
      </c>
    </row>
    <row r="397" spans="1:10" x14ac:dyDescent="0.25">
      <c r="A397" s="6">
        <v>525</v>
      </c>
      <c r="B397" s="6">
        <v>43</v>
      </c>
      <c r="C397" s="5" t="s">
        <v>11</v>
      </c>
      <c r="D397" s="5" t="s">
        <v>14</v>
      </c>
      <c r="E397" s="6">
        <v>1</v>
      </c>
      <c r="F397" s="6">
        <v>2258</v>
      </c>
      <c r="G397" s="6">
        <v>3</v>
      </c>
      <c r="H397" s="6">
        <v>3</v>
      </c>
      <c r="I397" s="6" t="s">
        <v>13</v>
      </c>
      <c r="J397" s="6" t="str">
        <f>IF(Employee[[#This Row],[Attrition]]="Yes","Resigned","Active")</f>
        <v>Active</v>
      </c>
    </row>
    <row r="398" spans="1:10" x14ac:dyDescent="0.25">
      <c r="A398" s="6">
        <v>526</v>
      </c>
      <c r="B398" s="6">
        <v>43</v>
      </c>
      <c r="C398" s="5" t="s">
        <v>11</v>
      </c>
      <c r="D398" s="5" t="s">
        <v>16</v>
      </c>
      <c r="E398" s="6">
        <v>2</v>
      </c>
      <c r="F398" s="6">
        <v>4522</v>
      </c>
      <c r="G398" s="6">
        <v>5</v>
      </c>
      <c r="H398" s="6">
        <v>3</v>
      </c>
      <c r="I398" s="6" t="s">
        <v>13</v>
      </c>
      <c r="J398" s="6" t="str">
        <f>IF(Employee[[#This Row],[Attrition]]="Yes","Resigned","Active")</f>
        <v>Active</v>
      </c>
    </row>
    <row r="399" spans="1:10" x14ac:dyDescent="0.25">
      <c r="A399" s="6">
        <v>527</v>
      </c>
      <c r="B399" s="6">
        <v>25</v>
      </c>
      <c r="C399" s="5" t="s">
        <v>8</v>
      </c>
      <c r="D399" s="5" t="s">
        <v>9</v>
      </c>
      <c r="E399" s="6">
        <v>2</v>
      </c>
      <c r="F399" s="6">
        <v>4487</v>
      </c>
      <c r="G399" s="6">
        <v>5</v>
      </c>
      <c r="H399" s="6">
        <v>3</v>
      </c>
      <c r="I399" s="6" t="s">
        <v>13</v>
      </c>
      <c r="J399" s="6" t="str">
        <f>IF(Employee[[#This Row],[Attrition]]="Yes","Resigned","Active")</f>
        <v>Active</v>
      </c>
    </row>
    <row r="400" spans="1:10" x14ac:dyDescent="0.25">
      <c r="A400" s="6">
        <v>529</v>
      </c>
      <c r="B400" s="6">
        <v>37</v>
      </c>
      <c r="C400" s="5" t="s">
        <v>11</v>
      </c>
      <c r="D400" s="5" t="s">
        <v>12</v>
      </c>
      <c r="E400" s="6">
        <v>2</v>
      </c>
      <c r="F400" s="6">
        <v>4449</v>
      </c>
      <c r="G400" s="6">
        <v>13</v>
      </c>
      <c r="H400" s="6">
        <v>3</v>
      </c>
      <c r="I400" s="6" t="s">
        <v>13</v>
      </c>
      <c r="J400" s="6" t="str">
        <f>IF(Employee[[#This Row],[Attrition]]="Yes","Resigned","Active")</f>
        <v>Active</v>
      </c>
    </row>
    <row r="401" spans="1:10" x14ac:dyDescent="0.25">
      <c r="A401" s="6">
        <v>530</v>
      </c>
      <c r="B401" s="6">
        <v>31</v>
      </c>
      <c r="C401" s="5" t="s">
        <v>11</v>
      </c>
      <c r="D401" s="5" t="s">
        <v>14</v>
      </c>
      <c r="E401" s="6">
        <v>1</v>
      </c>
      <c r="F401" s="6">
        <v>2218</v>
      </c>
      <c r="G401" s="6">
        <v>4</v>
      </c>
      <c r="H401" s="6">
        <v>3</v>
      </c>
      <c r="I401" s="6" t="s">
        <v>13</v>
      </c>
      <c r="J401" s="6" t="str">
        <f>IF(Employee[[#This Row],[Attrition]]="Yes","Resigned","Active")</f>
        <v>Active</v>
      </c>
    </row>
    <row r="402" spans="1:10" x14ac:dyDescent="0.25">
      <c r="A402" s="6">
        <v>531</v>
      </c>
      <c r="B402" s="6">
        <v>39</v>
      </c>
      <c r="C402" s="5" t="s">
        <v>11</v>
      </c>
      <c r="D402" s="5" t="s">
        <v>17</v>
      </c>
      <c r="E402" s="6">
        <v>5</v>
      </c>
      <c r="F402" s="6">
        <v>19197</v>
      </c>
      <c r="G402" s="6">
        <v>21</v>
      </c>
      <c r="H402" s="6">
        <v>3</v>
      </c>
      <c r="I402" s="6" t="s">
        <v>13</v>
      </c>
      <c r="J402" s="6" t="str">
        <f>IF(Employee[[#This Row],[Attrition]]="Yes","Resigned","Active")</f>
        <v>Active</v>
      </c>
    </row>
    <row r="403" spans="1:10" x14ac:dyDescent="0.25">
      <c r="A403" s="6">
        <v>532</v>
      </c>
      <c r="B403" s="6">
        <v>56</v>
      </c>
      <c r="C403" s="5" t="s">
        <v>8</v>
      </c>
      <c r="D403" s="5" t="s">
        <v>9</v>
      </c>
      <c r="E403" s="6">
        <v>4</v>
      </c>
      <c r="F403" s="6">
        <v>13212</v>
      </c>
      <c r="G403" s="6">
        <v>7</v>
      </c>
      <c r="H403" s="6">
        <v>2</v>
      </c>
      <c r="I403" s="6" t="s">
        <v>13</v>
      </c>
      <c r="J403" s="6" t="str">
        <f>IF(Employee[[#This Row],[Attrition]]="Yes","Resigned","Active")</f>
        <v>Active</v>
      </c>
    </row>
    <row r="404" spans="1:10" x14ac:dyDescent="0.25">
      <c r="A404" s="6">
        <v>533</v>
      </c>
      <c r="B404" s="6">
        <v>30</v>
      </c>
      <c r="C404" s="5" t="s">
        <v>8</v>
      </c>
      <c r="D404" s="5" t="s">
        <v>9</v>
      </c>
      <c r="E404" s="6">
        <v>2</v>
      </c>
      <c r="F404" s="6">
        <v>6577</v>
      </c>
      <c r="G404" s="6">
        <v>5</v>
      </c>
      <c r="H404" s="6">
        <v>3</v>
      </c>
      <c r="I404" s="6" t="s">
        <v>13</v>
      </c>
      <c r="J404" s="6" t="str">
        <f>IF(Employee[[#This Row],[Attrition]]="Yes","Resigned","Active")</f>
        <v>Active</v>
      </c>
    </row>
    <row r="405" spans="1:10" x14ac:dyDescent="0.25">
      <c r="A405" s="6">
        <v>534</v>
      </c>
      <c r="B405" s="6">
        <v>41</v>
      </c>
      <c r="C405" s="5" t="s">
        <v>8</v>
      </c>
      <c r="D405" s="5" t="s">
        <v>9</v>
      </c>
      <c r="E405" s="6">
        <v>3</v>
      </c>
      <c r="F405" s="6">
        <v>8392</v>
      </c>
      <c r="G405" s="6">
        <v>10</v>
      </c>
      <c r="H405" s="6">
        <v>3</v>
      </c>
      <c r="I405" s="6" t="s">
        <v>13</v>
      </c>
      <c r="J405" s="6" t="str">
        <f>IF(Employee[[#This Row],[Attrition]]="Yes","Resigned","Active")</f>
        <v>Active</v>
      </c>
    </row>
    <row r="406" spans="1:10" x14ac:dyDescent="0.25">
      <c r="A406" s="6">
        <v>536</v>
      </c>
      <c r="B406" s="6">
        <v>28</v>
      </c>
      <c r="C406" s="5" t="s">
        <v>11</v>
      </c>
      <c r="D406" s="5" t="s">
        <v>14</v>
      </c>
      <c r="E406" s="6">
        <v>2</v>
      </c>
      <c r="F406" s="6">
        <v>4558</v>
      </c>
      <c r="G406" s="6">
        <v>10</v>
      </c>
      <c r="H406" s="6">
        <v>3</v>
      </c>
      <c r="I406" s="6" t="s">
        <v>13</v>
      </c>
      <c r="J406" s="6" t="str">
        <f>IF(Employee[[#This Row],[Attrition]]="Yes","Resigned","Active")</f>
        <v>Active</v>
      </c>
    </row>
    <row r="407" spans="1:10" x14ac:dyDescent="0.25">
      <c r="A407" s="6">
        <v>538</v>
      </c>
      <c r="B407" s="6">
        <v>25</v>
      </c>
      <c r="C407" s="5" t="s">
        <v>11</v>
      </c>
      <c r="D407" s="5" t="s">
        <v>14</v>
      </c>
      <c r="E407" s="6">
        <v>1</v>
      </c>
      <c r="F407" s="6">
        <v>4031</v>
      </c>
      <c r="G407" s="6">
        <v>2</v>
      </c>
      <c r="H407" s="6">
        <v>3</v>
      </c>
      <c r="I407" s="6" t="s">
        <v>10</v>
      </c>
      <c r="J407" s="6" t="str">
        <f>IF(Employee[[#This Row],[Attrition]]="Yes","Resigned","Active")</f>
        <v>Resigned</v>
      </c>
    </row>
    <row r="408" spans="1:10" x14ac:dyDescent="0.25">
      <c r="A408" s="6">
        <v>543</v>
      </c>
      <c r="B408" s="6">
        <v>52</v>
      </c>
      <c r="C408" s="5" t="s">
        <v>11</v>
      </c>
      <c r="D408" s="5" t="s">
        <v>15</v>
      </c>
      <c r="E408" s="6">
        <v>3</v>
      </c>
      <c r="F408" s="6">
        <v>7969</v>
      </c>
      <c r="G408" s="6">
        <v>5</v>
      </c>
      <c r="H408" s="6">
        <v>3</v>
      </c>
      <c r="I408" s="6" t="s">
        <v>13</v>
      </c>
      <c r="J408" s="6" t="str">
        <f>IF(Employee[[#This Row],[Attrition]]="Yes","Resigned","Active")</f>
        <v>Active</v>
      </c>
    </row>
    <row r="409" spans="1:10" x14ac:dyDescent="0.25">
      <c r="A409" s="6">
        <v>544</v>
      </c>
      <c r="B409" s="6">
        <v>45</v>
      </c>
      <c r="C409" s="5" t="s">
        <v>11</v>
      </c>
      <c r="D409" s="5" t="s">
        <v>12</v>
      </c>
      <c r="E409" s="6">
        <v>1</v>
      </c>
      <c r="F409" s="6">
        <v>2654</v>
      </c>
      <c r="G409" s="6">
        <v>2</v>
      </c>
      <c r="H409" s="6">
        <v>2</v>
      </c>
      <c r="I409" s="6" t="s">
        <v>13</v>
      </c>
      <c r="J409" s="6" t="str">
        <f>IF(Employee[[#This Row],[Attrition]]="Yes","Resigned","Active")</f>
        <v>Active</v>
      </c>
    </row>
    <row r="410" spans="1:10" x14ac:dyDescent="0.25">
      <c r="A410" s="6">
        <v>546</v>
      </c>
      <c r="B410" s="6">
        <v>52</v>
      </c>
      <c r="C410" s="5" t="s">
        <v>11</v>
      </c>
      <c r="D410" s="5" t="s">
        <v>17</v>
      </c>
      <c r="E410" s="6">
        <v>4</v>
      </c>
      <c r="F410" s="6">
        <v>16555</v>
      </c>
      <c r="G410" s="6">
        <v>5</v>
      </c>
      <c r="H410" s="6">
        <v>1</v>
      </c>
      <c r="I410" s="6" t="s">
        <v>13</v>
      </c>
      <c r="J410" s="6" t="str">
        <f>IF(Employee[[#This Row],[Attrition]]="Yes","Resigned","Active")</f>
        <v>Active</v>
      </c>
    </row>
    <row r="411" spans="1:10" x14ac:dyDescent="0.25">
      <c r="A411" s="6">
        <v>547</v>
      </c>
      <c r="B411" s="6">
        <v>42</v>
      </c>
      <c r="C411" s="5" t="s">
        <v>11</v>
      </c>
      <c r="D411" s="5" t="s">
        <v>12</v>
      </c>
      <c r="E411" s="6">
        <v>2</v>
      </c>
      <c r="F411" s="6">
        <v>4556</v>
      </c>
      <c r="G411" s="6">
        <v>5</v>
      </c>
      <c r="H411" s="6">
        <v>3</v>
      </c>
      <c r="I411" s="6" t="s">
        <v>13</v>
      </c>
      <c r="J411" s="6" t="str">
        <f>IF(Employee[[#This Row],[Attrition]]="Yes","Resigned","Active")</f>
        <v>Active</v>
      </c>
    </row>
    <row r="412" spans="1:10" x14ac:dyDescent="0.25">
      <c r="A412" s="6">
        <v>548</v>
      </c>
      <c r="B412" s="6">
        <v>30</v>
      </c>
      <c r="C412" s="5" t="s">
        <v>11</v>
      </c>
      <c r="D412" s="5" t="s">
        <v>15</v>
      </c>
      <c r="E412" s="6">
        <v>2</v>
      </c>
      <c r="F412" s="6">
        <v>6091</v>
      </c>
      <c r="G412" s="6">
        <v>5</v>
      </c>
      <c r="H412" s="6">
        <v>3</v>
      </c>
      <c r="I412" s="6" t="s">
        <v>13</v>
      </c>
      <c r="J412" s="6" t="str">
        <f>IF(Employee[[#This Row],[Attrition]]="Yes","Resigned","Active")</f>
        <v>Active</v>
      </c>
    </row>
    <row r="413" spans="1:10" x14ac:dyDescent="0.25">
      <c r="A413" s="6">
        <v>549</v>
      </c>
      <c r="B413" s="6">
        <v>60</v>
      </c>
      <c r="C413" s="5" t="s">
        <v>11</v>
      </c>
      <c r="D413" s="5" t="s">
        <v>17</v>
      </c>
      <c r="E413" s="6">
        <v>5</v>
      </c>
      <c r="F413" s="6">
        <v>19566</v>
      </c>
      <c r="G413" s="6">
        <v>29</v>
      </c>
      <c r="H413" s="6">
        <v>1</v>
      </c>
      <c r="I413" s="6" t="s">
        <v>13</v>
      </c>
      <c r="J413" s="6" t="str">
        <f>IF(Employee[[#This Row],[Attrition]]="Yes","Resigned","Active")</f>
        <v>Active</v>
      </c>
    </row>
    <row r="414" spans="1:10" x14ac:dyDescent="0.25">
      <c r="A414" s="6">
        <v>550</v>
      </c>
      <c r="B414" s="6">
        <v>46</v>
      </c>
      <c r="C414" s="5" t="s">
        <v>11</v>
      </c>
      <c r="D414" s="5" t="s">
        <v>15</v>
      </c>
      <c r="E414" s="6">
        <v>2</v>
      </c>
      <c r="F414" s="6">
        <v>4810</v>
      </c>
      <c r="G414" s="6">
        <v>10</v>
      </c>
      <c r="H414" s="6">
        <v>2</v>
      </c>
      <c r="I414" s="6" t="s">
        <v>13</v>
      </c>
      <c r="J414" s="6" t="str">
        <f>IF(Employee[[#This Row],[Attrition]]="Yes","Resigned","Active")</f>
        <v>Active</v>
      </c>
    </row>
    <row r="415" spans="1:10" x14ac:dyDescent="0.25">
      <c r="A415" s="6">
        <v>551</v>
      </c>
      <c r="B415" s="6">
        <v>42</v>
      </c>
      <c r="C415" s="5" t="s">
        <v>11</v>
      </c>
      <c r="D415" s="5" t="s">
        <v>16</v>
      </c>
      <c r="E415" s="6">
        <v>2</v>
      </c>
      <c r="F415" s="6">
        <v>4523</v>
      </c>
      <c r="G415" s="6">
        <v>6</v>
      </c>
      <c r="H415" s="6">
        <v>4</v>
      </c>
      <c r="I415" s="6" t="s">
        <v>13</v>
      </c>
      <c r="J415" s="6" t="str">
        <f>IF(Employee[[#This Row],[Attrition]]="Yes","Resigned","Active")</f>
        <v>Active</v>
      </c>
    </row>
    <row r="416" spans="1:10" x14ac:dyDescent="0.25">
      <c r="A416" s="6">
        <v>554</v>
      </c>
      <c r="B416" s="6">
        <v>24</v>
      </c>
      <c r="C416" s="5" t="s">
        <v>8</v>
      </c>
      <c r="D416" s="5" t="s">
        <v>18</v>
      </c>
      <c r="E416" s="6">
        <v>1</v>
      </c>
      <c r="F416" s="6">
        <v>3202</v>
      </c>
      <c r="G416" s="6">
        <v>5</v>
      </c>
      <c r="H416" s="6">
        <v>3</v>
      </c>
      <c r="I416" s="6" t="s">
        <v>10</v>
      </c>
      <c r="J416" s="6" t="str">
        <f>IF(Employee[[#This Row],[Attrition]]="Yes","Resigned","Active")</f>
        <v>Resigned</v>
      </c>
    </row>
    <row r="417" spans="1:10" x14ac:dyDescent="0.25">
      <c r="A417" s="6">
        <v>555</v>
      </c>
      <c r="B417" s="6">
        <v>34</v>
      </c>
      <c r="C417" s="5" t="s">
        <v>8</v>
      </c>
      <c r="D417" s="5" t="s">
        <v>18</v>
      </c>
      <c r="E417" s="6">
        <v>1</v>
      </c>
      <c r="F417" s="6">
        <v>2351</v>
      </c>
      <c r="G417" s="6">
        <v>2</v>
      </c>
      <c r="H417" s="6">
        <v>2</v>
      </c>
      <c r="I417" s="6" t="s">
        <v>10</v>
      </c>
      <c r="J417" s="6" t="str">
        <f>IF(Employee[[#This Row],[Attrition]]="Yes","Resigned","Active")</f>
        <v>Resigned</v>
      </c>
    </row>
    <row r="418" spans="1:10" x14ac:dyDescent="0.25">
      <c r="A418" s="6">
        <v>556</v>
      </c>
      <c r="B418" s="6">
        <v>38</v>
      </c>
      <c r="C418" s="5" t="s">
        <v>11</v>
      </c>
      <c r="D418" s="5" t="s">
        <v>14</v>
      </c>
      <c r="E418" s="6">
        <v>1</v>
      </c>
      <c r="F418" s="6">
        <v>1702</v>
      </c>
      <c r="G418" s="6">
        <v>1</v>
      </c>
      <c r="H418" s="6">
        <v>3</v>
      </c>
      <c r="I418" s="6" t="s">
        <v>13</v>
      </c>
      <c r="J418" s="6" t="str">
        <f>IF(Employee[[#This Row],[Attrition]]="Yes","Resigned","Active")</f>
        <v>Active</v>
      </c>
    </row>
    <row r="419" spans="1:10" x14ac:dyDescent="0.25">
      <c r="A419" s="6">
        <v>558</v>
      </c>
      <c r="B419" s="6">
        <v>40</v>
      </c>
      <c r="C419" s="5" t="s">
        <v>8</v>
      </c>
      <c r="D419" s="5" t="s">
        <v>17</v>
      </c>
      <c r="E419" s="6">
        <v>5</v>
      </c>
      <c r="F419" s="6">
        <v>18041</v>
      </c>
      <c r="G419" s="6">
        <v>20</v>
      </c>
      <c r="H419" s="6">
        <v>3</v>
      </c>
      <c r="I419" s="6" t="s">
        <v>13</v>
      </c>
      <c r="J419" s="6" t="str">
        <f>IF(Employee[[#This Row],[Attrition]]="Yes","Resigned","Active")</f>
        <v>Active</v>
      </c>
    </row>
    <row r="420" spans="1:10" x14ac:dyDescent="0.25">
      <c r="A420" s="6">
        <v>560</v>
      </c>
      <c r="B420" s="6">
        <v>26</v>
      </c>
      <c r="C420" s="5" t="s">
        <v>11</v>
      </c>
      <c r="D420" s="5" t="s">
        <v>12</v>
      </c>
      <c r="E420" s="6">
        <v>1</v>
      </c>
      <c r="F420" s="6">
        <v>2886</v>
      </c>
      <c r="G420" s="6">
        <v>3</v>
      </c>
      <c r="H420" s="6">
        <v>1</v>
      </c>
      <c r="I420" s="6" t="s">
        <v>13</v>
      </c>
      <c r="J420" s="6" t="str">
        <f>IF(Employee[[#This Row],[Attrition]]="Yes","Resigned","Active")</f>
        <v>Active</v>
      </c>
    </row>
    <row r="421" spans="1:10" x14ac:dyDescent="0.25">
      <c r="A421" s="6">
        <v>562</v>
      </c>
      <c r="B421" s="6">
        <v>30</v>
      </c>
      <c r="C421" s="5" t="s">
        <v>11</v>
      </c>
      <c r="D421" s="5" t="s">
        <v>14</v>
      </c>
      <c r="E421" s="6">
        <v>1</v>
      </c>
      <c r="F421" s="6">
        <v>2097</v>
      </c>
      <c r="G421" s="6">
        <v>5</v>
      </c>
      <c r="H421" s="6">
        <v>1</v>
      </c>
      <c r="I421" s="6" t="s">
        <v>13</v>
      </c>
      <c r="J421" s="6" t="str">
        <f>IF(Employee[[#This Row],[Attrition]]="Yes","Resigned","Active")</f>
        <v>Active</v>
      </c>
    </row>
    <row r="422" spans="1:10" x14ac:dyDescent="0.25">
      <c r="A422" s="6">
        <v>564</v>
      </c>
      <c r="B422" s="6">
        <v>29</v>
      </c>
      <c r="C422" s="5" t="s">
        <v>11</v>
      </c>
      <c r="D422" s="5" t="s">
        <v>19</v>
      </c>
      <c r="E422" s="6">
        <v>3</v>
      </c>
      <c r="F422" s="6">
        <v>11935</v>
      </c>
      <c r="G422" s="6">
        <v>10</v>
      </c>
      <c r="H422" s="6">
        <v>3</v>
      </c>
      <c r="I422" s="6" t="s">
        <v>13</v>
      </c>
      <c r="J422" s="6" t="str">
        <f>IF(Employee[[#This Row],[Attrition]]="Yes","Resigned","Active")</f>
        <v>Active</v>
      </c>
    </row>
    <row r="423" spans="1:10" x14ac:dyDescent="0.25">
      <c r="A423" s="6">
        <v>565</v>
      </c>
      <c r="B423" s="6">
        <v>29</v>
      </c>
      <c r="C423" s="5" t="s">
        <v>11</v>
      </c>
      <c r="D423" s="5" t="s">
        <v>12</v>
      </c>
      <c r="E423" s="6">
        <v>1</v>
      </c>
      <c r="F423" s="6">
        <v>2546</v>
      </c>
      <c r="G423" s="6">
        <v>2</v>
      </c>
      <c r="H423" s="6">
        <v>4</v>
      </c>
      <c r="I423" s="6" t="s">
        <v>10</v>
      </c>
      <c r="J423" s="6" t="str">
        <f>IF(Employee[[#This Row],[Attrition]]="Yes","Resigned","Active")</f>
        <v>Resigned</v>
      </c>
    </row>
    <row r="424" spans="1:10" x14ac:dyDescent="0.25">
      <c r="A424" s="6">
        <v>566</v>
      </c>
      <c r="B424" s="6">
        <v>19</v>
      </c>
      <c r="C424" s="5" t="s">
        <v>20</v>
      </c>
      <c r="D424" s="5" t="s">
        <v>20</v>
      </c>
      <c r="E424" s="6">
        <v>1</v>
      </c>
      <c r="F424" s="6">
        <v>2564</v>
      </c>
      <c r="G424" s="6">
        <v>1</v>
      </c>
      <c r="H424" s="6">
        <v>4</v>
      </c>
      <c r="I424" s="6" t="s">
        <v>10</v>
      </c>
      <c r="J424" s="6" t="str">
        <f>IF(Employee[[#This Row],[Attrition]]="Yes","Resigned","Active")</f>
        <v>Resigned</v>
      </c>
    </row>
    <row r="425" spans="1:10" x14ac:dyDescent="0.25">
      <c r="A425" s="6">
        <v>567</v>
      </c>
      <c r="B425" s="6">
        <v>30</v>
      </c>
      <c r="C425" s="5" t="s">
        <v>8</v>
      </c>
      <c r="D425" s="5" t="s">
        <v>9</v>
      </c>
      <c r="E425" s="6">
        <v>3</v>
      </c>
      <c r="F425" s="6">
        <v>8412</v>
      </c>
      <c r="G425" s="6">
        <v>9</v>
      </c>
      <c r="H425" s="6">
        <v>3</v>
      </c>
      <c r="I425" s="6" t="s">
        <v>13</v>
      </c>
      <c r="J425" s="6" t="str">
        <f>IF(Employee[[#This Row],[Attrition]]="Yes","Resigned","Active")</f>
        <v>Active</v>
      </c>
    </row>
    <row r="426" spans="1:10" x14ac:dyDescent="0.25">
      <c r="A426" s="6">
        <v>568</v>
      </c>
      <c r="B426" s="6">
        <v>57</v>
      </c>
      <c r="C426" s="5" t="s">
        <v>8</v>
      </c>
      <c r="D426" s="5" t="s">
        <v>17</v>
      </c>
      <c r="E426" s="6">
        <v>4</v>
      </c>
      <c r="F426" s="6">
        <v>14118</v>
      </c>
      <c r="G426" s="6">
        <v>1</v>
      </c>
      <c r="H426" s="6">
        <v>2</v>
      </c>
      <c r="I426" s="6" t="s">
        <v>13</v>
      </c>
      <c r="J426" s="6" t="str">
        <f>IF(Employee[[#This Row],[Attrition]]="Yes","Resigned","Active")</f>
        <v>Active</v>
      </c>
    </row>
    <row r="427" spans="1:10" x14ac:dyDescent="0.25">
      <c r="A427" s="6">
        <v>569</v>
      </c>
      <c r="B427" s="6">
        <v>50</v>
      </c>
      <c r="C427" s="5" t="s">
        <v>11</v>
      </c>
      <c r="D427" s="5" t="s">
        <v>17</v>
      </c>
      <c r="E427" s="6">
        <v>4</v>
      </c>
      <c r="F427" s="6">
        <v>17046</v>
      </c>
      <c r="G427" s="6">
        <v>27</v>
      </c>
      <c r="H427" s="6">
        <v>3</v>
      </c>
      <c r="I427" s="6" t="s">
        <v>13</v>
      </c>
      <c r="J427" s="6" t="str">
        <f>IF(Employee[[#This Row],[Attrition]]="Yes","Resigned","Active")</f>
        <v>Active</v>
      </c>
    </row>
    <row r="428" spans="1:10" x14ac:dyDescent="0.25">
      <c r="A428" s="6">
        <v>571</v>
      </c>
      <c r="B428" s="6">
        <v>30</v>
      </c>
      <c r="C428" s="5" t="s">
        <v>11</v>
      </c>
      <c r="D428" s="5" t="s">
        <v>14</v>
      </c>
      <c r="E428" s="6">
        <v>1</v>
      </c>
      <c r="F428" s="6">
        <v>2564</v>
      </c>
      <c r="G428" s="6">
        <v>11</v>
      </c>
      <c r="H428" s="6">
        <v>2</v>
      </c>
      <c r="I428" s="6" t="s">
        <v>13</v>
      </c>
      <c r="J428" s="6" t="str">
        <f>IF(Employee[[#This Row],[Attrition]]="Yes","Resigned","Active")</f>
        <v>Active</v>
      </c>
    </row>
    <row r="429" spans="1:10" x14ac:dyDescent="0.25">
      <c r="A429" s="6">
        <v>573</v>
      </c>
      <c r="B429" s="6">
        <v>60</v>
      </c>
      <c r="C429" s="5" t="s">
        <v>8</v>
      </c>
      <c r="D429" s="5" t="s">
        <v>9</v>
      </c>
      <c r="E429" s="6">
        <v>3</v>
      </c>
      <c r="F429" s="6">
        <v>10266</v>
      </c>
      <c r="G429" s="6">
        <v>18</v>
      </c>
      <c r="H429" s="6">
        <v>4</v>
      </c>
      <c r="I429" s="6" t="s">
        <v>13</v>
      </c>
      <c r="J429" s="6" t="str">
        <f>IF(Employee[[#This Row],[Attrition]]="Yes","Resigned","Active")</f>
        <v>Active</v>
      </c>
    </row>
    <row r="430" spans="1:10" x14ac:dyDescent="0.25">
      <c r="A430" s="6">
        <v>574</v>
      </c>
      <c r="B430" s="6">
        <v>47</v>
      </c>
      <c r="C430" s="5" t="s">
        <v>11</v>
      </c>
      <c r="D430" s="5" t="s">
        <v>15</v>
      </c>
      <c r="E430" s="6">
        <v>2</v>
      </c>
      <c r="F430" s="6">
        <v>5070</v>
      </c>
      <c r="G430" s="6">
        <v>5</v>
      </c>
      <c r="H430" s="6">
        <v>3</v>
      </c>
      <c r="I430" s="6" t="s">
        <v>13</v>
      </c>
      <c r="J430" s="6" t="str">
        <f>IF(Employee[[#This Row],[Attrition]]="Yes","Resigned","Active")</f>
        <v>Active</v>
      </c>
    </row>
    <row r="431" spans="1:10" x14ac:dyDescent="0.25">
      <c r="A431" s="6">
        <v>575</v>
      </c>
      <c r="B431" s="6">
        <v>46</v>
      </c>
      <c r="C431" s="5" t="s">
        <v>11</v>
      </c>
      <c r="D431" s="5" t="s">
        <v>19</v>
      </c>
      <c r="E431" s="6">
        <v>4</v>
      </c>
      <c r="F431" s="6">
        <v>17861</v>
      </c>
      <c r="G431" s="6">
        <v>3</v>
      </c>
      <c r="H431" s="6">
        <v>1</v>
      </c>
      <c r="I431" s="6" t="s">
        <v>13</v>
      </c>
      <c r="J431" s="6" t="str">
        <f>IF(Employee[[#This Row],[Attrition]]="Yes","Resigned","Active")</f>
        <v>Active</v>
      </c>
    </row>
    <row r="432" spans="1:10" x14ac:dyDescent="0.25">
      <c r="A432" s="6">
        <v>577</v>
      </c>
      <c r="B432" s="6">
        <v>35</v>
      </c>
      <c r="C432" s="5" t="s">
        <v>11</v>
      </c>
      <c r="D432" s="5" t="s">
        <v>14</v>
      </c>
      <c r="E432" s="6">
        <v>1</v>
      </c>
      <c r="F432" s="6">
        <v>4230</v>
      </c>
      <c r="G432" s="6">
        <v>5</v>
      </c>
      <c r="H432" s="6">
        <v>3</v>
      </c>
      <c r="I432" s="6" t="s">
        <v>13</v>
      </c>
      <c r="J432" s="6" t="str">
        <f>IF(Employee[[#This Row],[Attrition]]="Yes","Resigned","Active")</f>
        <v>Active</v>
      </c>
    </row>
    <row r="433" spans="1:10" x14ac:dyDescent="0.25">
      <c r="A433" s="6">
        <v>578</v>
      </c>
      <c r="B433" s="6">
        <v>54</v>
      </c>
      <c r="C433" s="5" t="s">
        <v>11</v>
      </c>
      <c r="D433" s="5" t="s">
        <v>14</v>
      </c>
      <c r="E433" s="6">
        <v>2</v>
      </c>
      <c r="F433" s="6">
        <v>3780</v>
      </c>
      <c r="G433" s="6">
        <v>1</v>
      </c>
      <c r="H433" s="6">
        <v>3</v>
      </c>
      <c r="I433" s="6" t="s">
        <v>13</v>
      </c>
      <c r="J433" s="6" t="str">
        <f>IF(Employee[[#This Row],[Attrition]]="Yes","Resigned","Active")</f>
        <v>Active</v>
      </c>
    </row>
    <row r="434" spans="1:10" x14ac:dyDescent="0.25">
      <c r="A434" s="6">
        <v>579</v>
      </c>
      <c r="B434" s="6">
        <v>34</v>
      </c>
      <c r="C434" s="5" t="s">
        <v>11</v>
      </c>
      <c r="D434" s="5" t="s">
        <v>12</v>
      </c>
      <c r="E434" s="6">
        <v>1</v>
      </c>
      <c r="F434" s="6">
        <v>2768</v>
      </c>
      <c r="G434" s="6">
        <v>7</v>
      </c>
      <c r="H434" s="6">
        <v>3</v>
      </c>
      <c r="I434" s="6" t="s">
        <v>13</v>
      </c>
      <c r="J434" s="6" t="str">
        <f>IF(Employee[[#This Row],[Attrition]]="Yes","Resigned","Active")</f>
        <v>Active</v>
      </c>
    </row>
    <row r="435" spans="1:10" x14ac:dyDescent="0.25">
      <c r="A435" s="6">
        <v>580</v>
      </c>
      <c r="B435" s="6">
        <v>46</v>
      </c>
      <c r="C435" s="5" t="s">
        <v>8</v>
      </c>
      <c r="D435" s="5" t="s">
        <v>9</v>
      </c>
      <c r="E435" s="6">
        <v>3</v>
      </c>
      <c r="F435" s="6">
        <v>9071</v>
      </c>
      <c r="G435" s="6">
        <v>3</v>
      </c>
      <c r="H435" s="6">
        <v>3</v>
      </c>
      <c r="I435" s="6" t="s">
        <v>13</v>
      </c>
      <c r="J435" s="6" t="str">
        <f>IF(Employee[[#This Row],[Attrition]]="Yes","Resigned","Active")</f>
        <v>Active</v>
      </c>
    </row>
    <row r="436" spans="1:10" x14ac:dyDescent="0.25">
      <c r="A436" s="6">
        <v>581</v>
      </c>
      <c r="B436" s="6">
        <v>31</v>
      </c>
      <c r="C436" s="5" t="s">
        <v>11</v>
      </c>
      <c r="D436" s="5" t="s">
        <v>15</v>
      </c>
      <c r="E436" s="6">
        <v>3</v>
      </c>
      <c r="F436" s="6">
        <v>10648</v>
      </c>
      <c r="G436" s="6">
        <v>13</v>
      </c>
      <c r="H436" s="6">
        <v>4</v>
      </c>
      <c r="I436" s="6" t="s">
        <v>13</v>
      </c>
      <c r="J436" s="6" t="str">
        <f>IF(Employee[[#This Row],[Attrition]]="Yes","Resigned","Active")</f>
        <v>Active</v>
      </c>
    </row>
    <row r="437" spans="1:10" x14ac:dyDescent="0.25">
      <c r="A437" s="6">
        <v>582</v>
      </c>
      <c r="B437" s="6">
        <v>33</v>
      </c>
      <c r="C437" s="5" t="s">
        <v>11</v>
      </c>
      <c r="D437" s="5" t="s">
        <v>17</v>
      </c>
      <c r="E437" s="6">
        <v>3</v>
      </c>
      <c r="F437" s="6">
        <v>13610</v>
      </c>
      <c r="G437" s="6">
        <v>7</v>
      </c>
      <c r="H437" s="6">
        <v>4</v>
      </c>
      <c r="I437" s="6" t="s">
        <v>10</v>
      </c>
      <c r="J437" s="6" t="str">
        <f>IF(Employee[[#This Row],[Attrition]]="Yes","Resigned","Active")</f>
        <v>Resigned</v>
      </c>
    </row>
    <row r="438" spans="1:10" x14ac:dyDescent="0.25">
      <c r="A438" s="6">
        <v>584</v>
      </c>
      <c r="B438" s="6">
        <v>33</v>
      </c>
      <c r="C438" s="5" t="s">
        <v>11</v>
      </c>
      <c r="D438" s="5" t="s">
        <v>14</v>
      </c>
      <c r="E438" s="6">
        <v>1</v>
      </c>
      <c r="F438" s="6">
        <v>3408</v>
      </c>
      <c r="G438" s="6">
        <v>4</v>
      </c>
      <c r="H438" s="6">
        <v>3</v>
      </c>
      <c r="I438" s="6" t="s">
        <v>10</v>
      </c>
      <c r="J438" s="6" t="str">
        <f>IF(Employee[[#This Row],[Attrition]]="Yes","Resigned","Active")</f>
        <v>Resigned</v>
      </c>
    </row>
    <row r="439" spans="1:10" x14ac:dyDescent="0.25">
      <c r="A439" s="6">
        <v>585</v>
      </c>
      <c r="B439" s="6">
        <v>30</v>
      </c>
      <c r="C439" s="5" t="s">
        <v>8</v>
      </c>
      <c r="D439" s="5" t="s">
        <v>18</v>
      </c>
      <c r="E439" s="6">
        <v>1</v>
      </c>
      <c r="F439" s="6">
        <v>2983</v>
      </c>
      <c r="G439" s="6">
        <v>3</v>
      </c>
      <c r="H439" s="6">
        <v>3</v>
      </c>
      <c r="I439" s="6" t="s">
        <v>13</v>
      </c>
      <c r="J439" s="6" t="str">
        <f>IF(Employee[[#This Row],[Attrition]]="Yes","Resigned","Active")</f>
        <v>Active</v>
      </c>
    </row>
    <row r="440" spans="1:10" x14ac:dyDescent="0.25">
      <c r="A440" s="6">
        <v>586</v>
      </c>
      <c r="B440" s="6">
        <v>35</v>
      </c>
      <c r="C440" s="5" t="s">
        <v>11</v>
      </c>
      <c r="D440" s="5" t="s">
        <v>16</v>
      </c>
      <c r="E440" s="6">
        <v>3</v>
      </c>
      <c r="F440" s="6">
        <v>7632</v>
      </c>
      <c r="G440" s="6">
        <v>8</v>
      </c>
      <c r="H440" s="6">
        <v>3</v>
      </c>
      <c r="I440" s="6" t="s">
        <v>13</v>
      </c>
      <c r="J440" s="6" t="str">
        <f>IF(Employee[[#This Row],[Attrition]]="Yes","Resigned","Active")</f>
        <v>Active</v>
      </c>
    </row>
    <row r="441" spans="1:10" x14ac:dyDescent="0.25">
      <c r="A441" s="6">
        <v>587</v>
      </c>
      <c r="B441" s="6">
        <v>31</v>
      </c>
      <c r="C441" s="5" t="s">
        <v>11</v>
      </c>
      <c r="D441" s="5" t="s">
        <v>16</v>
      </c>
      <c r="E441" s="6">
        <v>3</v>
      </c>
      <c r="F441" s="6">
        <v>9824</v>
      </c>
      <c r="G441" s="6">
        <v>1</v>
      </c>
      <c r="H441" s="6">
        <v>3</v>
      </c>
      <c r="I441" s="6" t="s">
        <v>10</v>
      </c>
      <c r="J441" s="6" t="str">
        <f>IF(Employee[[#This Row],[Attrition]]="Yes","Resigned","Active")</f>
        <v>Resigned</v>
      </c>
    </row>
    <row r="442" spans="1:10" x14ac:dyDescent="0.25">
      <c r="A442" s="6">
        <v>590</v>
      </c>
      <c r="B442" s="6">
        <v>34</v>
      </c>
      <c r="C442" s="5" t="s">
        <v>20</v>
      </c>
      <c r="D442" s="5" t="s">
        <v>20</v>
      </c>
      <c r="E442" s="6">
        <v>3</v>
      </c>
      <c r="F442" s="6">
        <v>9950</v>
      </c>
      <c r="G442" s="6">
        <v>3</v>
      </c>
      <c r="H442" s="6">
        <v>3</v>
      </c>
      <c r="I442" s="6" t="s">
        <v>10</v>
      </c>
      <c r="J442" s="6" t="str">
        <f>IF(Employee[[#This Row],[Attrition]]="Yes","Resigned","Active")</f>
        <v>Resigned</v>
      </c>
    </row>
    <row r="443" spans="1:10" x14ac:dyDescent="0.25">
      <c r="A443" s="6">
        <v>591</v>
      </c>
      <c r="B443" s="6">
        <v>42</v>
      </c>
      <c r="C443" s="5" t="s">
        <v>11</v>
      </c>
      <c r="D443" s="5" t="s">
        <v>14</v>
      </c>
      <c r="E443" s="6">
        <v>1</v>
      </c>
      <c r="F443" s="6">
        <v>2093</v>
      </c>
      <c r="G443" s="6">
        <v>2</v>
      </c>
      <c r="H443" s="6">
        <v>3</v>
      </c>
      <c r="I443" s="6" t="s">
        <v>13</v>
      </c>
      <c r="J443" s="6" t="str">
        <f>IF(Employee[[#This Row],[Attrition]]="Yes","Resigned","Active")</f>
        <v>Active</v>
      </c>
    </row>
    <row r="444" spans="1:10" x14ac:dyDescent="0.25">
      <c r="A444" s="6">
        <v>592</v>
      </c>
      <c r="B444" s="6">
        <v>36</v>
      </c>
      <c r="C444" s="5" t="s">
        <v>8</v>
      </c>
      <c r="D444" s="5" t="s">
        <v>9</v>
      </c>
      <c r="E444" s="6">
        <v>3</v>
      </c>
      <c r="F444" s="6">
        <v>9980</v>
      </c>
      <c r="G444" s="6">
        <v>10</v>
      </c>
      <c r="H444" s="6">
        <v>2</v>
      </c>
      <c r="I444" s="6" t="s">
        <v>13</v>
      </c>
      <c r="J444" s="6" t="str">
        <f>IF(Employee[[#This Row],[Attrition]]="Yes","Resigned","Active")</f>
        <v>Active</v>
      </c>
    </row>
    <row r="445" spans="1:10" x14ac:dyDescent="0.25">
      <c r="A445" s="6">
        <v>593</v>
      </c>
      <c r="B445" s="6">
        <v>22</v>
      </c>
      <c r="C445" s="5" t="s">
        <v>11</v>
      </c>
      <c r="D445" s="5" t="s">
        <v>14</v>
      </c>
      <c r="E445" s="6">
        <v>1</v>
      </c>
      <c r="F445" s="6">
        <v>3894</v>
      </c>
      <c r="G445" s="6">
        <v>2</v>
      </c>
      <c r="H445" s="6">
        <v>3</v>
      </c>
      <c r="I445" s="6" t="s">
        <v>10</v>
      </c>
      <c r="J445" s="6" t="str">
        <f>IF(Employee[[#This Row],[Attrition]]="Yes","Resigned","Active")</f>
        <v>Resigned</v>
      </c>
    </row>
    <row r="446" spans="1:10" x14ac:dyDescent="0.25">
      <c r="A446" s="6">
        <v>595</v>
      </c>
      <c r="B446" s="6">
        <v>48</v>
      </c>
      <c r="C446" s="5" t="s">
        <v>8</v>
      </c>
      <c r="D446" s="5" t="s">
        <v>9</v>
      </c>
      <c r="E446" s="6">
        <v>2</v>
      </c>
      <c r="F446" s="6">
        <v>4051</v>
      </c>
      <c r="G446" s="6">
        <v>9</v>
      </c>
      <c r="H446" s="6">
        <v>3</v>
      </c>
      <c r="I446" s="6" t="s">
        <v>13</v>
      </c>
      <c r="J446" s="6" t="str">
        <f>IF(Employee[[#This Row],[Attrition]]="Yes","Resigned","Active")</f>
        <v>Active</v>
      </c>
    </row>
    <row r="447" spans="1:10" x14ac:dyDescent="0.25">
      <c r="A447" s="6">
        <v>597</v>
      </c>
      <c r="B447" s="6">
        <v>55</v>
      </c>
      <c r="C447" s="5" t="s">
        <v>8</v>
      </c>
      <c r="D447" s="5" t="s">
        <v>17</v>
      </c>
      <c r="E447" s="6">
        <v>4</v>
      </c>
      <c r="F447" s="6">
        <v>16835</v>
      </c>
      <c r="G447" s="6">
        <v>10</v>
      </c>
      <c r="H447" s="6">
        <v>3</v>
      </c>
      <c r="I447" s="6" t="s">
        <v>13</v>
      </c>
      <c r="J447" s="6" t="str">
        <f>IF(Employee[[#This Row],[Attrition]]="Yes","Resigned","Active")</f>
        <v>Active</v>
      </c>
    </row>
    <row r="448" spans="1:10" x14ac:dyDescent="0.25">
      <c r="A448" s="6">
        <v>599</v>
      </c>
      <c r="B448" s="6">
        <v>41</v>
      </c>
      <c r="C448" s="5" t="s">
        <v>8</v>
      </c>
      <c r="D448" s="5" t="s">
        <v>9</v>
      </c>
      <c r="E448" s="6">
        <v>2</v>
      </c>
      <c r="F448" s="6">
        <v>6230</v>
      </c>
      <c r="G448" s="6">
        <v>14</v>
      </c>
      <c r="H448" s="6">
        <v>3</v>
      </c>
      <c r="I448" s="6" t="s">
        <v>13</v>
      </c>
      <c r="J448" s="6" t="str">
        <f>IF(Employee[[#This Row],[Attrition]]="Yes","Resigned","Active")</f>
        <v>Active</v>
      </c>
    </row>
    <row r="449" spans="1:10" x14ac:dyDescent="0.25">
      <c r="A449" s="6">
        <v>600</v>
      </c>
      <c r="B449" s="6">
        <v>35</v>
      </c>
      <c r="C449" s="5" t="s">
        <v>8</v>
      </c>
      <c r="D449" s="5" t="s">
        <v>9</v>
      </c>
      <c r="E449" s="6">
        <v>2</v>
      </c>
      <c r="F449" s="6">
        <v>4717</v>
      </c>
      <c r="G449" s="6">
        <v>11</v>
      </c>
      <c r="H449" s="6">
        <v>3</v>
      </c>
      <c r="I449" s="6" t="s">
        <v>13</v>
      </c>
      <c r="J449" s="6" t="str">
        <f>IF(Employee[[#This Row],[Attrition]]="Yes","Resigned","Active")</f>
        <v>Active</v>
      </c>
    </row>
    <row r="450" spans="1:10" x14ac:dyDescent="0.25">
      <c r="A450" s="6">
        <v>601</v>
      </c>
      <c r="B450" s="6">
        <v>40</v>
      </c>
      <c r="C450" s="5" t="s">
        <v>11</v>
      </c>
      <c r="D450" s="5" t="s">
        <v>15</v>
      </c>
      <c r="E450" s="6">
        <v>4</v>
      </c>
      <c r="F450" s="6">
        <v>13237</v>
      </c>
      <c r="G450" s="6">
        <v>20</v>
      </c>
      <c r="H450" s="6">
        <v>3</v>
      </c>
      <c r="I450" s="6" t="s">
        <v>13</v>
      </c>
      <c r="J450" s="6" t="str">
        <f>IF(Employee[[#This Row],[Attrition]]="Yes","Resigned","Active")</f>
        <v>Active</v>
      </c>
    </row>
    <row r="451" spans="1:10" x14ac:dyDescent="0.25">
      <c r="A451" s="6">
        <v>602</v>
      </c>
      <c r="B451" s="6">
        <v>39</v>
      </c>
      <c r="C451" s="5" t="s">
        <v>11</v>
      </c>
      <c r="D451" s="5" t="s">
        <v>14</v>
      </c>
      <c r="E451" s="6">
        <v>1</v>
      </c>
      <c r="F451" s="6">
        <v>3755</v>
      </c>
      <c r="G451" s="6">
        <v>8</v>
      </c>
      <c r="H451" s="6">
        <v>3</v>
      </c>
      <c r="I451" s="6" t="s">
        <v>13</v>
      </c>
      <c r="J451" s="6" t="str">
        <f>IF(Employee[[#This Row],[Attrition]]="Yes","Resigned","Active")</f>
        <v>Active</v>
      </c>
    </row>
    <row r="452" spans="1:10" x14ac:dyDescent="0.25">
      <c r="A452" s="6">
        <v>604</v>
      </c>
      <c r="B452" s="6">
        <v>31</v>
      </c>
      <c r="C452" s="5" t="s">
        <v>8</v>
      </c>
      <c r="D452" s="5" t="s">
        <v>9</v>
      </c>
      <c r="E452" s="6">
        <v>2</v>
      </c>
      <c r="F452" s="6">
        <v>6582</v>
      </c>
      <c r="G452" s="6">
        <v>6</v>
      </c>
      <c r="H452" s="6">
        <v>4</v>
      </c>
      <c r="I452" s="6" t="s">
        <v>13</v>
      </c>
      <c r="J452" s="6" t="str">
        <f>IF(Employee[[#This Row],[Attrition]]="Yes","Resigned","Active")</f>
        <v>Active</v>
      </c>
    </row>
    <row r="453" spans="1:10" x14ac:dyDescent="0.25">
      <c r="A453" s="6">
        <v>605</v>
      </c>
      <c r="B453" s="6">
        <v>42</v>
      </c>
      <c r="C453" s="5" t="s">
        <v>11</v>
      </c>
      <c r="D453" s="5" t="s">
        <v>15</v>
      </c>
      <c r="E453" s="6">
        <v>3</v>
      </c>
      <c r="F453" s="6">
        <v>7406</v>
      </c>
      <c r="G453" s="6">
        <v>10</v>
      </c>
      <c r="H453" s="6">
        <v>2</v>
      </c>
      <c r="I453" s="6" t="s">
        <v>13</v>
      </c>
      <c r="J453" s="6" t="str">
        <f>IF(Employee[[#This Row],[Attrition]]="Yes","Resigned","Active")</f>
        <v>Active</v>
      </c>
    </row>
    <row r="454" spans="1:10" x14ac:dyDescent="0.25">
      <c r="A454" s="6">
        <v>606</v>
      </c>
      <c r="B454" s="6">
        <v>45</v>
      </c>
      <c r="C454" s="5" t="s">
        <v>8</v>
      </c>
      <c r="D454" s="5" t="s">
        <v>9</v>
      </c>
      <c r="E454" s="6">
        <v>2</v>
      </c>
      <c r="F454" s="6">
        <v>4805</v>
      </c>
      <c r="G454" s="6">
        <v>8</v>
      </c>
      <c r="H454" s="6">
        <v>4</v>
      </c>
      <c r="I454" s="6" t="s">
        <v>13</v>
      </c>
      <c r="J454" s="6" t="str">
        <f>IF(Employee[[#This Row],[Attrition]]="Yes","Resigned","Active")</f>
        <v>Active</v>
      </c>
    </row>
    <row r="455" spans="1:10" x14ac:dyDescent="0.25">
      <c r="A455" s="6">
        <v>608</v>
      </c>
      <c r="B455" s="6">
        <v>26</v>
      </c>
      <c r="C455" s="5" t="s">
        <v>20</v>
      </c>
      <c r="D455" s="5" t="s">
        <v>20</v>
      </c>
      <c r="E455" s="6">
        <v>1</v>
      </c>
      <c r="F455" s="6">
        <v>2741</v>
      </c>
      <c r="G455" s="6">
        <v>7</v>
      </c>
      <c r="H455" s="6">
        <v>2</v>
      </c>
      <c r="I455" s="6" t="s">
        <v>10</v>
      </c>
      <c r="J455" s="6" t="str">
        <f>IF(Employee[[#This Row],[Attrition]]="Yes","Resigned","Active")</f>
        <v>Resigned</v>
      </c>
    </row>
    <row r="456" spans="1:10" x14ac:dyDescent="0.25">
      <c r="A456" s="6">
        <v>611</v>
      </c>
      <c r="B456" s="6">
        <v>29</v>
      </c>
      <c r="C456" s="5" t="s">
        <v>11</v>
      </c>
      <c r="D456" s="5" t="s">
        <v>15</v>
      </c>
      <c r="E456" s="6">
        <v>2</v>
      </c>
      <c r="F456" s="6">
        <v>4262</v>
      </c>
      <c r="G456" s="6">
        <v>3</v>
      </c>
      <c r="H456" s="6">
        <v>4</v>
      </c>
      <c r="I456" s="6" t="s">
        <v>13</v>
      </c>
      <c r="J456" s="6" t="str">
        <f>IF(Employee[[#This Row],[Attrition]]="Yes","Resigned","Active")</f>
        <v>Active</v>
      </c>
    </row>
    <row r="457" spans="1:10" x14ac:dyDescent="0.25">
      <c r="A457" s="6">
        <v>612</v>
      </c>
      <c r="B457" s="6">
        <v>33</v>
      </c>
      <c r="C457" s="5" t="s">
        <v>11</v>
      </c>
      <c r="D457" s="5" t="s">
        <v>19</v>
      </c>
      <c r="E457" s="6">
        <v>4</v>
      </c>
      <c r="F457" s="6">
        <v>16184</v>
      </c>
      <c r="G457" s="6">
        <v>6</v>
      </c>
      <c r="H457" s="6">
        <v>3</v>
      </c>
      <c r="I457" s="6" t="s">
        <v>13</v>
      </c>
      <c r="J457" s="6" t="str">
        <f>IF(Employee[[#This Row],[Attrition]]="Yes","Resigned","Active")</f>
        <v>Active</v>
      </c>
    </row>
    <row r="458" spans="1:10" x14ac:dyDescent="0.25">
      <c r="A458" s="6">
        <v>613</v>
      </c>
      <c r="B458" s="6">
        <v>31</v>
      </c>
      <c r="C458" s="5" t="s">
        <v>8</v>
      </c>
      <c r="D458" s="5" t="s">
        <v>17</v>
      </c>
      <c r="E458" s="6">
        <v>3</v>
      </c>
      <c r="F458" s="6">
        <v>11557</v>
      </c>
      <c r="G458" s="6">
        <v>5</v>
      </c>
      <c r="H458" s="6">
        <v>2</v>
      </c>
      <c r="I458" s="6" t="s">
        <v>13</v>
      </c>
      <c r="J458" s="6" t="str">
        <f>IF(Employee[[#This Row],[Attrition]]="Yes","Resigned","Active")</f>
        <v>Active</v>
      </c>
    </row>
    <row r="459" spans="1:10" x14ac:dyDescent="0.25">
      <c r="A459" s="6">
        <v>614</v>
      </c>
      <c r="B459" s="6">
        <v>18</v>
      </c>
      <c r="C459" s="5" t="s">
        <v>8</v>
      </c>
      <c r="D459" s="5" t="s">
        <v>18</v>
      </c>
      <c r="E459" s="6">
        <v>1</v>
      </c>
      <c r="F459" s="6">
        <v>1878</v>
      </c>
      <c r="G459" s="6">
        <v>0</v>
      </c>
      <c r="H459" s="6">
        <v>3</v>
      </c>
      <c r="I459" s="6" t="s">
        <v>10</v>
      </c>
      <c r="J459" s="6" t="str">
        <f>IF(Employee[[#This Row],[Attrition]]="Yes","Resigned","Active")</f>
        <v>Resigned</v>
      </c>
    </row>
    <row r="460" spans="1:10" x14ac:dyDescent="0.25">
      <c r="A460" s="6">
        <v>615</v>
      </c>
      <c r="B460" s="6">
        <v>40</v>
      </c>
      <c r="C460" s="5" t="s">
        <v>8</v>
      </c>
      <c r="D460" s="5" t="s">
        <v>9</v>
      </c>
      <c r="E460" s="6">
        <v>3</v>
      </c>
      <c r="F460" s="6">
        <v>10932</v>
      </c>
      <c r="G460" s="6">
        <v>1</v>
      </c>
      <c r="H460" s="6">
        <v>3</v>
      </c>
      <c r="I460" s="6" t="s">
        <v>13</v>
      </c>
      <c r="J460" s="6" t="str">
        <f>IF(Employee[[#This Row],[Attrition]]="Yes","Resigned","Active")</f>
        <v>Active</v>
      </c>
    </row>
    <row r="461" spans="1:10" x14ac:dyDescent="0.25">
      <c r="A461" s="6">
        <v>616</v>
      </c>
      <c r="B461" s="6">
        <v>41</v>
      </c>
      <c r="C461" s="5" t="s">
        <v>11</v>
      </c>
      <c r="D461" s="5" t="s">
        <v>16</v>
      </c>
      <c r="E461" s="6">
        <v>2</v>
      </c>
      <c r="F461" s="6">
        <v>6811</v>
      </c>
      <c r="G461" s="6">
        <v>8</v>
      </c>
      <c r="H461" s="6">
        <v>3</v>
      </c>
      <c r="I461" s="6" t="s">
        <v>13</v>
      </c>
      <c r="J461" s="6" t="str">
        <f>IF(Employee[[#This Row],[Attrition]]="Yes","Resigned","Active")</f>
        <v>Active</v>
      </c>
    </row>
    <row r="462" spans="1:10" x14ac:dyDescent="0.25">
      <c r="A462" s="6">
        <v>618</v>
      </c>
      <c r="B462" s="6">
        <v>26</v>
      </c>
      <c r="C462" s="5" t="s">
        <v>8</v>
      </c>
      <c r="D462" s="5" t="s">
        <v>9</v>
      </c>
      <c r="E462" s="6">
        <v>2</v>
      </c>
      <c r="F462" s="6">
        <v>4306</v>
      </c>
      <c r="G462" s="6">
        <v>0</v>
      </c>
      <c r="H462" s="6">
        <v>3</v>
      </c>
      <c r="I462" s="6" t="s">
        <v>13</v>
      </c>
      <c r="J462" s="6" t="str">
        <f>IF(Employee[[#This Row],[Attrition]]="Yes","Resigned","Active")</f>
        <v>Active</v>
      </c>
    </row>
    <row r="463" spans="1:10" x14ac:dyDescent="0.25">
      <c r="A463" s="6">
        <v>620</v>
      </c>
      <c r="B463" s="6">
        <v>35</v>
      </c>
      <c r="C463" s="5" t="s">
        <v>8</v>
      </c>
      <c r="D463" s="5" t="s">
        <v>9</v>
      </c>
      <c r="E463" s="6">
        <v>2</v>
      </c>
      <c r="F463" s="6">
        <v>4859</v>
      </c>
      <c r="G463" s="6">
        <v>5</v>
      </c>
      <c r="H463" s="6">
        <v>3</v>
      </c>
      <c r="I463" s="6" t="s">
        <v>13</v>
      </c>
      <c r="J463" s="6" t="str">
        <f>IF(Employee[[#This Row],[Attrition]]="Yes","Resigned","Active")</f>
        <v>Active</v>
      </c>
    </row>
    <row r="464" spans="1:10" x14ac:dyDescent="0.25">
      <c r="A464" s="6">
        <v>621</v>
      </c>
      <c r="B464" s="6">
        <v>34</v>
      </c>
      <c r="C464" s="5" t="s">
        <v>8</v>
      </c>
      <c r="D464" s="5" t="s">
        <v>9</v>
      </c>
      <c r="E464" s="6">
        <v>2</v>
      </c>
      <c r="F464" s="6">
        <v>5337</v>
      </c>
      <c r="G464" s="6">
        <v>10</v>
      </c>
      <c r="H464" s="6">
        <v>3</v>
      </c>
      <c r="I464" s="6" t="s">
        <v>13</v>
      </c>
      <c r="J464" s="6" t="str">
        <f>IF(Employee[[#This Row],[Attrition]]="Yes","Resigned","Active")</f>
        <v>Active</v>
      </c>
    </row>
    <row r="465" spans="1:10" x14ac:dyDescent="0.25">
      <c r="A465" s="6">
        <v>622</v>
      </c>
      <c r="B465" s="6">
        <v>26</v>
      </c>
      <c r="C465" s="5" t="s">
        <v>11</v>
      </c>
      <c r="D465" s="5" t="s">
        <v>14</v>
      </c>
      <c r="E465" s="6">
        <v>1</v>
      </c>
      <c r="F465" s="6">
        <v>2340</v>
      </c>
      <c r="G465" s="6">
        <v>1</v>
      </c>
      <c r="H465" s="6">
        <v>1</v>
      </c>
      <c r="I465" s="6" t="s">
        <v>10</v>
      </c>
      <c r="J465" s="6" t="str">
        <f>IF(Employee[[#This Row],[Attrition]]="Yes","Resigned","Active")</f>
        <v>Resigned</v>
      </c>
    </row>
    <row r="466" spans="1:10" x14ac:dyDescent="0.25">
      <c r="A466" s="6">
        <v>623</v>
      </c>
      <c r="B466" s="6">
        <v>37</v>
      </c>
      <c r="C466" s="5" t="s">
        <v>11</v>
      </c>
      <c r="D466" s="5" t="s">
        <v>15</v>
      </c>
      <c r="E466" s="6">
        <v>3</v>
      </c>
      <c r="F466" s="6">
        <v>7491</v>
      </c>
      <c r="G466" s="6">
        <v>6</v>
      </c>
      <c r="H466" s="6">
        <v>4</v>
      </c>
      <c r="I466" s="6" t="s">
        <v>13</v>
      </c>
      <c r="J466" s="6" t="str">
        <f>IF(Employee[[#This Row],[Attrition]]="Yes","Resigned","Active")</f>
        <v>Active</v>
      </c>
    </row>
    <row r="467" spans="1:10" x14ac:dyDescent="0.25">
      <c r="A467" s="6">
        <v>624</v>
      </c>
      <c r="B467" s="6">
        <v>46</v>
      </c>
      <c r="C467" s="5" t="s">
        <v>11</v>
      </c>
      <c r="D467" s="5" t="s">
        <v>16</v>
      </c>
      <c r="E467" s="6">
        <v>3</v>
      </c>
      <c r="F467" s="6">
        <v>10527</v>
      </c>
      <c r="G467" s="6">
        <v>2</v>
      </c>
      <c r="H467" s="6">
        <v>2</v>
      </c>
      <c r="I467" s="6" t="s">
        <v>13</v>
      </c>
      <c r="J467" s="6" t="str">
        <f>IF(Employee[[#This Row],[Attrition]]="Yes","Resigned","Active")</f>
        <v>Active</v>
      </c>
    </row>
    <row r="468" spans="1:10" x14ac:dyDescent="0.25">
      <c r="A468" s="6">
        <v>625</v>
      </c>
      <c r="B468" s="6">
        <v>41</v>
      </c>
      <c r="C468" s="5" t="s">
        <v>8</v>
      </c>
      <c r="D468" s="5" t="s">
        <v>17</v>
      </c>
      <c r="E468" s="6">
        <v>4</v>
      </c>
      <c r="F468" s="6">
        <v>16595</v>
      </c>
      <c r="G468" s="6">
        <v>18</v>
      </c>
      <c r="H468" s="6">
        <v>3</v>
      </c>
      <c r="I468" s="6" t="s">
        <v>13</v>
      </c>
      <c r="J468" s="6" t="str">
        <f>IF(Employee[[#This Row],[Attrition]]="Yes","Resigned","Active")</f>
        <v>Active</v>
      </c>
    </row>
    <row r="469" spans="1:10" x14ac:dyDescent="0.25">
      <c r="A469" s="6">
        <v>626</v>
      </c>
      <c r="B469" s="6">
        <v>37</v>
      </c>
      <c r="C469" s="5" t="s">
        <v>8</v>
      </c>
      <c r="D469" s="5" t="s">
        <v>9</v>
      </c>
      <c r="E469" s="6">
        <v>3</v>
      </c>
      <c r="F469" s="6">
        <v>8834</v>
      </c>
      <c r="G469" s="6">
        <v>9</v>
      </c>
      <c r="H469" s="6">
        <v>3</v>
      </c>
      <c r="I469" s="6" t="s">
        <v>13</v>
      </c>
      <c r="J469" s="6" t="str">
        <f>IF(Employee[[#This Row],[Attrition]]="Yes","Resigned","Active")</f>
        <v>Active</v>
      </c>
    </row>
    <row r="470" spans="1:10" x14ac:dyDescent="0.25">
      <c r="A470" s="6">
        <v>630</v>
      </c>
      <c r="B470" s="6">
        <v>52</v>
      </c>
      <c r="C470" s="5" t="s">
        <v>11</v>
      </c>
      <c r="D470" s="5" t="s">
        <v>12</v>
      </c>
      <c r="E470" s="6">
        <v>2</v>
      </c>
      <c r="F470" s="6">
        <v>5577</v>
      </c>
      <c r="G470" s="6">
        <v>10</v>
      </c>
      <c r="H470" s="6">
        <v>3</v>
      </c>
      <c r="I470" s="6" t="s">
        <v>13</v>
      </c>
      <c r="J470" s="6" t="str">
        <f>IF(Employee[[#This Row],[Attrition]]="Yes","Resigned","Active")</f>
        <v>Active</v>
      </c>
    </row>
    <row r="471" spans="1:10" x14ac:dyDescent="0.25">
      <c r="A471" s="6">
        <v>631</v>
      </c>
      <c r="B471" s="6">
        <v>32</v>
      </c>
      <c r="C471" s="5" t="s">
        <v>8</v>
      </c>
      <c r="D471" s="5" t="s">
        <v>9</v>
      </c>
      <c r="E471" s="6">
        <v>2</v>
      </c>
      <c r="F471" s="6">
        <v>4707</v>
      </c>
      <c r="G471" s="6">
        <v>4</v>
      </c>
      <c r="H471" s="6">
        <v>3</v>
      </c>
      <c r="I471" s="6" t="s">
        <v>10</v>
      </c>
      <c r="J471" s="6" t="str">
        <f>IF(Employee[[#This Row],[Attrition]]="Yes","Resigned","Active")</f>
        <v>Resigned</v>
      </c>
    </row>
    <row r="472" spans="1:10" x14ac:dyDescent="0.25">
      <c r="A472" s="6">
        <v>632</v>
      </c>
      <c r="B472" s="6">
        <v>24</v>
      </c>
      <c r="C472" s="5" t="s">
        <v>8</v>
      </c>
      <c r="D472" s="5" t="s">
        <v>18</v>
      </c>
      <c r="E472" s="6">
        <v>1</v>
      </c>
      <c r="F472" s="6">
        <v>2400</v>
      </c>
      <c r="G472" s="6">
        <v>2</v>
      </c>
      <c r="H472" s="6">
        <v>3</v>
      </c>
      <c r="I472" s="6" t="s">
        <v>13</v>
      </c>
      <c r="J472" s="6" t="str">
        <f>IF(Employee[[#This Row],[Attrition]]="Yes","Resigned","Active")</f>
        <v>Active</v>
      </c>
    </row>
    <row r="473" spans="1:10" x14ac:dyDescent="0.25">
      <c r="A473" s="6">
        <v>634</v>
      </c>
      <c r="B473" s="6">
        <v>38</v>
      </c>
      <c r="C473" s="5" t="s">
        <v>11</v>
      </c>
      <c r="D473" s="5" t="s">
        <v>16</v>
      </c>
      <c r="E473" s="6">
        <v>2</v>
      </c>
      <c r="F473" s="6">
        <v>9824</v>
      </c>
      <c r="G473" s="6">
        <v>1</v>
      </c>
      <c r="H473" s="6">
        <v>3</v>
      </c>
      <c r="I473" s="6" t="s">
        <v>13</v>
      </c>
      <c r="J473" s="6" t="str">
        <f>IF(Employee[[#This Row],[Attrition]]="Yes","Resigned","Active")</f>
        <v>Active</v>
      </c>
    </row>
    <row r="474" spans="1:10" x14ac:dyDescent="0.25">
      <c r="A474" s="6">
        <v>635</v>
      </c>
      <c r="B474" s="6">
        <v>37</v>
      </c>
      <c r="C474" s="5" t="s">
        <v>11</v>
      </c>
      <c r="D474" s="5" t="s">
        <v>15</v>
      </c>
      <c r="E474" s="6">
        <v>2</v>
      </c>
      <c r="F474" s="6">
        <v>6447</v>
      </c>
      <c r="G474" s="6">
        <v>6</v>
      </c>
      <c r="H474" s="6">
        <v>2</v>
      </c>
      <c r="I474" s="6" t="s">
        <v>13</v>
      </c>
      <c r="J474" s="6" t="str">
        <f>IF(Employee[[#This Row],[Attrition]]="Yes","Resigned","Active")</f>
        <v>Active</v>
      </c>
    </row>
    <row r="475" spans="1:10" x14ac:dyDescent="0.25">
      <c r="A475" s="6">
        <v>638</v>
      </c>
      <c r="B475" s="6">
        <v>49</v>
      </c>
      <c r="C475" s="5" t="s">
        <v>11</v>
      </c>
      <c r="D475" s="5" t="s">
        <v>19</v>
      </c>
      <c r="E475" s="6">
        <v>5</v>
      </c>
      <c r="F475" s="6">
        <v>19502</v>
      </c>
      <c r="G475" s="6">
        <v>31</v>
      </c>
      <c r="H475" s="6">
        <v>3</v>
      </c>
      <c r="I475" s="6" t="s">
        <v>13</v>
      </c>
      <c r="J475" s="6" t="str">
        <f>IF(Employee[[#This Row],[Attrition]]="Yes","Resigned","Active")</f>
        <v>Active</v>
      </c>
    </row>
    <row r="476" spans="1:10" x14ac:dyDescent="0.25">
      <c r="A476" s="6">
        <v>639</v>
      </c>
      <c r="B476" s="6">
        <v>24</v>
      </c>
      <c r="C476" s="5" t="s">
        <v>11</v>
      </c>
      <c r="D476" s="5" t="s">
        <v>12</v>
      </c>
      <c r="E476" s="6">
        <v>1</v>
      </c>
      <c r="F476" s="6">
        <v>2725</v>
      </c>
      <c r="G476" s="6">
        <v>6</v>
      </c>
      <c r="H476" s="6">
        <v>3</v>
      </c>
      <c r="I476" s="6" t="s">
        <v>13</v>
      </c>
      <c r="J476" s="6" t="str">
        <f>IF(Employee[[#This Row],[Attrition]]="Yes","Resigned","Active")</f>
        <v>Active</v>
      </c>
    </row>
    <row r="477" spans="1:10" x14ac:dyDescent="0.25">
      <c r="A477" s="6">
        <v>641</v>
      </c>
      <c r="B477" s="6">
        <v>26</v>
      </c>
      <c r="C477" s="5" t="s">
        <v>8</v>
      </c>
      <c r="D477" s="5" t="s">
        <v>9</v>
      </c>
      <c r="E477" s="6">
        <v>2</v>
      </c>
      <c r="F477" s="6">
        <v>6272</v>
      </c>
      <c r="G477" s="6">
        <v>5</v>
      </c>
      <c r="H477" s="6">
        <v>4</v>
      </c>
      <c r="I477" s="6" t="s">
        <v>13</v>
      </c>
      <c r="J477" s="6" t="str">
        <f>IF(Employee[[#This Row],[Attrition]]="Yes","Resigned","Active")</f>
        <v>Active</v>
      </c>
    </row>
    <row r="478" spans="1:10" x14ac:dyDescent="0.25">
      <c r="A478" s="6">
        <v>643</v>
      </c>
      <c r="B478" s="6">
        <v>24</v>
      </c>
      <c r="C478" s="5" t="s">
        <v>11</v>
      </c>
      <c r="D478" s="5" t="s">
        <v>14</v>
      </c>
      <c r="E478" s="6">
        <v>1</v>
      </c>
      <c r="F478" s="6">
        <v>2127</v>
      </c>
      <c r="G478" s="6">
        <v>1</v>
      </c>
      <c r="H478" s="6">
        <v>3</v>
      </c>
      <c r="I478" s="6" t="s">
        <v>13</v>
      </c>
      <c r="J478" s="6" t="str">
        <f>IF(Employee[[#This Row],[Attrition]]="Yes","Resigned","Active")</f>
        <v>Active</v>
      </c>
    </row>
    <row r="479" spans="1:10" x14ac:dyDescent="0.25">
      <c r="A479" s="6">
        <v>644</v>
      </c>
      <c r="B479" s="6">
        <v>50</v>
      </c>
      <c r="C479" s="5" t="s">
        <v>20</v>
      </c>
      <c r="D479" s="5" t="s">
        <v>17</v>
      </c>
      <c r="E479" s="6">
        <v>5</v>
      </c>
      <c r="F479" s="6">
        <v>18200</v>
      </c>
      <c r="G479" s="6">
        <v>32</v>
      </c>
      <c r="H479" s="6">
        <v>3</v>
      </c>
      <c r="I479" s="6" t="s">
        <v>13</v>
      </c>
      <c r="J479" s="6" t="str">
        <f>IF(Employee[[#This Row],[Attrition]]="Yes","Resigned","Active")</f>
        <v>Active</v>
      </c>
    </row>
    <row r="480" spans="1:10" x14ac:dyDescent="0.25">
      <c r="A480" s="6">
        <v>645</v>
      </c>
      <c r="B480" s="6">
        <v>25</v>
      </c>
      <c r="C480" s="5" t="s">
        <v>8</v>
      </c>
      <c r="D480" s="5" t="s">
        <v>18</v>
      </c>
      <c r="E480" s="6">
        <v>1</v>
      </c>
      <c r="F480" s="6">
        <v>2096</v>
      </c>
      <c r="G480" s="6">
        <v>7</v>
      </c>
      <c r="H480" s="6">
        <v>3</v>
      </c>
      <c r="I480" s="6" t="s">
        <v>13</v>
      </c>
      <c r="J480" s="6" t="str">
        <f>IF(Employee[[#This Row],[Attrition]]="Yes","Resigned","Active")</f>
        <v>Active</v>
      </c>
    </row>
    <row r="481" spans="1:10" x14ac:dyDescent="0.25">
      <c r="A481" s="6">
        <v>647</v>
      </c>
      <c r="B481" s="6">
        <v>24</v>
      </c>
      <c r="C481" s="5" t="s">
        <v>11</v>
      </c>
      <c r="D481" s="5" t="s">
        <v>14</v>
      </c>
      <c r="E481" s="6">
        <v>1</v>
      </c>
      <c r="F481" s="6">
        <v>2886</v>
      </c>
      <c r="G481" s="6">
        <v>6</v>
      </c>
      <c r="H481" s="6">
        <v>3</v>
      </c>
      <c r="I481" s="6" t="s">
        <v>10</v>
      </c>
      <c r="J481" s="6" t="str">
        <f>IF(Employee[[#This Row],[Attrition]]="Yes","Resigned","Active")</f>
        <v>Resigned</v>
      </c>
    </row>
    <row r="482" spans="1:10" x14ac:dyDescent="0.25">
      <c r="A482" s="6">
        <v>648</v>
      </c>
      <c r="B482" s="6">
        <v>30</v>
      </c>
      <c r="C482" s="5" t="s">
        <v>8</v>
      </c>
      <c r="D482" s="5" t="s">
        <v>18</v>
      </c>
      <c r="E482" s="6">
        <v>1</v>
      </c>
      <c r="F482" s="6">
        <v>2033</v>
      </c>
      <c r="G482" s="6">
        <v>1</v>
      </c>
      <c r="H482" s="6">
        <v>4</v>
      </c>
      <c r="I482" s="6" t="s">
        <v>10</v>
      </c>
      <c r="J482" s="6" t="str">
        <f>IF(Employee[[#This Row],[Attrition]]="Yes","Resigned","Active")</f>
        <v>Resigned</v>
      </c>
    </row>
    <row r="483" spans="1:10" x14ac:dyDescent="0.25">
      <c r="A483" s="6">
        <v>649</v>
      </c>
      <c r="B483" s="6">
        <v>34</v>
      </c>
      <c r="C483" s="5" t="s">
        <v>11</v>
      </c>
      <c r="D483" s="5" t="s">
        <v>12</v>
      </c>
      <c r="E483" s="6">
        <v>1</v>
      </c>
      <c r="F483" s="6">
        <v>3622</v>
      </c>
      <c r="G483" s="6">
        <v>6</v>
      </c>
      <c r="H483" s="6">
        <v>3</v>
      </c>
      <c r="I483" s="6" t="s">
        <v>13</v>
      </c>
      <c r="J483" s="6" t="str">
        <f>IF(Employee[[#This Row],[Attrition]]="Yes","Resigned","Active")</f>
        <v>Active</v>
      </c>
    </row>
    <row r="484" spans="1:10" x14ac:dyDescent="0.25">
      <c r="A484" s="6">
        <v>650</v>
      </c>
      <c r="B484" s="6">
        <v>31</v>
      </c>
      <c r="C484" s="5" t="s">
        <v>8</v>
      </c>
      <c r="D484" s="5" t="s">
        <v>9</v>
      </c>
      <c r="E484" s="6">
        <v>2</v>
      </c>
      <c r="F484" s="6">
        <v>4233</v>
      </c>
      <c r="G484" s="6">
        <v>3</v>
      </c>
      <c r="H484" s="6">
        <v>1</v>
      </c>
      <c r="I484" s="6" t="s">
        <v>10</v>
      </c>
      <c r="J484" s="6" t="str">
        <f>IF(Employee[[#This Row],[Attrition]]="Yes","Resigned","Active")</f>
        <v>Resigned</v>
      </c>
    </row>
    <row r="485" spans="1:10" x14ac:dyDescent="0.25">
      <c r="A485" s="6">
        <v>652</v>
      </c>
      <c r="B485" s="6">
        <v>35</v>
      </c>
      <c r="C485" s="5" t="s">
        <v>11</v>
      </c>
      <c r="D485" s="5" t="s">
        <v>14</v>
      </c>
      <c r="E485" s="6">
        <v>2</v>
      </c>
      <c r="F485" s="6">
        <v>3681</v>
      </c>
      <c r="G485" s="6">
        <v>3</v>
      </c>
      <c r="H485" s="6">
        <v>3</v>
      </c>
      <c r="I485" s="6" t="s">
        <v>13</v>
      </c>
      <c r="J485" s="6" t="str">
        <f>IF(Employee[[#This Row],[Attrition]]="Yes","Resigned","Active")</f>
        <v>Active</v>
      </c>
    </row>
    <row r="486" spans="1:10" x14ac:dyDescent="0.25">
      <c r="A486" s="6">
        <v>653</v>
      </c>
      <c r="B486" s="6">
        <v>31</v>
      </c>
      <c r="C486" s="5" t="s">
        <v>8</v>
      </c>
      <c r="D486" s="5" t="s">
        <v>9</v>
      </c>
      <c r="E486" s="6">
        <v>2</v>
      </c>
      <c r="F486" s="6">
        <v>5460</v>
      </c>
      <c r="G486" s="6">
        <v>7</v>
      </c>
      <c r="H486" s="6">
        <v>4</v>
      </c>
      <c r="I486" s="6" t="s">
        <v>13</v>
      </c>
      <c r="J486" s="6" t="str">
        <f>IF(Employee[[#This Row],[Attrition]]="Yes","Resigned","Active")</f>
        <v>Active</v>
      </c>
    </row>
    <row r="487" spans="1:10" x14ac:dyDescent="0.25">
      <c r="A487" s="6">
        <v>655</v>
      </c>
      <c r="B487" s="6">
        <v>27</v>
      </c>
      <c r="C487" s="5" t="s">
        <v>11</v>
      </c>
      <c r="D487" s="5" t="s">
        <v>12</v>
      </c>
      <c r="E487" s="6">
        <v>1</v>
      </c>
      <c r="F487" s="6">
        <v>2187</v>
      </c>
      <c r="G487" s="6">
        <v>5</v>
      </c>
      <c r="H487" s="6">
        <v>2</v>
      </c>
      <c r="I487" s="6" t="s">
        <v>13</v>
      </c>
      <c r="J487" s="6" t="str">
        <f>IF(Employee[[#This Row],[Attrition]]="Yes","Resigned","Active")</f>
        <v>Active</v>
      </c>
    </row>
    <row r="488" spans="1:10" x14ac:dyDescent="0.25">
      <c r="A488" s="6">
        <v>656</v>
      </c>
      <c r="B488" s="6">
        <v>37</v>
      </c>
      <c r="C488" s="5" t="s">
        <v>8</v>
      </c>
      <c r="D488" s="5" t="s">
        <v>9</v>
      </c>
      <c r="E488" s="6">
        <v>2</v>
      </c>
      <c r="F488" s="6">
        <v>9602</v>
      </c>
      <c r="G488" s="6">
        <v>3</v>
      </c>
      <c r="H488" s="6">
        <v>2</v>
      </c>
      <c r="I488" s="6" t="s">
        <v>13</v>
      </c>
      <c r="J488" s="6" t="str">
        <f>IF(Employee[[#This Row],[Attrition]]="Yes","Resigned","Active")</f>
        <v>Active</v>
      </c>
    </row>
    <row r="489" spans="1:10" x14ac:dyDescent="0.25">
      <c r="A489" s="6">
        <v>657</v>
      </c>
      <c r="B489" s="6">
        <v>20</v>
      </c>
      <c r="C489" s="5" t="s">
        <v>11</v>
      </c>
      <c r="D489" s="5" t="s">
        <v>12</v>
      </c>
      <c r="E489" s="6">
        <v>1</v>
      </c>
      <c r="F489" s="6">
        <v>2836</v>
      </c>
      <c r="G489" s="6">
        <v>1</v>
      </c>
      <c r="H489" s="6">
        <v>4</v>
      </c>
      <c r="I489" s="6" t="s">
        <v>13</v>
      </c>
      <c r="J489" s="6" t="str">
        <f>IF(Employee[[#This Row],[Attrition]]="Yes","Resigned","Active")</f>
        <v>Active</v>
      </c>
    </row>
    <row r="490" spans="1:10" x14ac:dyDescent="0.25">
      <c r="A490" s="6">
        <v>659</v>
      </c>
      <c r="B490" s="6">
        <v>42</v>
      </c>
      <c r="C490" s="5" t="s">
        <v>11</v>
      </c>
      <c r="D490" s="5" t="s">
        <v>16</v>
      </c>
      <c r="E490" s="6">
        <v>2</v>
      </c>
      <c r="F490" s="6">
        <v>4089</v>
      </c>
      <c r="G490" s="6">
        <v>10</v>
      </c>
      <c r="H490" s="6">
        <v>3</v>
      </c>
      <c r="I490" s="6" t="s">
        <v>13</v>
      </c>
      <c r="J490" s="6" t="str">
        <f>IF(Employee[[#This Row],[Attrition]]="Yes","Resigned","Active")</f>
        <v>Active</v>
      </c>
    </row>
    <row r="491" spans="1:10" x14ac:dyDescent="0.25">
      <c r="A491" s="6">
        <v>661</v>
      </c>
      <c r="B491" s="6">
        <v>43</v>
      </c>
      <c r="C491" s="5" t="s">
        <v>11</v>
      </c>
      <c r="D491" s="5" t="s">
        <v>19</v>
      </c>
      <c r="E491" s="6">
        <v>4</v>
      </c>
      <c r="F491" s="6">
        <v>16627</v>
      </c>
      <c r="G491" s="6">
        <v>1</v>
      </c>
      <c r="H491" s="6">
        <v>2</v>
      </c>
      <c r="I491" s="6" t="s">
        <v>13</v>
      </c>
      <c r="J491" s="6" t="str">
        <f>IF(Employee[[#This Row],[Attrition]]="Yes","Resigned","Active")</f>
        <v>Active</v>
      </c>
    </row>
    <row r="492" spans="1:10" x14ac:dyDescent="0.25">
      <c r="A492" s="6">
        <v>662</v>
      </c>
      <c r="B492" s="6">
        <v>38</v>
      </c>
      <c r="C492" s="5" t="s">
        <v>11</v>
      </c>
      <c r="D492" s="5" t="s">
        <v>12</v>
      </c>
      <c r="E492" s="6">
        <v>1</v>
      </c>
      <c r="F492" s="6">
        <v>2619</v>
      </c>
      <c r="G492" s="6">
        <v>0</v>
      </c>
      <c r="H492" s="6">
        <v>2</v>
      </c>
      <c r="I492" s="6" t="s">
        <v>13</v>
      </c>
      <c r="J492" s="6" t="str">
        <f>IF(Employee[[#This Row],[Attrition]]="Yes","Resigned","Active")</f>
        <v>Active</v>
      </c>
    </row>
    <row r="493" spans="1:10" x14ac:dyDescent="0.25">
      <c r="A493" s="6">
        <v>663</v>
      </c>
      <c r="B493" s="6">
        <v>43</v>
      </c>
      <c r="C493" s="5" t="s">
        <v>11</v>
      </c>
      <c r="D493" s="5" t="s">
        <v>14</v>
      </c>
      <c r="E493" s="6">
        <v>2</v>
      </c>
      <c r="F493" s="6">
        <v>5679</v>
      </c>
      <c r="G493" s="6">
        <v>8</v>
      </c>
      <c r="H493" s="6">
        <v>3</v>
      </c>
      <c r="I493" s="6" t="s">
        <v>13</v>
      </c>
      <c r="J493" s="6" t="str">
        <f>IF(Employee[[#This Row],[Attrition]]="Yes","Resigned","Active")</f>
        <v>Active</v>
      </c>
    </row>
    <row r="494" spans="1:10" x14ac:dyDescent="0.25">
      <c r="A494" s="6">
        <v>664</v>
      </c>
      <c r="B494" s="6">
        <v>48</v>
      </c>
      <c r="C494" s="5" t="s">
        <v>11</v>
      </c>
      <c r="D494" s="5" t="s">
        <v>17</v>
      </c>
      <c r="E494" s="6">
        <v>4</v>
      </c>
      <c r="F494" s="6">
        <v>15402</v>
      </c>
      <c r="G494" s="6">
        <v>3</v>
      </c>
      <c r="H494" s="6">
        <v>1</v>
      </c>
      <c r="I494" s="6" t="s">
        <v>13</v>
      </c>
      <c r="J494" s="6" t="str">
        <f>IF(Employee[[#This Row],[Attrition]]="Yes","Resigned","Active")</f>
        <v>Active</v>
      </c>
    </row>
    <row r="495" spans="1:10" x14ac:dyDescent="0.25">
      <c r="A495" s="6">
        <v>665</v>
      </c>
      <c r="B495" s="6">
        <v>44</v>
      </c>
      <c r="C495" s="5" t="s">
        <v>20</v>
      </c>
      <c r="D495" s="5" t="s">
        <v>20</v>
      </c>
      <c r="E495" s="6">
        <v>2</v>
      </c>
      <c r="F495" s="6">
        <v>5985</v>
      </c>
      <c r="G495" s="6">
        <v>2</v>
      </c>
      <c r="H495" s="6">
        <v>4</v>
      </c>
      <c r="I495" s="6" t="s">
        <v>13</v>
      </c>
      <c r="J495" s="6" t="str">
        <f>IF(Employee[[#This Row],[Attrition]]="Yes","Resigned","Active")</f>
        <v>Active</v>
      </c>
    </row>
    <row r="496" spans="1:10" x14ac:dyDescent="0.25">
      <c r="A496" s="6">
        <v>666</v>
      </c>
      <c r="B496" s="6">
        <v>34</v>
      </c>
      <c r="C496" s="5" t="s">
        <v>8</v>
      </c>
      <c r="D496" s="5" t="s">
        <v>18</v>
      </c>
      <c r="E496" s="6">
        <v>1</v>
      </c>
      <c r="F496" s="6">
        <v>2579</v>
      </c>
      <c r="G496" s="6">
        <v>8</v>
      </c>
      <c r="H496" s="6">
        <v>3</v>
      </c>
      <c r="I496" s="6" t="s">
        <v>13</v>
      </c>
      <c r="J496" s="6" t="str">
        <f>IF(Employee[[#This Row],[Attrition]]="Yes","Resigned","Active")</f>
        <v>Active</v>
      </c>
    </row>
    <row r="497" spans="1:10" x14ac:dyDescent="0.25">
      <c r="A497" s="6">
        <v>667</v>
      </c>
      <c r="B497" s="6">
        <v>27</v>
      </c>
      <c r="C497" s="5" t="s">
        <v>8</v>
      </c>
      <c r="D497" s="5" t="s">
        <v>18</v>
      </c>
      <c r="E497" s="6">
        <v>1</v>
      </c>
      <c r="F497" s="6">
        <v>3041</v>
      </c>
      <c r="G497" s="6">
        <v>4</v>
      </c>
      <c r="H497" s="6">
        <v>3</v>
      </c>
      <c r="I497" s="6" t="s">
        <v>10</v>
      </c>
      <c r="J497" s="6" t="str">
        <f>IF(Employee[[#This Row],[Attrition]]="Yes","Resigned","Active")</f>
        <v>Resigned</v>
      </c>
    </row>
    <row r="498" spans="1:10" x14ac:dyDescent="0.25">
      <c r="A498" s="6">
        <v>669</v>
      </c>
      <c r="B498" s="6">
        <v>21</v>
      </c>
      <c r="C498" s="5" t="s">
        <v>8</v>
      </c>
      <c r="D498" s="5" t="s">
        <v>18</v>
      </c>
      <c r="E498" s="6">
        <v>1</v>
      </c>
      <c r="F498" s="6">
        <v>3447</v>
      </c>
      <c r="G498" s="6">
        <v>3</v>
      </c>
      <c r="H498" s="6">
        <v>3</v>
      </c>
      <c r="I498" s="6" t="s">
        <v>13</v>
      </c>
      <c r="J498" s="6" t="str">
        <f>IF(Employee[[#This Row],[Attrition]]="Yes","Resigned","Active")</f>
        <v>Active</v>
      </c>
    </row>
    <row r="499" spans="1:10" x14ac:dyDescent="0.25">
      <c r="A499" s="6">
        <v>671</v>
      </c>
      <c r="B499" s="6">
        <v>44</v>
      </c>
      <c r="C499" s="5" t="s">
        <v>11</v>
      </c>
      <c r="D499" s="5" t="s">
        <v>17</v>
      </c>
      <c r="E499" s="6">
        <v>5</v>
      </c>
      <c r="F499" s="6">
        <v>19513</v>
      </c>
      <c r="G499" s="6">
        <v>2</v>
      </c>
      <c r="H499" s="6">
        <v>4</v>
      </c>
      <c r="I499" s="6" t="s">
        <v>13</v>
      </c>
      <c r="J499" s="6" t="str">
        <f>IF(Employee[[#This Row],[Attrition]]="Yes","Resigned","Active")</f>
        <v>Active</v>
      </c>
    </row>
    <row r="500" spans="1:10" x14ac:dyDescent="0.25">
      <c r="A500" s="6">
        <v>675</v>
      </c>
      <c r="B500" s="6">
        <v>22</v>
      </c>
      <c r="C500" s="5" t="s">
        <v>11</v>
      </c>
      <c r="D500" s="5" t="s">
        <v>12</v>
      </c>
      <c r="E500" s="6">
        <v>1</v>
      </c>
      <c r="F500" s="6">
        <v>2773</v>
      </c>
      <c r="G500" s="6">
        <v>2</v>
      </c>
      <c r="H500" s="6">
        <v>3</v>
      </c>
      <c r="I500" s="6" t="s">
        <v>13</v>
      </c>
      <c r="J500" s="6" t="str">
        <f>IF(Employee[[#This Row],[Attrition]]="Yes","Resigned","Active")</f>
        <v>Active</v>
      </c>
    </row>
    <row r="501" spans="1:10" x14ac:dyDescent="0.25">
      <c r="A501" s="6">
        <v>677</v>
      </c>
      <c r="B501" s="6">
        <v>33</v>
      </c>
      <c r="C501" s="5" t="s">
        <v>8</v>
      </c>
      <c r="D501" s="5" t="s">
        <v>9</v>
      </c>
      <c r="E501" s="6">
        <v>2</v>
      </c>
      <c r="F501" s="6">
        <v>7104</v>
      </c>
      <c r="G501" s="6">
        <v>5</v>
      </c>
      <c r="H501" s="6">
        <v>3</v>
      </c>
      <c r="I501" s="6" t="s">
        <v>13</v>
      </c>
      <c r="J501" s="6" t="str">
        <f>IF(Employee[[#This Row],[Attrition]]="Yes","Resigned","Active")</f>
        <v>Active</v>
      </c>
    </row>
    <row r="502" spans="1:10" x14ac:dyDescent="0.25">
      <c r="A502" s="6">
        <v>679</v>
      </c>
      <c r="B502" s="6">
        <v>32</v>
      </c>
      <c r="C502" s="5" t="s">
        <v>11</v>
      </c>
      <c r="D502" s="5" t="s">
        <v>12</v>
      </c>
      <c r="E502" s="6">
        <v>2</v>
      </c>
      <c r="F502" s="6">
        <v>6322</v>
      </c>
      <c r="G502" s="6">
        <v>6</v>
      </c>
      <c r="H502" s="6">
        <v>2</v>
      </c>
      <c r="I502" s="6" t="s">
        <v>13</v>
      </c>
      <c r="J502" s="6" t="str">
        <f>IF(Employee[[#This Row],[Attrition]]="Yes","Resigned","Active")</f>
        <v>Active</v>
      </c>
    </row>
    <row r="503" spans="1:10" x14ac:dyDescent="0.25">
      <c r="A503" s="6">
        <v>680</v>
      </c>
      <c r="B503" s="6">
        <v>30</v>
      </c>
      <c r="C503" s="5" t="s">
        <v>11</v>
      </c>
      <c r="D503" s="5" t="s">
        <v>12</v>
      </c>
      <c r="E503" s="6">
        <v>1</v>
      </c>
      <c r="F503" s="6">
        <v>2083</v>
      </c>
      <c r="G503" s="6">
        <v>1</v>
      </c>
      <c r="H503" s="6">
        <v>3</v>
      </c>
      <c r="I503" s="6" t="s">
        <v>13</v>
      </c>
      <c r="J503" s="6" t="str">
        <f>IF(Employee[[#This Row],[Attrition]]="Yes","Resigned","Active")</f>
        <v>Active</v>
      </c>
    </row>
    <row r="504" spans="1:10" x14ac:dyDescent="0.25">
      <c r="A504" s="6">
        <v>682</v>
      </c>
      <c r="B504" s="6">
        <v>53</v>
      </c>
      <c r="C504" s="5" t="s">
        <v>8</v>
      </c>
      <c r="D504" s="5" t="s">
        <v>9</v>
      </c>
      <c r="E504" s="6">
        <v>2</v>
      </c>
      <c r="F504" s="6">
        <v>8381</v>
      </c>
      <c r="G504" s="6">
        <v>14</v>
      </c>
      <c r="H504" s="6">
        <v>4</v>
      </c>
      <c r="I504" s="6" t="s">
        <v>13</v>
      </c>
      <c r="J504" s="6" t="str">
        <f>IF(Employee[[#This Row],[Attrition]]="Yes","Resigned","Active")</f>
        <v>Active</v>
      </c>
    </row>
    <row r="505" spans="1:10" x14ac:dyDescent="0.25">
      <c r="A505" s="6">
        <v>683</v>
      </c>
      <c r="B505" s="6">
        <v>34</v>
      </c>
      <c r="C505" s="5" t="s">
        <v>11</v>
      </c>
      <c r="D505" s="5" t="s">
        <v>12</v>
      </c>
      <c r="E505" s="6">
        <v>1</v>
      </c>
      <c r="F505" s="6">
        <v>2691</v>
      </c>
      <c r="G505" s="6">
        <v>10</v>
      </c>
      <c r="H505" s="6">
        <v>2</v>
      </c>
      <c r="I505" s="6" t="s">
        <v>13</v>
      </c>
      <c r="J505" s="6" t="str">
        <f>IF(Employee[[#This Row],[Attrition]]="Yes","Resigned","Active")</f>
        <v>Active</v>
      </c>
    </row>
    <row r="506" spans="1:10" x14ac:dyDescent="0.25">
      <c r="A506" s="6">
        <v>684</v>
      </c>
      <c r="B506" s="6">
        <v>45</v>
      </c>
      <c r="C506" s="5" t="s">
        <v>8</v>
      </c>
      <c r="D506" s="5" t="s">
        <v>9</v>
      </c>
      <c r="E506" s="6">
        <v>2</v>
      </c>
      <c r="F506" s="6">
        <v>4286</v>
      </c>
      <c r="G506" s="6">
        <v>1</v>
      </c>
      <c r="H506" s="6">
        <v>3</v>
      </c>
      <c r="I506" s="6" t="s">
        <v>10</v>
      </c>
      <c r="J506" s="6" t="str">
        <f>IF(Employee[[#This Row],[Attrition]]="Yes","Resigned","Active")</f>
        <v>Resigned</v>
      </c>
    </row>
    <row r="507" spans="1:10" x14ac:dyDescent="0.25">
      <c r="A507" s="6">
        <v>686</v>
      </c>
      <c r="B507" s="6">
        <v>26</v>
      </c>
      <c r="C507" s="5" t="s">
        <v>11</v>
      </c>
      <c r="D507" s="5" t="s">
        <v>14</v>
      </c>
      <c r="E507" s="6">
        <v>1</v>
      </c>
      <c r="F507" s="6">
        <v>2659</v>
      </c>
      <c r="G507" s="6">
        <v>3</v>
      </c>
      <c r="H507" s="6">
        <v>3</v>
      </c>
      <c r="I507" s="6" t="s">
        <v>13</v>
      </c>
      <c r="J507" s="6" t="str">
        <f>IF(Employee[[#This Row],[Attrition]]="Yes","Resigned","Active")</f>
        <v>Active</v>
      </c>
    </row>
    <row r="508" spans="1:10" x14ac:dyDescent="0.25">
      <c r="A508" s="6">
        <v>689</v>
      </c>
      <c r="B508" s="6">
        <v>37</v>
      </c>
      <c r="C508" s="5" t="s">
        <v>11</v>
      </c>
      <c r="D508" s="5" t="s">
        <v>15</v>
      </c>
      <c r="E508" s="6">
        <v>3</v>
      </c>
      <c r="F508" s="6">
        <v>9434</v>
      </c>
      <c r="G508" s="6">
        <v>10</v>
      </c>
      <c r="H508" s="6">
        <v>3</v>
      </c>
      <c r="I508" s="6" t="s">
        <v>13</v>
      </c>
      <c r="J508" s="6" t="str">
        <f>IF(Employee[[#This Row],[Attrition]]="Yes","Resigned","Active")</f>
        <v>Active</v>
      </c>
    </row>
    <row r="509" spans="1:10" x14ac:dyDescent="0.25">
      <c r="A509" s="6">
        <v>690</v>
      </c>
      <c r="B509" s="6">
        <v>29</v>
      </c>
      <c r="C509" s="5" t="s">
        <v>8</v>
      </c>
      <c r="D509" s="5" t="s">
        <v>9</v>
      </c>
      <c r="E509" s="6">
        <v>2</v>
      </c>
      <c r="F509" s="6">
        <v>5561</v>
      </c>
      <c r="G509" s="6">
        <v>6</v>
      </c>
      <c r="H509" s="6">
        <v>2</v>
      </c>
      <c r="I509" s="6" t="s">
        <v>13</v>
      </c>
      <c r="J509" s="6" t="str">
        <f>IF(Employee[[#This Row],[Attrition]]="Yes","Resigned","Active")</f>
        <v>Active</v>
      </c>
    </row>
    <row r="510" spans="1:10" x14ac:dyDescent="0.25">
      <c r="A510" s="6">
        <v>691</v>
      </c>
      <c r="B510" s="6">
        <v>35</v>
      </c>
      <c r="C510" s="5" t="s">
        <v>11</v>
      </c>
      <c r="D510" s="5" t="s">
        <v>12</v>
      </c>
      <c r="E510" s="6">
        <v>2</v>
      </c>
      <c r="F510" s="6">
        <v>6646</v>
      </c>
      <c r="G510" s="6">
        <v>17</v>
      </c>
      <c r="H510" s="6">
        <v>3</v>
      </c>
      <c r="I510" s="6" t="s">
        <v>13</v>
      </c>
      <c r="J510" s="6" t="str">
        <f>IF(Employee[[#This Row],[Attrition]]="Yes","Resigned","Active")</f>
        <v>Active</v>
      </c>
    </row>
    <row r="511" spans="1:10" x14ac:dyDescent="0.25">
      <c r="A511" s="6">
        <v>692</v>
      </c>
      <c r="B511" s="6">
        <v>33</v>
      </c>
      <c r="C511" s="5" t="s">
        <v>11</v>
      </c>
      <c r="D511" s="5" t="s">
        <v>16</v>
      </c>
      <c r="E511" s="6">
        <v>2</v>
      </c>
      <c r="F511" s="6">
        <v>7725</v>
      </c>
      <c r="G511" s="6">
        <v>13</v>
      </c>
      <c r="H511" s="6">
        <v>1</v>
      </c>
      <c r="I511" s="6" t="s">
        <v>13</v>
      </c>
      <c r="J511" s="6" t="str">
        <f>IF(Employee[[#This Row],[Attrition]]="Yes","Resigned","Active")</f>
        <v>Active</v>
      </c>
    </row>
    <row r="512" spans="1:10" x14ac:dyDescent="0.25">
      <c r="A512" s="6">
        <v>698</v>
      </c>
      <c r="B512" s="6">
        <v>54</v>
      </c>
      <c r="C512" s="5" t="s">
        <v>20</v>
      </c>
      <c r="D512" s="5" t="s">
        <v>20</v>
      </c>
      <c r="E512" s="6">
        <v>3</v>
      </c>
      <c r="F512" s="6">
        <v>10725</v>
      </c>
      <c r="G512" s="6">
        <v>9</v>
      </c>
      <c r="H512" s="6">
        <v>4</v>
      </c>
      <c r="I512" s="6" t="s">
        <v>13</v>
      </c>
      <c r="J512" s="6" t="str">
        <f>IF(Employee[[#This Row],[Attrition]]="Yes","Resigned","Active")</f>
        <v>Active</v>
      </c>
    </row>
    <row r="513" spans="1:10" x14ac:dyDescent="0.25">
      <c r="A513" s="6">
        <v>699</v>
      </c>
      <c r="B513" s="6">
        <v>36</v>
      </c>
      <c r="C513" s="5" t="s">
        <v>11</v>
      </c>
      <c r="D513" s="5" t="s">
        <v>15</v>
      </c>
      <c r="E513" s="6">
        <v>2</v>
      </c>
      <c r="F513" s="6">
        <v>8847</v>
      </c>
      <c r="G513" s="6">
        <v>3</v>
      </c>
      <c r="H513" s="6">
        <v>3</v>
      </c>
      <c r="I513" s="6" t="s">
        <v>13</v>
      </c>
      <c r="J513" s="6" t="str">
        <f>IF(Employee[[#This Row],[Attrition]]="Yes","Resigned","Active")</f>
        <v>Active</v>
      </c>
    </row>
    <row r="514" spans="1:10" x14ac:dyDescent="0.25">
      <c r="A514" s="6">
        <v>700</v>
      </c>
      <c r="B514" s="6">
        <v>27</v>
      </c>
      <c r="C514" s="5" t="s">
        <v>11</v>
      </c>
      <c r="D514" s="5" t="s">
        <v>12</v>
      </c>
      <c r="E514" s="6">
        <v>1</v>
      </c>
      <c r="F514" s="6">
        <v>2045</v>
      </c>
      <c r="G514" s="6">
        <v>4</v>
      </c>
      <c r="H514" s="6">
        <v>3</v>
      </c>
      <c r="I514" s="6" t="s">
        <v>13</v>
      </c>
      <c r="J514" s="6" t="str">
        <f>IF(Employee[[#This Row],[Attrition]]="Yes","Resigned","Active")</f>
        <v>Active</v>
      </c>
    </row>
    <row r="515" spans="1:10" x14ac:dyDescent="0.25">
      <c r="A515" s="6">
        <v>701</v>
      </c>
      <c r="B515" s="6">
        <v>20</v>
      </c>
      <c r="C515" s="5" t="s">
        <v>11</v>
      </c>
      <c r="D515" s="5" t="s">
        <v>12</v>
      </c>
      <c r="E515" s="6">
        <v>1</v>
      </c>
      <c r="F515" s="6">
        <v>1009</v>
      </c>
      <c r="G515" s="6">
        <v>1</v>
      </c>
      <c r="H515" s="6">
        <v>3</v>
      </c>
      <c r="I515" s="6" t="s">
        <v>10</v>
      </c>
      <c r="J515" s="6" t="str">
        <f>IF(Employee[[#This Row],[Attrition]]="Yes","Resigned","Active")</f>
        <v>Resigned</v>
      </c>
    </row>
    <row r="516" spans="1:10" x14ac:dyDescent="0.25">
      <c r="A516" s="6">
        <v>702</v>
      </c>
      <c r="B516" s="6">
        <v>33</v>
      </c>
      <c r="C516" s="5" t="s">
        <v>11</v>
      </c>
      <c r="D516" s="5" t="s">
        <v>12</v>
      </c>
      <c r="E516" s="6">
        <v>1</v>
      </c>
      <c r="F516" s="6">
        <v>3348</v>
      </c>
      <c r="G516" s="6">
        <v>10</v>
      </c>
      <c r="H516" s="6">
        <v>3</v>
      </c>
      <c r="I516" s="6" t="s">
        <v>10</v>
      </c>
      <c r="J516" s="6" t="str">
        <f>IF(Employee[[#This Row],[Attrition]]="Yes","Resigned","Active")</f>
        <v>Resigned</v>
      </c>
    </row>
    <row r="517" spans="1:10" x14ac:dyDescent="0.25">
      <c r="A517" s="6">
        <v>704</v>
      </c>
      <c r="B517" s="6">
        <v>35</v>
      </c>
      <c r="C517" s="5" t="s">
        <v>11</v>
      </c>
      <c r="D517" s="5" t="s">
        <v>14</v>
      </c>
      <c r="E517" s="6">
        <v>1</v>
      </c>
      <c r="F517" s="6">
        <v>1281</v>
      </c>
      <c r="G517" s="6">
        <v>1</v>
      </c>
      <c r="H517" s="6">
        <v>3</v>
      </c>
      <c r="I517" s="6" t="s">
        <v>13</v>
      </c>
      <c r="J517" s="6" t="str">
        <f>IF(Employee[[#This Row],[Attrition]]="Yes","Resigned","Active")</f>
        <v>Active</v>
      </c>
    </row>
    <row r="518" spans="1:10" x14ac:dyDescent="0.25">
      <c r="A518" s="6">
        <v>705</v>
      </c>
      <c r="B518" s="6">
        <v>23</v>
      </c>
      <c r="C518" s="5" t="s">
        <v>11</v>
      </c>
      <c r="D518" s="5" t="s">
        <v>12</v>
      </c>
      <c r="E518" s="6">
        <v>1</v>
      </c>
      <c r="F518" s="6">
        <v>2819</v>
      </c>
      <c r="G518" s="6">
        <v>3</v>
      </c>
      <c r="H518" s="6">
        <v>4</v>
      </c>
      <c r="I518" s="6" t="s">
        <v>13</v>
      </c>
      <c r="J518" s="6" t="str">
        <f>IF(Employee[[#This Row],[Attrition]]="Yes","Resigned","Active")</f>
        <v>Active</v>
      </c>
    </row>
    <row r="519" spans="1:10" x14ac:dyDescent="0.25">
      <c r="A519" s="6">
        <v>707</v>
      </c>
      <c r="B519" s="6">
        <v>25</v>
      </c>
      <c r="C519" s="5" t="s">
        <v>8</v>
      </c>
      <c r="D519" s="5" t="s">
        <v>9</v>
      </c>
      <c r="E519" s="6">
        <v>2</v>
      </c>
      <c r="F519" s="6">
        <v>4851</v>
      </c>
      <c r="G519" s="6">
        <v>3</v>
      </c>
      <c r="H519" s="6">
        <v>3</v>
      </c>
      <c r="I519" s="6" t="s">
        <v>13</v>
      </c>
      <c r="J519" s="6" t="str">
        <f>IF(Employee[[#This Row],[Attrition]]="Yes","Resigned","Active")</f>
        <v>Active</v>
      </c>
    </row>
    <row r="520" spans="1:10" x14ac:dyDescent="0.25">
      <c r="A520" s="6">
        <v>709</v>
      </c>
      <c r="B520" s="6">
        <v>38</v>
      </c>
      <c r="C520" s="5" t="s">
        <v>8</v>
      </c>
      <c r="D520" s="5" t="s">
        <v>9</v>
      </c>
      <c r="E520" s="6">
        <v>2</v>
      </c>
      <c r="F520" s="6">
        <v>4028</v>
      </c>
      <c r="G520" s="6">
        <v>7</v>
      </c>
      <c r="H520" s="6">
        <v>3</v>
      </c>
      <c r="I520" s="6" t="s">
        <v>13</v>
      </c>
      <c r="J520" s="6" t="str">
        <f>IF(Employee[[#This Row],[Attrition]]="Yes","Resigned","Active")</f>
        <v>Active</v>
      </c>
    </row>
    <row r="521" spans="1:10" x14ac:dyDescent="0.25">
      <c r="A521" s="6">
        <v>710</v>
      </c>
      <c r="B521" s="6">
        <v>29</v>
      </c>
      <c r="C521" s="5" t="s">
        <v>11</v>
      </c>
      <c r="D521" s="5" t="s">
        <v>12</v>
      </c>
      <c r="E521" s="6">
        <v>1</v>
      </c>
      <c r="F521" s="6">
        <v>2720</v>
      </c>
      <c r="G521" s="6">
        <v>10</v>
      </c>
      <c r="H521" s="6">
        <v>3</v>
      </c>
      <c r="I521" s="6" t="s">
        <v>13</v>
      </c>
      <c r="J521" s="6" t="str">
        <f>IF(Employee[[#This Row],[Attrition]]="Yes","Resigned","Active")</f>
        <v>Active</v>
      </c>
    </row>
    <row r="522" spans="1:10" x14ac:dyDescent="0.25">
      <c r="A522" s="6">
        <v>712</v>
      </c>
      <c r="B522" s="6">
        <v>48</v>
      </c>
      <c r="C522" s="5" t="s">
        <v>8</v>
      </c>
      <c r="D522" s="5" t="s">
        <v>9</v>
      </c>
      <c r="E522" s="6">
        <v>2</v>
      </c>
      <c r="F522" s="6">
        <v>8120</v>
      </c>
      <c r="G522" s="6">
        <v>2</v>
      </c>
      <c r="H522" s="6">
        <v>3</v>
      </c>
      <c r="I522" s="6" t="s">
        <v>13</v>
      </c>
      <c r="J522" s="6" t="str">
        <f>IF(Employee[[#This Row],[Attrition]]="Yes","Resigned","Active")</f>
        <v>Active</v>
      </c>
    </row>
    <row r="523" spans="1:10" x14ac:dyDescent="0.25">
      <c r="A523" s="6">
        <v>714</v>
      </c>
      <c r="B523" s="6">
        <v>27</v>
      </c>
      <c r="C523" s="5" t="s">
        <v>8</v>
      </c>
      <c r="D523" s="5" t="s">
        <v>9</v>
      </c>
      <c r="E523" s="6">
        <v>2</v>
      </c>
      <c r="F523" s="6">
        <v>4647</v>
      </c>
      <c r="G523" s="6">
        <v>6</v>
      </c>
      <c r="H523" s="6">
        <v>3</v>
      </c>
      <c r="I523" s="6" t="s">
        <v>13</v>
      </c>
      <c r="J523" s="6" t="str">
        <f>IF(Employee[[#This Row],[Attrition]]="Yes","Resigned","Active")</f>
        <v>Active</v>
      </c>
    </row>
    <row r="524" spans="1:10" x14ac:dyDescent="0.25">
      <c r="A524" s="6">
        <v>715</v>
      </c>
      <c r="B524" s="6">
        <v>37</v>
      </c>
      <c r="C524" s="5" t="s">
        <v>11</v>
      </c>
      <c r="D524" s="5" t="s">
        <v>12</v>
      </c>
      <c r="E524" s="6">
        <v>1</v>
      </c>
      <c r="F524" s="6">
        <v>4680</v>
      </c>
      <c r="G524" s="6">
        <v>1</v>
      </c>
      <c r="H524" s="6">
        <v>3</v>
      </c>
      <c r="I524" s="6" t="s">
        <v>13</v>
      </c>
      <c r="J524" s="6" t="str">
        <f>IF(Employee[[#This Row],[Attrition]]="Yes","Resigned","Active")</f>
        <v>Active</v>
      </c>
    </row>
    <row r="525" spans="1:10" x14ac:dyDescent="0.25">
      <c r="A525" s="6">
        <v>716</v>
      </c>
      <c r="B525" s="6">
        <v>50</v>
      </c>
      <c r="C525" s="5" t="s">
        <v>11</v>
      </c>
      <c r="D525" s="5" t="s">
        <v>14</v>
      </c>
      <c r="E525" s="6">
        <v>1</v>
      </c>
      <c r="F525" s="6">
        <v>3221</v>
      </c>
      <c r="G525" s="6">
        <v>20</v>
      </c>
      <c r="H525" s="6">
        <v>3</v>
      </c>
      <c r="I525" s="6" t="s">
        <v>13</v>
      </c>
      <c r="J525" s="6" t="str">
        <f>IF(Employee[[#This Row],[Attrition]]="Yes","Resigned","Active")</f>
        <v>Active</v>
      </c>
    </row>
    <row r="526" spans="1:10" x14ac:dyDescent="0.25">
      <c r="A526" s="6">
        <v>717</v>
      </c>
      <c r="B526" s="6">
        <v>34</v>
      </c>
      <c r="C526" s="5" t="s">
        <v>11</v>
      </c>
      <c r="D526" s="5" t="s">
        <v>16</v>
      </c>
      <c r="E526" s="6">
        <v>3</v>
      </c>
      <c r="F526" s="6">
        <v>8621</v>
      </c>
      <c r="G526" s="6">
        <v>8</v>
      </c>
      <c r="H526" s="6">
        <v>4</v>
      </c>
      <c r="I526" s="6" t="s">
        <v>13</v>
      </c>
      <c r="J526" s="6" t="str">
        <f>IF(Employee[[#This Row],[Attrition]]="Yes","Resigned","Active")</f>
        <v>Active</v>
      </c>
    </row>
    <row r="527" spans="1:10" x14ac:dyDescent="0.25">
      <c r="A527" s="6">
        <v>720</v>
      </c>
      <c r="B527" s="6">
        <v>24</v>
      </c>
      <c r="C527" s="5" t="s">
        <v>8</v>
      </c>
      <c r="D527" s="5" t="s">
        <v>9</v>
      </c>
      <c r="E527" s="6">
        <v>2</v>
      </c>
      <c r="F527" s="6">
        <v>4577</v>
      </c>
      <c r="G527" s="6">
        <v>2</v>
      </c>
      <c r="H527" s="6">
        <v>3</v>
      </c>
      <c r="I527" s="6" t="s">
        <v>10</v>
      </c>
      <c r="J527" s="6" t="str">
        <f>IF(Employee[[#This Row],[Attrition]]="Yes","Resigned","Active")</f>
        <v>Resigned</v>
      </c>
    </row>
    <row r="528" spans="1:10" x14ac:dyDescent="0.25">
      <c r="A528" s="6">
        <v>721</v>
      </c>
      <c r="B528" s="6">
        <v>39</v>
      </c>
      <c r="C528" s="5" t="s">
        <v>11</v>
      </c>
      <c r="D528" s="5" t="s">
        <v>16</v>
      </c>
      <c r="E528" s="6">
        <v>2</v>
      </c>
      <c r="F528" s="6">
        <v>4553</v>
      </c>
      <c r="G528" s="6">
        <v>20</v>
      </c>
      <c r="H528" s="6">
        <v>3</v>
      </c>
      <c r="I528" s="6" t="s">
        <v>13</v>
      </c>
      <c r="J528" s="6" t="str">
        <f>IF(Employee[[#This Row],[Attrition]]="Yes","Resigned","Active")</f>
        <v>Active</v>
      </c>
    </row>
    <row r="529" spans="1:10" x14ac:dyDescent="0.25">
      <c r="A529" s="6">
        <v>722</v>
      </c>
      <c r="B529" s="6">
        <v>32</v>
      </c>
      <c r="C529" s="5" t="s">
        <v>8</v>
      </c>
      <c r="D529" s="5" t="s">
        <v>9</v>
      </c>
      <c r="E529" s="6">
        <v>2</v>
      </c>
      <c r="F529" s="6">
        <v>5396</v>
      </c>
      <c r="G529" s="6">
        <v>10</v>
      </c>
      <c r="H529" s="6">
        <v>2</v>
      </c>
      <c r="I529" s="6" t="s">
        <v>13</v>
      </c>
      <c r="J529" s="6" t="str">
        <f>IF(Employee[[#This Row],[Attrition]]="Yes","Resigned","Active")</f>
        <v>Active</v>
      </c>
    </row>
    <row r="530" spans="1:10" x14ac:dyDescent="0.25">
      <c r="A530" s="6">
        <v>723</v>
      </c>
      <c r="B530" s="6">
        <v>50</v>
      </c>
      <c r="C530" s="5" t="s">
        <v>8</v>
      </c>
      <c r="D530" s="5" t="s">
        <v>9</v>
      </c>
      <c r="E530" s="6">
        <v>2</v>
      </c>
      <c r="F530" s="6">
        <v>6796</v>
      </c>
      <c r="G530" s="6">
        <v>4</v>
      </c>
      <c r="H530" s="6">
        <v>3</v>
      </c>
      <c r="I530" s="6" t="s">
        <v>10</v>
      </c>
      <c r="J530" s="6" t="str">
        <f>IF(Employee[[#This Row],[Attrition]]="Yes","Resigned","Active")</f>
        <v>Resigned</v>
      </c>
    </row>
    <row r="531" spans="1:10" x14ac:dyDescent="0.25">
      <c r="A531" s="6">
        <v>724</v>
      </c>
      <c r="B531" s="6">
        <v>38</v>
      </c>
      <c r="C531" s="5" t="s">
        <v>11</v>
      </c>
      <c r="D531" s="5" t="s">
        <v>16</v>
      </c>
      <c r="E531" s="6">
        <v>2</v>
      </c>
      <c r="F531" s="6">
        <v>7625</v>
      </c>
      <c r="G531" s="6">
        <v>9</v>
      </c>
      <c r="H531" s="6">
        <v>2</v>
      </c>
      <c r="I531" s="6" t="s">
        <v>13</v>
      </c>
      <c r="J531" s="6" t="str">
        <f>IF(Employee[[#This Row],[Attrition]]="Yes","Resigned","Active")</f>
        <v>Active</v>
      </c>
    </row>
    <row r="532" spans="1:10" x14ac:dyDescent="0.25">
      <c r="A532" s="6">
        <v>725</v>
      </c>
      <c r="B532" s="6">
        <v>27</v>
      </c>
      <c r="C532" s="5" t="s">
        <v>11</v>
      </c>
      <c r="D532" s="5" t="s">
        <v>15</v>
      </c>
      <c r="E532" s="6">
        <v>3</v>
      </c>
      <c r="F532" s="6">
        <v>7412</v>
      </c>
      <c r="G532" s="6">
        <v>9</v>
      </c>
      <c r="H532" s="6">
        <v>3</v>
      </c>
      <c r="I532" s="6" t="s">
        <v>13</v>
      </c>
      <c r="J532" s="6" t="str">
        <f>IF(Employee[[#This Row],[Attrition]]="Yes","Resigned","Active")</f>
        <v>Active</v>
      </c>
    </row>
    <row r="533" spans="1:10" x14ac:dyDescent="0.25">
      <c r="A533" s="6">
        <v>727</v>
      </c>
      <c r="B533" s="6">
        <v>32</v>
      </c>
      <c r="C533" s="5" t="s">
        <v>11</v>
      </c>
      <c r="D533" s="5" t="s">
        <v>19</v>
      </c>
      <c r="E533" s="6">
        <v>3</v>
      </c>
      <c r="F533" s="6">
        <v>11159</v>
      </c>
      <c r="G533" s="6">
        <v>7</v>
      </c>
      <c r="H533" s="6">
        <v>3</v>
      </c>
      <c r="I533" s="6" t="s">
        <v>13</v>
      </c>
      <c r="J533" s="6" t="str">
        <f>IF(Employee[[#This Row],[Attrition]]="Yes","Resigned","Active")</f>
        <v>Active</v>
      </c>
    </row>
    <row r="534" spans="1:10" x14ac:dyDescent="0.25">
      <c r="A534" s="6">
        <v>728</v>
      </c>
      <c r="B534" s="6">
        <v>47</v>
      </c>
      <c r="C534" s="5" t="s">
        <v>8</v>
      </c>
      <c r="D534" s="5" t="s">
        <v>9</v>
      </c>
      <c r="E534" s="6">
        <v>2</v>
      </c>
      <c r="F534" s="6">
        <v>4960</v>
      </c>
      <c r="G534" s="6">
        <v>7</v>
      </c>
      <c r="H534" s="6">
        <v>3</v>
      </c>
      <c r="I534" s="6" t="s">
        <v>13</v>
      </c>
      <c r="J534" s="6" t="str">
        <f>IF(Employee[[#This Row],[Attrition]]="Yes","Resigned","Active")</f>
        <v>Active</v>
      </c>
    </row>
    <row r="535" spans="1:10" x14ac:dyDescent="0.25">
      <c r="A535" s="6">
        <v>729</v>
      </c>
      <c r="B535" s="6">
        <v>40</v>
      </c>
      <c r="C535" s="5" t="s">
        <v>8</v>
      </c>
      <c r="D535" s="5" t="s">
        <v>9</v>
      </c>
      <c r="E535" s="6">
        <v>3</v>
      </c>
      <c r="F535" s="6">
        <v>10475</v>
      </c>
      <c r="G535" s="6">
        <v>18</v>
      </c>
      <c r="H535" s="6">
        <v>3</v>
      </c>
      <c r="I535" s="6" t="s">
        <v>13</v>
      </c>
      <c r="J535" s="6" t="str">
        <f>IF(Employee[[#This Row],[Attrition]]="Yes","Resigned","Active")</f>
        <v>Active</v>
      </c>
    </row>
    <row r="536" spans="1:10" x14ac:dyDescent="0.25">
      <c r="A536" s="6">
        <v>730</v>
      </c>
      <c r="B536" s="6">
        <v>53</v>
      </c>
      <c r="C536" s="5" t="s">
        <v>11</v>
      </c>
      <c r="D536" s="5" t="s">
        <v>19</v>
      </c>
      <c r="E536" s="6">
        <v>4</v>
      </c>
      <c r="F536" s="6">
        <v>14814</v>
      </c>
      <c r="G536" s="6">
        <v>5</v>
      </c>
      <c r="H536" s="6">
        <v>3</v>
      </c>
      <c r="I536" s="6" t="s">
        <v>13</v>
      </c>
      <c r="J536" s="6" t="str">
        <f>IF(Employee[[#This Row],[Attrition]]="Yes","Resigned","Active")</f>
        <v>Active</v>
      </c>
    </row>
    <row r="537" spans="1:10" x14ac:dyDescent="0.25">
      <c r="A537" s="6">
        <v>731</v>
      </c>
      <c r="B537" s="6">
        <v>41</v>
      </c>
      <c r="C537" s="5" t="s">
        <v>20</v>
      </c>
      <c r="D537" s="5" t="s">
        <v>17</v>
      </c>
      <c r="E537" s="6">
        <v>5</v>
      </c>
      <c r="F537" s="6">
        <v>19141</v>
      </c>
      <c r="G537" s="6">
        <v>21</v>
      </c>
      <c r="H537" s="6">
        <v>2</v>
      </c>
      <c r="I537" s="6" t="s">
        <v>13</v>
      </c>
      <c r="J537" s="6" t="str">
        <f>IF(Employee[[#This Row],[Attrition]]="Yes","Resigned","Active")</f>
        <v>Active</v>
      </c>
    </row>
    <row r="538" spans="1:10" x14ac:dyDescent="0.25">
      <c r="A538" s="6">
        <v>732</v>
      </c>
      <c r="B538" s="6">
        <v>60</v>
      </c>
      <c r="C538" s="5" t="s">
        <v>8</v>
      </c>
      <c r="D538" s="5" t="s">
        <v>9</v>
      </c>
      <c r="E538" s="6">
        <v>2</v>
      </c>
      <c r="F538" s="6">
        <v>5405</v>
      </c>
      <c r="G538" s="6">
        <v>2</v>
      </c>
      <c r="H538" s="6">
        <v>3</v>
      </c>
      <c r="I538" s="6" t="s">
        <v>13</v>
      </c>
      <c r="J538" s="6" t="str">
        <f>IF(Employee[[#This Row],[Attrition]]="Yes","Resigned","Active")</f>
        <v>Active</v>
      </c>
    </row>
    <row r="539" spans="1:10" x14ac:dyDescent="0.25">
      <c r="A539" s="6">
        <v>733</v>
      </c>
      <c r="B539" s="6">
        <v>27</v>
      </c>
      <c r="C539" s="5" t="s">
        <v>11</v>
      </c>
      <c r="D539" s="5" t="s">
        <v>15</v>
      </c>
      <c r="E539" s="6">
        <v>3</v>
      </c>
      <c r="F539" s="6">
        <v>8793</v>
      </c>
      <c r="G539" s="6">
        <v>9</v>
      </c>
      <c r="H539" s="6">
        <v>2</v>
      </c>
      <c r="I539" s="6" t="s">
        <v>13</v>
      </c>
      <c r="J539" s="6" t="str">
        <f>IF(Employee[[#This Row],[Attrition]]="Yes","Resigned","Active")</f>
        <v>Active</v>
      </c>
    </row>
    <row r="540" spans="1:10" x14ac:dyDescent="0.25">
      <c r="A540" s="6">
        <v>734</v>
      </c>
      <c r="B540" s="6">
        <v>41</v>
      </c>
      <c r="C540" s="5" t="s">
        <v>20</v>
      </c>
      <c r="D540" s="5" t="s">
        <v>17</v>
      </c>
      <c r="E540" s="6">
        <v>5</v>
      </c>
      <c r="F540" s="6">
        <v>19189</v>
      </c>
      <c r="G540" s="6">
        <v>22</v>
      </c>
      <c r="H540" s="6">
        <v>3</v>
      </c>
      <c r="I540" s="6" t="s">
        <v>13</v>
      </c>
      <c r="J540" s="6" t="str">
        <f>IF(Employee[[#This Row],[Attrition]]="Yes","Resigned","Active")</f>
        <v>Active</v>
      </c>
    </row>
    <row r="541" spans="1:10" x14ac:dyDescent="0.25">
      <c r="A541" s="6">
        <v>738</v>
      </c>
      <c r="B541" s="6">
        <v>50</v>
      </c>
      <c r="C541" s="5" t="s">
        <v>8</v>
      </c>
      <c r="D541" s="5" t="s">
        <v>18</v>
      </c>
      <c r="E541" s="6">
        <v>1</v>
      </c>
      <c r="F541" s="6">
        <v>3875</v>
      </c>
      <c r="G541" s="6">
        <v>2</v>
      </c>
      <c r="H541" s="6">
        <v>3</v>
      </c>
      <c r="I541" s="6" t="s">
        <v>13</v>
      </c>
      <c r="J541" s="6" t="str">
        <f>IF(Employee[[#This Row],[Attrition]]="Yes","Resigned","Active")</f>
        <v>Active</v>
      </c>
    </row>
    <row r="542" spans="1:10" x14ac:dyDescent="0.25">
      <c r="A542" s="6">
        <v>741</v>
      </c>
      <c r="B542" s="6">
        <v>28</v>
      </c>
      <c r="C542" s="5" t="s">
        <v>11</v>
      </c>
      <c r="D542" s="5" t="s">
        <v>12</v>
      </c>
      <c r="E542" s="6">
        <v>1</v>
      </c>
      <c r="F542" s="6">
        <v>2216</v>
      </c>
      <c r="G542" s="6">
        <v>7</v>
      </c>
      <c r="H542" s="6">
        <v>3</v>
      </c>
      <c r="I542" s="6" t="s">
        <v>10</v>
      </c>
      <c r="J542" s="6" t="str">
        <f>IF(Employee[[#This Row],[Attrition]]="Yes","Resigned","Active")</f>
        <v>Resigned</v>
      </c>
    </row>
    <row r="543" spans="1:10" x14ac:dyDescent="0.25">
      <c r="A543" s="6">
        <v>742</v>
      </c>
      <c r="B543" s="6">
        <v>36</v>
      </c>
      <c r="C543" s="5" t="s">
        <v>11</v>
      </c>
      <c r="D543" s="5" t="s">
        <v>19</v>
      </c>
      <c r="E543" s="6">
        <v>3</v>
      </c>
      <c r="F543" s="6">
        <v>11713</v>
      </c>
      <c r="G543" s="6">
        <v>8</v>
      </c>
      <c r="H543" s="6">
        <v>3</v>
      </c>
      <c r="I543" s="6" t="s">
        <v>13</v>
      </c>
      <c r="J543" s="6" t="str">
        <f>IF(Employee[[#This Row],[Attrition]]="Yes","Resigned","Active")</f>
        <v>Active</v>
      </c>
    </row>
    <row r="544" spans="1:10" x14ac:dyDescent="0.25">
      <c r="A544" s="6">
        <v>743</v>
      </c>
      <c r="B544" s="6">
        <v>38</v>
      </c>
      <c r="C544" s="5" t="s">
        <v>11</v>
      </c>
      <c r="D544" s="5" t="s">
        <v>15</v>
      </c>
      <c r="E544" s="6">
        <v>3</v>
      </c>
      <c r="F544" s="6">
        <v>7861</v>
      </c>
      <c r="G544" s="6">
        <v>1</v>
      </c>
      <c r="H544" s="6">
        <v>4</v>
      </c>
      <c r="I544" s="6" t="s">
        <v>13</v>
      </c>
      <c r="J544" s="6" t="str">
        <f>IF(Employee[[#This Row],[Attrition]]="Yes","Resigned","Active")</f>
        <v>Active</v>
      </c>
    </row>
    <row r="545" spans="1:10" x14ac:dyDescent="0.25">
      <c r="A545" s="6">
        <v>744</v>
      </c>
      <c r="B545" s="6">
        <v>44</v>
      </c>
      <c r="C545" s="5" t="s">
        <v>11</v>
      </c>
      <c r="D545" s="5" t="s">
        <v>14</v>
      </c>
      <c r="E545" s="6">
        <v>1</v>
      </c>
      <c r="F545" s="6">
        <v>3708</v>
      </c>
      <c r="G545" s="6">
        <v>5</v>
      </c>
      <c r="H545" s="6">
        <v>3</v>
      </c>
      <c r="I545" s="6" t="s">
        <v>13</v>
      </c>
      <c r="J545" s="6" t="str">
        <f>IF(Employee[[#This Row],[Attrition]]="Yes","Resigned","Active")</f>
        <v>Active</v>
      </c>
    </row>
    <row r="546" spans="1:10" x14ac:dyDescent="0.25">
      <c r="A546" s="6">
        <v>746</v>
      </c>
      <c r="B546" s="6">
        <v>47</v>
      </c>
      <c r="C546" s="5" t="s">
        <v>8</v>
      </c>
      <c r="D546" s="5" t="s">
        <v>9</v>
      </c>
      <c r="E546" s="6">
        <v>4</v>
      </c>
      <c r="F546" s="6">
        <v>13770</v>
      </c>
      <c r="G546" s="6">
        <v>22</v>
      </c>
      <c r="H546" s="6">
        <v>2</v>
      </c>
      <c r="I546" s="6" t="s">
        <v>13</v>
      </c>
      <c r="J546" s="6" t="str">
        <f>IF(Employee[[#This Row],[Attrition]]="Yes","Resigned","Active")</f>
        <v>Active</v>
      </c>
    </row>
    <row r="547" spans="1:10" x14ac:dyDescent="0.25">
      <c r="A547" s="6">
        <v>747</v>
      </c>
      <c r="B547" s="6">
        <v>30</v>
      </c>
      <c r="C547" s="5" t="s">
        <v>8</v>
      </c>
      <c r="D547" s="5" t="s">
        <v>9</v>
      </c>
      <c r="E547" s="6">
        <v>2</v>
      </c>
      <c r="F547" s="6">
        <v>5304</v>
      </c>
      <c r="G547" s="6">
        <v>8</v>
      </c>
      <c r="H547" s="6">
        <v>2</v>
      </c>
      <c r="I547" s="6" t="s">
        <v>13</v>
      </c>
      <c r="J547" s="6" t="str">
        <f>IF(Employee[[#This Row],[Attrition]]="Yes","Resigned","Active")</f>
        <v>Active</v>
      </c>
    </row>
    <row r="548" spans="1:10" x14ac:dyDescent="0.25">
      <c r="A548" s="6">
        <v>749</v>
      </c>
      <c r="B548" s="6">
        <v>29</v>
      </c>
      <c r="C548" s="5" t="s">
        <v>8</v>
      </c>
      <c r="D548" s="5" t="s">
        <v>18</v>
      </c>
      <c r="E548" s="6">
        <v>1</v>
      </c>
      <c r="F548" s="6">
        <v>2642</v>
      </c>
      <c r="G548" s="6">
        <v>1</v>
      </c>
      <c r="H548" s="6">
        <v>3</v>
      </c>
      <c r="I548" s="6" t="s">
        <v>13</v>
      </c>
      <c r="J548" s="6" t="str">
        <f>IF(Employee[[#This Row],[Attrition]]="Yes","Resigned","Active")</f>
        <v>Active</v>
      </c>
    </row>
    <row r="549" spans="1:10" x14ac:dyDescent="0.25">
      <c r="A549" s="6">
        <v>752</v>
      </c>
      <c r="B549" s="6">
        <v>42</v>
      </c>
      <c r="C549" s="5" t="s">
        <v>11</v>
      </c>
      <c r="D549" s="5" t="s">
        <v>12</v>
      </c>
      <c r="E549" s="6">
        <v>1</v>
      </c>
      <c r="F549" s="6">
        <v>2759</v>
      </c>
      <c r="G549" s="6">
        <v>2</v>
      </c>
      <c r="H549" s="6">
        <v>3</v>
      </c>
      <c r="I549" s="6" t="s">
        <v>10</v>
      </c>
      <c r="J549" s="6" t="str">
        <f>IF(Employee[[#This Row],[Attrition]]="Yes","Resigned","Active")</f>
        <v>Resigned</v>
      </c>
    </row>
    <row r="550" spans="1:10" x14ac:dyDescent="0.25">
      <c r="A550" s="6">
        <v>754</v>
      </c>
      <c r="B550" s="6">
        <v>43</v>
      </c>
      <c r="C550" s="5" t="s">
        <v>8</v>
      </c>
      <c r="D550" s="5" t="s">
        <v>9</v>
      </c>
      <c r="E550" s="6">
        <v>2</v>
      </c>
      <c r="F550" s="6">
        <v>6804</v>
      </c>
      <c r="G550" s="6">
        <v>2</v>
      </c>
      <c r="H550" s="6">
        <v>3</v>
      </c>
      <c r="I550" s="6" t="s">
        <v>13</v>
      </c>
      <c r="J550" s="6" t="str">
        <f>IF(Employee[[#This Row],[Attrition]]="Yes","Resigned","Active")</f>
        <v>Active</v>
      </c>
    </row>
    <row r="551" spans="1:10" x14ac:dyDescent="0.25">
      <c r="A551" s="6">
        <v>757</v>
      </c>
      <c r="B551" s="6">
        <v>34</v>
      </c>
      <c r="C551" s="5" t="s">
        <v>11</v>
      </c>
      <c r="D551" s="5" t="s">
        <v>16</v>
      </c>
      <c r="E551" s="6">
        <v>2</v>
      </c>
      <c r="F551" s="6">
        <v>6142</v>
      </c>
      <c r="G551" s="6">
        <v>5</v>
      </c>
      <c r="H551" s="6">
        <v>3</v>
      </c>
      <c r="I551" s="6" t="s">
        <v>13</v>
      </c>
      <c r="J551" s="6" t="str">
        <f>IF(Employee[[#This Row],[Attrition]]="Yes","Resigned","Active")</f>
        <v>Active</v>
      </c>
    </row>
    <row r="552" spans="1:10" x14ac:dyDescent="0.25">
      <c r="A552" s="6">
        <v>758</v>
      </c>
      <c r="B552" s="6">
        <v>23</v>
      </c>
      <c r="C552" s="5" t="s">
        <v>11</v>
      </c>
      <c r="D552" s="5" t="s">
        <v>14</v>
      </c>
      <c r="E552" s="6">
        <v>1</v>
      </c>
      <c r="F552" s="6">
        <v>2500</v>
      </c>
      <c r="G552" s="6">
        <v>4</v>
      </c>
      <c r="H552" s="6">
        <v>4</v>
      </c>
      <c r="I552" s="6" t="s">
        <v>13</v>
      </c>
      <c r="J552" s="6" t="str">
        <f>IF(Employee[[#This Row],[Attrition]]="Yes","Resigned","Active")</f>
        <v>Active</v>
      </c>
    </row>
    <row r="553" spans="1:10" x14ac:dyDescent="0.25">
      <c r="A553" s="6">
        <v>760</v>
      </c>
      <c r="B553" s="6">
        <v>39</v>
      </c>
      <c r="C553" s="5" t="s">
        <v>20</v>
      </c>
      <c r="D553" s="5" t="s">
        <v>20</v>
      </c>
      <c r="E553" s="6">
        <v>2</v>
      </c>
      <c r="F553" s="6">
        <v>6389</v>
      </c>
      <c r="G553" s="6">
        <v>8</v>
      </c>
      <c r="H553" s="6">
        <v>1</v>
      </c>
      <c r="I553" s="6" t="s">
        <v>13</v>
      </c>
      <c r="J553" s="6" t="str">
        <f>IF(Employee[[#This Row],[Attrition]]="Yes","Resigned","Active")</f>
        <v>Active</v>
      </c>
    </row>
    <row r="554" spans="1:10" x14ac:dyDescent="0.25">
      <c r="A554" s="6">
        <v>762</v>
      </c>
      <c r="B554" s="6">
        <v>56</v>
      </c>
      <c r="C554" s="5" t="s">
        <v>11</v>
      </c>
      <c r="D554" s="5" t="s">
        <v>16</v>
      </c>
      <c r="E554" s="6">
        <v>4</v>
      </c>
      <c r="F554" s="6">
        <v>11103</v>
      </c>
      <c r="G554" s="6">
        <v>10</v>
      </c>
      <c r="H554" s="6">
        <v>2</v>
      </c>
      <c r="I554" s="6" t="s">
        <v>13</v>
      </c>
      <c r="J554" s="6" t="str">
        <f>IF(Employee[[#This Row],[Attrition]]="Yes","Resigned","Active")</f>
        <v>Active</v>
      </c>
    </row>
    <row r="555" spans="1:10" x14ac:dyDescent="0.25">
      <c r="A555" s="6">
        <v>763</v>
      </c>
      <c r="B555" s="6">
        <v>40</v>
      </c>
      <c r="C555" s="5" t="s">
        <v>11</v>
      </c>
      <c r="D555" s="5" t="s">
        <v>12</v>
      </c>
      <c r="E555" s="6">
        <v>1</v>
      </c>
      <c r="F555" s="6">
        <v>2342</v>
      </c>
      <c r="G555" s="6">
        <v>4</v>
      </c>
      <c r="H555" s="6">
        <v>2</v>
      </c>
      <c r="I555" s="6" t="s">
        <v>13</v>
      </c>
      <c r="J555" s="6" t="str">
        <f>IF(Employee[[#This Row],[Attrition]]="Yes","Resigned","Active")</f>
        <v>Active</v>
      </c>
    </row>
    <row r="556" spans="1:10" x14ac:dyDescent="0.25">
      <c r="A556" s="6">
        <v>764</v>
      </c>
      <c r="B556" s="6">
        <v>27</v>
      </c>
      <c r="C556" s="5" t="s">
        <v>11</v>
      </c>
      <c r="D556" s="5" t="s">
        <v>16</v>
      </c>
      <c r="E556" s="6">
        <v>2</v>
      </c>
      <c r="F556" s="6">
        <v>6811</v>
      </c>
      <c r="G556" s="6">
        <v>7</v>
      </c>
      <c r="H556" s="6">
        <v>1</v>
      </c>
      <c r="I556" s="6" t="s">
        <v>13</v>
      </c>
      <c r="J556" s="6" t="str">
        <f>IF(Employee[[#This Row],[Attrition]]="Yes","Resigned","Active")</f>
        <v>Active</v>
      </c>
    </row>
    <row r="557" spans="1:10" x14ac:dyDescent="0.25">
      <c r="A557" s="6">
        <v>766</v>
      </c>
      <c r="B557" s="6">
        <v>29</v>
      </c>
      <c r="C557" s="5" t="s">
        <v>8</v>
      </c>
      <c r="D557" s="5" t="s">
        <v>18</v>
      </c>
      <c r="E557" s="6">
        <v>1</v>
      </c>
      <c r="F557" s="6">
        <v>2297</v>
      </c>
      <c r="G557" s="6">
        <v>2</v>
      </c>
      <c r="H557" s="6">
        <v>3</v>
      </c>
      <c r="I557" s="6" t="s">
        <v>13</v>
      </c>
      <c r="J557" s="6" t="str">
        <f>IF(Employee[[#This Row],[Attrition]]="Yes","Resigned","Active")</f>
        <v>Active</v>
      </c>
    </row>
    <row r="558" spans="1:10" x14ac:dyDescent="0.25">
      <c r="A558" s="6">
        <v>769</v>
      </c>
      <c r="B558" s="6">
        <v>53</v>
      </c>
      <c r="C558" s="5" t="s">
        <v>11</v>
      </c>
      <c r="D558" s="5" t="s">
        <v>14</v>
      </c>
      <c r="E558" s="6">
        <v>2</v>
      </c>
      <c r="F558" s="6">
        <v>2450</v>
      </c>
      <c r="G558" s="6">
        <v>2</v>
      </c>
      <c r="H558" s="6">
        <v>3</v>
      </c>
      <c r="I558" s="6" t="s">
        <v>13</v>
      </c>
      <c r="J558" s="6" t="str">
        <f>IF(Employee[[#This Row],[Attrition]]="Yes","Resigned","Active")</f>
        <v>Active</v>
      </c>
    </row>
    <row r="559" spans="1:10" x14ac:dyDescent="0.25">
      <c r="A559" s="6">
        <v>771</v>
      </c>
      <c r="B559" s="6">
        <v>35</v>
      </c>
      <c r="C559" s="5" t="s">
        <v>11</v>
      </c>
      <c r="D559" s="5" t="s">
        <v>16</v>
      </c>
      <c r="E559" s="6">
        <v>2</v>
      </c>
      <c r="F559" s="6">
        <v>5093</v>
      </c>
      <c r="G559" s="6">
        <v>1</v>
      </c>
      <c r="H559" s="6">
        <v>4</v>
      </c>
      <c r="I559" s="6" t="s">
        <v>13</v>
      </c>
      <c r="J559" s="6" t="str">
        <f>IF(Employee[[#This Row],[Attrition]]="Yes","Resigned","Active")</f>
        <v>Active</v>
      </c>
    </row>
    <row r="560" spans="1:10" x14ac:dyDescent="0.25">
      <c r="A560" s="6">
        <v>772</v>
      </c>
      <c r="B560" s="6">
        <v>32</v>
      </c>
      <c r="C560" s="5" t="s">
        <v>11</v>
      </c>
      <c r="D560" s="5" t="s">
        <v>14</v>
      </c>
      <c r="E560" s="6">
        <v>2</v>
      </c>
      <c r="F560" s="6">
        <v>5309</v>
      </c>
      <c r="G560" s="6">
        <v>10</v>
      </c>
      <c r="H560" s="6">
        <v>3</v>
      </c>
      <c r="I560" s="6" t="s">
        <v>13</v>
      </c>
      <c r="J560" s="6" t="str">
        <f>IF(Employee[[#This Row],[Attrition]]="Yes","Resigned","Active")</f>
        <v>Active</v>
      </c>
    </row>
    <row r="561" spans="1:10" x14ac:dyDescent="0.25">
      <c r="A561" s="6">
        <v>773</v>
      </c>
      <c r="B561" s="6">
        <v>38</v>
      </c>
      <c r="C561" s="5" t="s">
        <v>11</v>
      </c>
      <c r="D561" s="5" t="s">
        <v>12</v>
      </c>
      <c r="E561" s="6">
        <v>1</v>
      </c>
      <c r="F561" s="6">
        <v>3057</v>
      </c>
      <c r="G561" s="6">
        <v>1</v>
      </c>
      <c r="H561" s="6">
        <v>1</v>
      </c>
      <c r="I561" s="6" t="s">
        <v>13</v>
      </c>
      <c r="J561" s="6" t="str">
        <f>IF(Employee[[#This Row],[Attrition]]="Yes","Resigned","Active")</f>
        <v>Active</v>
      </c>
    </row>
    <row r="562" spans="1:10" x14ac:dyDescent="0.25">
      <c r="A562" s="6">
        <v>775</v>
      </c>
      <c r="B562" s="6">
        <v>34</v>
      </c>
      <c r="C562" s="5" t="s">
        <v>11</v>
      </c>
      <c r="D562" s="5" t="s">
        <v>15</v>
      </c>
      <c r="E562" s="6">
        <v>2</v>
      </c>
      <c r="F562" s="6">
        <v>5121</v>
      </c>
      <c r="G562" s="6">
        <v>0</v>
      </c>
      <c r="H562" s="6">
        <v>3</v>
      </c>
      <c r="I562" s="6" t="s">
        <v>13</v>
      </c>
      <c r="J562" s="6" t="str">
        <f>IF(Employee[[#This Row],[Attrition]]="Yes","Resigned","Active")</f>
        <v>Active</v>
      </c>
    </row>
    <row r="563" spans="1:10" x14ac:dyDescent="0.25">
      <c r="A563" s="6">
        <v>776</v>
      </c>
      <c r="B563" s="6">
        <v>52</v>
      </c>
      <c r="C563" s="5" t="s">
        <v>8</v>
      </c>
      <c r="D563" s="5" t="s">
        <v>17</v>
      </c>
      <c r="E563" s="6">
        <v>4</v>
      </c>
      <c r="F563" s="6">
        <v>16856</v>
      </c>
      <c r="G563" s="6">
        <v>34</v>
      </c>
      <c r="H563" s="6">
        <v>4</v>
      </c>
      <c r="I563" s="6" t="s">
        <v>13</v>
      </c>
      <c r="J563" s="6" t="str">
        <f>IF(Employee[[#This Row],[Attrition]]="Yes","Resigned","Active")</f>
        <v>Active</v>
      </c>
    </row>
    <row r="564" spans="1:10" x14ac:dyDescent="0.25">
      <c r="A564" s="6">
        <v>780</v>
      </c>
      <c r="B564" s="6">
        <v>33</v>
      </c>
      <c r="C564" s="5" t="s">
        <v>11</v>
      </c>
      <c r="D564" s="5" t="s">
        <v>12</v>
      </c>
      <c r="E564" s="6">
        <v>1</v>
      </c>
      <c r="F564" s="6">
        <v>2686</v>
      </c>
      <c r="G564" s="6">
        <v>10</v>
      </c>
      <c r="H564" s="6">
        <v>2</v>
      </c>
      <c r="I564" s="6" t="s">
        <v>10</v>
      </c>
      <c r="J564" s="6" t="str">
        <f>IF(Employee[[#This Row],[Attrition]]="Yes","Resigned","Active")</f>
        <v>Resigned</v>
      </c>
    </row>
    <row r="565" spans="1:10" x14ac:dyDescent="0.25">
      <c r="A565" s="6">
        <v>781</v>
      </c>
      <c r="B565" s="6">
        <v>25</v>
      </c>
      <c r="C565" s="5" t="s">
        <v>8</v>
      </c>
      <c r="D565" s="5" t="s">
        <v>9</v>
      </c>
      <c r="E565" s="6">
        <v>2</v>
      </c>
      <c r="F565" s="6">
        <v>6180</v>
      </c>
      <c r="G565" s="6">
        <v>6</v>
      </c>
      <c r="H565" s="6">
        <v>2</v>
      </c>
      <c r="I565" s="6" t="s">
        <v>13</v>
      </c>
      <c r="J565" s="6" t="str">
        <f>IF(Employee[[#This Row],[Attrition]]="Yes","Resigned","Active")</f>
        <v>Active</v>
      </c>
    </row>
    <row r="566" spans="1:10" x14ac:dyDescent="0.25">
      <c r="A566" s="6">
        <v>783</v>
      </c>
      <c r="B566" s="6">
        <v>45</v>
      </c>
      <c r="C566" s="5" t="s">
        <v>8</v>
      </c>
      <c r="D566" s="5" t="s">
        <v>18</v>
      </c>
      <c r="E566" s="6">
        <v>2</v>
      </c>
      <c r="F566" s="6">
        <v>6632</v>
      </c>
      <c r="G566" s="6">
        <v>8</v>
      </c>
      <c r="H566" s="6">
        <v>3</v>
      </c>
      <c r="I566" s="6" t="s">
        <v>13</v>
      </c>
      <c r="J566" s="6" t="str">
        <f>IF(Employee[[#This Row],[Attrition]]="Yes","Resigned","Active")</f>
        <v>Active</v>
      </c>
    </row>
    <row r="567" spans="1:10" x14ac:dyDescent="0.25">
      <c r="A567" s="6">
        <v>784</v>
      </c>
      <c r="B567" s="6">
        <v>23</v>
      </c>
      <c r="C567" s="5" t="s">
        <v>11</v>
      </c>
      <c r="D567" s="5" t="s">
        <v>12</v>
      </c>
      <c r="E567" s="6">
        <v>1</v>
      </c>
      <c r="F567" s="6">
        <v>3505</v>
      </c>
      <c r="G567" s="6">
        <v>2</v>
      </c>
      <c r="H567" s="6">
        <v>3</v>
      </c>
      <c r="I567" s="6" t="s">
        <v>13</v>
      </c>
      <c r="J567" s="6" t="str">
        <f>IF(Employee[[#This Row],[Attrition]]="Yes","Resigned","Active")</f>
        <v>Active</v>
      </c>
    </row>
    <row r="568" spans="1:10" x14ac:dyDescent="0.25">
      <c r="A568" s="6">
        <v>785</v>
      </c>
      <c r="B568" s="6">
        <v>47</v>
      </c>
      <c r="C568" s="5" t="s">
        <v>8</v>
      </c>
      <c r="D568" s="5" t="s">
        <v>9</v>
      </c>
      <c r="E568" s="6">
        <v>2</v>
      </c>
      <c r="F568" s="6">
        <v>6397</v>
      </c>
      <c r="G568" s="6">
        <v>5</v>
      </c>
      <c r="H568" s="6">
        <v>3</v>
      </c>
      <c r="I568" s="6" t="s">
        <v>10</v>
      </c>
      <c r="J568" s="6" t="str">
        <f>IF(Employee[[#This Row],[Attrition]]="Yes","Resigned","Active")</f>
        <v>Resigned</v>
      </c>
    </row>
    <row r="569" spans="1:10" x14ac:dyDescent="0.25">
      <c r="A569" s="6">
        <v>786</v>
      </c>
      <c r="B569" s="6">
        <v>34</v>
      </c>
      <c r="C569" s="5" t="s">
        <v>8</v>
      </c>
      <c r="D569" s="5" t="s">
        <v>9</v>
      </c>
      <c r="E569" s="6">
        <v>2</v>
      </c>
      <c r="F569" s="6">
        <v>6274</v>
      </c>
      <c r="G569" s="6">
        <v>6</v>
      </c>
      <c r="H569" s="6">
        <v>3</v>
      </c>
      <c r="I569" s="6" t="s">
        <v>13</v>
      </c>
      <c r="J569" s="6" t="str">
        <f>IF(Employee[[#This Row],[Attrition]]="Yes","Resigned","Active")</f>
        <v>Active</v>
      </c>
    </row>
    <row r="570" spans="1:10" x14ac:dyDescent="0.25">
      <c r="A570" s="6">
        <v>787</v>
      </c>
      <c r="B570" s="6">
        <v>55</v>
      </c>
      <c r="C570" s="5" t="s">
        <v>11</v>
      </c>
      <c r="D570" s="5" t="s">
        <v>17</v>
      </c>
      <c r="E570" s="6">
        <v>5</v>
      </c>
      <c r="F570" s="6">
        <v>19859</v>
      </c>
      <c r="G570" s="6">
        <v>5</v>
      </c>
      <c r="H570" s="6">
        <v>3</v>
      </c>
      <c r="I570" s="6" t="s">
        <v>10</v>
      </c>
      <c r="J570" s="6" t="str">
        <f>IF(Employee[[#This Row],[Attrition]]="Yes","Resigned","Active")</f>
        <v>Resigned</v>
      </c>
    </row>
    <row r="571" spans="1:10" x14ac:dyDescent="0.25">
      <c r="A571" s="6">
        <v>789</v>
      </c>
      <c r="B571" s="6">
        <v>36</v>
      </c>
      <c r="C571" s="5" t="s">
        <v>8</v>
      </c>
      <c r="D571" s="5" t="s">
        <v>9</v>
      </c>
      <c r="E571" s="6">
        <v>3</v>
      </c>
      <c r="F571" s="6">
        <v>7587</v>
      </c>
      <c r="G571" s="6">
        <v>10</v>
      </c>
      <c r="H571" s="6">
        <v>3</v>
      </c>
      <c r="I571" s="6" t="s">
        <v>13</v>
      </c>
      <c r="J571" s="6" t="str">
        <f>IF(Employee[[#This Row],[Attrition]]="Yes","Resigned","Active")</f>
        <v>Active</v>
      </c>
    </row>
    <row r="572" spans="1:10" x14ac:dyDescent="0.25">
      <c r="A572" s="6">
        <v>791</v>
      </c>
      <c r="B572" s="6">
        <v>52</v>
      </c>
      <c r="C572" s="5" t="s">
        <v>11</v>
      </c>
      <c r="D572" s="5" t="s">
        <v>12</v>
      </c>
      <c r="E572" s="6">
        <v>1</v>
      </c>
      <c r="F572" s="6">
        <v>4258</v>
      </c>
      <c r="G572" s="6">
        <v>4</v>
      </c>
      <c r="H572" s="6">
        <v>3</v>
      </c>
      <c r="I572" s="6" t="s">
        <v>13</v>
      </c>
      <c r="J572" s="6" t="str">
        <f>IF(Employee[[#This Row],[Attrition]]="Yes","Resigned","Active")</f>
        <v>Active</v>
      </c>
    </row>
    <row r="573" spans="1:10" x14ac:dyDescent="0.25">
      <c r="A573" s="6">
        <v>792</v>
      </c>
      <c r="B573" s="6">
        <v>26</v>
      </c>
      <c r="C573" s="5" t="s">
        <v>11</v>
      </c>
      <c r="D573" s="5" t="s">
        <v>14</v>
      </c>
      <c r="E573" s="6">
        <v>1</v>
      </c>
      <c r="F573" s="6">
        <v>4364</v>
      </c>
      <c r="G573" s="6">
        <v>2</v>
      </c>
      <c r="H573" s="6">
        <v>3</v>
      </c>
      <c r="I573" s="6" t="s">
        <v>13</v>
      </c>
      <c r="J573" s="6" t="str">
        <f>IF(Employee[[#This Row],[Attrition]]="Yes","Resigned","Active")</f>
        <v>Active</v>
      </c>
    </row>
    <row r="574" spans="1:10" x14ac:dyDescent="0.25">
      <c r="A574" s="6">
        <v>793</v>
      </c>
      <c r="B574" s="6">
        <v>29</v>
      </c>
      <c r="C574" s="5" t="s">
        <v>11</v>
      </c>
      <c r="D574" s="5" t="s">
        <v>16</v>
      </c>
      <c r="E574" s="6">
        <v>2</v>
      </c>
      <c r="F574" s="6">
        <v>4335</v>
      </c>
      <c r="G574" s="6">
        <v>8</v>
      </c>
      <c r="H574" s="6">
        <v>2</v>
      </c>
      <c r="I574" s="6" t="s">
        <v>13</v>
      </c>
      <c r="J574" s="6" t="str">
        <f>IF(Employee[[#This Row],[Attrition]]="Yes","Resigned","Active")</f>
        <v>Active</v>
      </c>
    </row>
    <row r="575" spans="1:10" x14ac:dyDescent="0.25">
      <c r="A575" s="6">
        <v>796</v>
      </c>
      <c r="B575" s="6">
        <v>26</v>
      </c>
      <c r="C575" s="5" t="s">
        <v>8</v>
      </c>
      <c r="D575" s="5" t="s">
        <v>9</v>
      </c>
      <c r="E575" s="6">
        <v>2</v>
      </c>
      <c r="F575" s="6">
        <v>5326</v>
      </c>
      <c r="G575" s="6">
        <v>4</v>
      </c>
      <c r="H575" s="6">
        <v>2</v>
      </c>
      <c r="I575" s="6" t="s">
        <v>10</v>
      </c>
      <c r="J575" s="6" t="str">
        <f>IF(Employee[[#This Row],[Attrition]]="Yes","Resigned","Active")</f>
        <v>Resigned</v>
      </c>
    </row>
    <row r="576" spans="1:10" x14ac:dyDescent="0.25">
      <c r="A576" s="6">
        <v>797</v>
      </c>
      <c r="B576" s="6">
        <v>34</v>
      </c>
      <c r="C576" s="5" t="s">
        <v>11</v>
      </c>
      <c r="D576" s="5" t="s">
        <v>12</v>
      </c>
      <c r="E576" s="6">
        <v>1</v>
      </c>
      <c r="F576" s="6">
        <v>3280</v>
      </c>
      <c r="G576" s="6">
        <v>4</v>
      </c>
      <c r="H576" s="6">
        <v>3</v>
      </c>
      <c r="I576" s="6" t="s">
        <v>13</v>
      </c>
      <c r="J576" s="6" t="str">
        <f>IF(Employee[[#This Row],[Attrition]]="Yes","Resigned","Active")</f>
        <v>Active</v>
      </c>
    </row>
    <row r="577" spans="1:10" x14ac:dyDescent="0.25">
      <c r="A577" s="6">
        <v>799</v>
      </c>
      <c r="B577" s="6">
        <v>54</v>
      </c>
      <c r="C577" s="5" t="s">
        <v>11</v>
      </c>
      <c r="D577" s="5" t="s">
        <v>15</v>
      </c>
      <c r="E577" s="6">
        <v>2</v>
      </c>
      <c r="F577" s="6">
        <v>5485</v>
      </c>
      <c r="G577" s="6">
        <v>5</v>
      </c>
      <c r="H577" s="6">
        <v>3</v>
      </c>
      <c r="I577" s="6" t="s">
        <v>13</v>
      </c>
      <c r="J577" s="6" t="str">
        <f>IF(Employee[[#This Row],[Attrition]]="Yes","Resigned","Active")</f>
        <v>Active</v>
      </c>
    </row>
    <row r="578" spans="1:10" x14ac:dyDescent="0.25">
      <c r="A578" s="6">
        <v>800</v>
      </c>
      <c r="B578" s="6">
        <v>27</v>
      </c>
      <c r="C578" s="5" t="s">
        <v>8</v>
      </c>
      <c r="D578" s="5" t="s">
        <v>9</v>
      </c>
      <c r="E578" s="6">
        <v>2</v>
      </c>
      <c r="F578" s="6">
        <v>4342</v>
      </c>
      <c r="G578" s="6">
        <v>4</v>
      </c>
      <c r="H578" s="6">
        <v>3</v>
      </c>
      <c r="I578" s="6" t="s">
        <v>13</v>
      </c>
      <c r="J578" s="6" t="str">
        <f>IF(Employee[[#This Row],[Attrition]]="Yes","Resigned","Active")</f>
        <v>Active</v>
      </c>
    </row>
    <row r="579" spans="1:10" x14ac:dyDescent="0.25">
      <c r="A579" s="6">
        <v>802</v>
      </c>
      <c r="B579" s="6">
        <v>37</v>
      </c>
      <c r="C579" s="5" t="s">
        <v>11</v>
      </c>
      <c r="D579" s="5" t="s">
        <v>12</v>
      </c>
      <c r="E579" s="6">
        <v>1</v>
      </c>
      <c r="F579" s="6">
        <v>2782</v>
      </c>
      <c r="G579" s="6">
        <v>5</v>
      </c>
      <c r="H579" s="6">
        <v>2</v>
      </c>
      <c r="I579" s="6" t="s">
        <v>13</v>
      </c>
      <c r="J579" s="6" t="str">
        <f>IF(Employee[[#This Row],[Attrition]]="Yes","Resigned","Active")</f>
        <v>Active</v>
      </c>
    </row>
    <row r="580" spans="1:10" x14ac:dyDescent="0.25">
      <c r="A580" s="6">
        <v>803</v>
      </c>
      <c r="B580" s="6">
        <v>38</v>
      </c>
      <c r="C580" s="5" t="s">
        <v>11</v>
      </c>
      <c r="D580" s="5" t="s">
        <v>15</v>
      </c>
      <c r="E580" s="6">
        <v>2</v>
      </c>
      <c r="F580" s="6">
        <v>5980</v>
      </c>
      <c r="G580" s="6">
        <v>15</v>
      </c>
      <c r="H580" s="6">
        <v>3</v>
      </c>
      <c r="I580" s="6" t="s">
        <v>13</v>
      </c>
      <c r="J580" s="6" t="str">
        <f>IF(Employee[[#This Row],[Attrition]]="Yes","Resigned","Active")</f>
        <v>Active</v>
      </c>
    </row>
    <row r="581" spans="1:10" x14ac:dyDescent="0.25">
      <c r="A581" s="6">
        <v>804</v>
      </c>
      <c r="B581" s="6">
        <v>34</v>
      </c>
      <c r="C581" s="5" t="s">
        <v>11</v>
      </c>
      <c r="D581" s="5" t="s">
        <v>12</v>
      </c>
      <c r="E581" s="6">
        <v>1</v>
      </c>
      <c r="F581" s="6">
        <v>4381</v>
      </c>
      <c r="G581" s="6">
        <v>6</v>
      </c>
      <c r="H581" s="6">
        <v>3</v>
      </c>
      <c r="I581" s="6" t="s">
        <v>13</v>
      </c>
      <c r="J581" s="6" t="str">
        <f>IF(Employee[[#This Row],[Attrition]]="Yes","Resigned","Active")</f>
        <v>Active</v>
      </c>
    </row>
    <row r="582" spans="1:10" x14ac:dyDescent="0.25">
      <c r="A582" s="6">
        <v>805</v>
      </c>
      <c r="B582" s="6">
        <v>35</v>
      </c>
      <c r="C582" s="5" t="s">
        <v>8</v>
      </c>
      <c r="D582" s="5" t="s">
        <v>18</v>
      </c>
      <c r="E582" s="6">
        <v>1</v>
      </c>
      <c r="F582" s="6">
        <v>2572</v>
      </c>
      <c r="G582" s="6">
        <v>3</v>
      </c>
      <c r="H582" s="6">
        <v>2</v>
      </c>
      <c r="I582" s="6" t="s">
        <v>13</v>
      </c>
      <c r="J582" s="6" t="str">
        <f>IF(Employee[[#This Row],[Attrition]]="Yes","Resigned","Active")</f>
        <v>Active</v>
      </c>
    </row>
    <row r="583" spans="1:10" x14ac:dyDescent="0.25">
      <c r="A583" s="6">
        <v>806</v>
      </c>
      <c r="B583" s="6">
        <v>30</v>
      </c>
      <c r="C583" s="5" t="s">
        <v>11</v>
      </c>
      <c r="D583" s="5" t="s">
        <v>14</v>
      </c>
      <c r="E583" s="6">
        <v>1</v>
      </c>
      <c r="F583" s="6">
        <v>3833</v>
      </c>
      <c r="G583" s="6">
        <v>2</v>
      </c>
      <c r="H583" s="6">
        <v>3</v>
      </c>
      <c r="I583" s="6" t="s">
        <v>13</v>
      </c>
      <c r="J583" s="6" t="str">
        <f>IF(Employee[[#This Row],[Attrition]]="Yes","Resigned","Active")</f>
        <v>Active</v>
      </c>
    </row>
    <row r="584" spans="1:10" x14ac:dyDescent="0.25">
      <c r="A584" s="6">
        <v>807</v>
      </c>
      <c r="B584" s="6">
        <v>40</v>
      </c>
      <c r="C584" s="5" t="s">
        <v>11</v>
      </c>
      <c r="D584" s="5" t="s">
        <v>16</v>
      </c>
      <c r="E584" s="6">
        <v>2</v>
      </c>
      <c r="F584" s="6">
        <v>4244</v>
      </c>
      <c r="G584" s="6">
        <v>8</v>
      </c>
      <c r="H584" s="6">
        <v>3</v>
      </c>
      <c r="I584" s="6" t="s">
        <v>13</v>
      </c>
      <c r="J584" s="6" t="str">
        <f>IF(Employee[[#This Row],[Attrition]]="Yes","Resigned","Active")</f>
        <v>Active</v>
      </c>
    </row>
    <row r="585" spans="1:10" x14ac:dyDescent="0.25">
      <c r="A585" s="6">
        <v>808</v>
      </c>
      <c r="B585" s="6">
        <v>34</v>
      </c>
      <c r="C585" s="5" t="s">
        <v>8</v>
      </c>
      <c r="D585" s="5" t="s">
        <v>9</v>
      </c>
      <c r="E585" s="6">
        <v>2</v>
      </c>
      <c r="F585" s="6">
        <v>6500</v>
      </c>
      <c r="G585" s="6">
        <v>3</v>
      </c>
      <c r="H585" s="6">
        <v>3</v>
      </c>
      <c r="I585" s="6" t="s">
        <v>13</v>
      </c>
      <c r="J585" s="6" t="str">
        <f>IF(Employee[[#This Row],[Attrition]]="Yes","Resigned","Active")</f>
        <v>Active</v>
      </c>
    </row>
    <row r="586" spans="1:10" x14ac:dyDescent="0.25">
      <c r="A586" s="6">
        <v>809</v>
      </c>
      <c r="B586" s="6">
        <v>42</v>
      </c>
      <c r="C586" s="5" t="s">
        <v>11</v>
      </c>
      <c r="D586" s="5" t="s">
        <v>17</v>
      </c>
      <c r="E586" s="6">
        <v>5</v>
      </c>
      <c r="F586" s="6">
        <v>18430</v>
      </c>
      <c r="G586" s="6">
        <v>24</v>
      </c>
      <c r="H586" s="6">
        <v>2</v>
      </c>
      <c r="I586" s="6" t="s">
        <v>13</v>
      </c>
      <c r="J586" s="6" t="str">
        <f>IF(Employee[[#This Row],[Attrition]]="Yes","Resigned","Active")</f>
        <v>Active</v>
      </c>
    </row>
    <row r="587" spans="1:10" x14ac:dyDescent="0.25">
      <c r="A587" s="6">
        <v>811</v>
      </c>
      <c r="B587" s="6">
        <v>23</v>
      </c>
      <c r="C587" s="5" t="s">
        <v>11</v>
      </c>
      <c r="D587" s="5" t="s">
        <v>14</v>
      </c>
      <c r="E587" s="6">
        <v>1</v>
      </c>
      <c r="F587" s="6">
        <v>1601</v>
      </c>
      <c r="G587" s="6">
        <v>0</v>
      </c>
      <c r="H587" s="6">
        <v>3</v>
      </c>
      <c r="I587" s="6" t="s">
        <v>10</v>
      </c>
      <c r="J587" s="6" t="str">
        <f>IF(Employee[[#This Row],[Attrition]]="Yes","Resigned","Active")</f>
        <v>Resigned</v>
      </c>
    </row>
    <row r="588" spans="1:10" x14ac:dyDescent="0.25">
      <c r="A588" s="6">
        <v>812</v>
      </c>
      <c r="B588" s="6">
        <v>24</v>
      </c>
      <c r="C588" s="5" t="s">
        <v>11</v>
      </c>
      <c r="D588" s="5" t="s">
        <v>14</v>
      </c>
      <c r="E588" s="6">
        <v>1</v>
      </c>
      <c r="F588" s="6">
        <v>2694</v>
      </c>
      <c r="G588" s="6">
        <v>1</v>
      </c>
      <c r="H588" s="6">
        <v>3</v>
      </c>
      <c r="I588" s="6" t="s">
        <v>13</v>
      </c>
      <c r="J588" s="6" t="str">
        <f>IF(Employee[[#This Row],[Attrition]]="Yes","Resigned","Active")</f>
        <v>Active</v>
      </c>
    </row>
    <row r="589" spans="1:10" x14ac:dyDescent="0.25">
      <c r="A589" s="6">
        <v>813</v>
      </c>
      <c r="B589" s="6">
        <v>52</v>
      </c>
      <c r="C589" s="5" t="s">
        <v>11</v>
      </c>
      <c r="D589" s="5" t="s">
        <v>14</v>
      </c>
      <c r="E589" s="6">
        <v>2</v>
      </c>
      <c r="F589" s="6">
        <v>3149</v>
      </c>
      <c r="G589" s="6">
        <v>5</v>
      </c>
      <c r="H589" s="6">
        <v>3</v>
      </c>
      <c r="I589" s="6" t="s">
        <v>13</v>
      </c>
      <c r="J589" s="6" t="str">
        <f>IF(Employee[[#This Row],[Attrition]]="Yes","Resigned","Active")</f>
        <v>Active</v>
      </c>
    </row>
    <row r="590" spans="1:10" x14ac:dyDescent="0.25">
      <c r="A590" s="6">
        <v>815</v>
      </c>
      <c r="B590" s="6">
        <v>50</v>
      </c>
      <c r="C590" s="5" t="s">
        <v>11</v>
      </c>
      <c r="D590" s="5" t="s">
        <v>19</v>
      </c>
      <c r="E590" s="6">
        <v>4</v>
      </c>
      <c r="F590" s="6">
        <v>17639</v>
      </c>
      <c r="G590" s="6">
        <v>4</v>
      </c>
      <c r="H590" s="6">
        <v>3</v>
      </c>
      <c r="I590" s="6" t="s">
        <v>13</v>
      </c>
      <c r="J590" s="6" t="str">
        <f>IF(Employee[[#This Row],[Attrition]]="Yes","Resigned","Active")</f>
        <v>Active</v>
      </c>
    </row>
    <row r="591" spans="1:10" x14ac:dyDescent="0.25">
      <c r="A591" s="6">
        <v>816</v>
      </c>
      <c r="B591" s="6">
        <v>29</v>
      </c>
      <c r="C591" s="5" t="s">
        <v>11</v>
      </c>
      <c r="D591" s="5" t="s">
        <v>14</v>
      </c>
      <c r="E591" s="6">
        <v>1</v>
      </c>
      <c r="F591" s="6">
        <v>2319</v>
      </c>
      <c r="G591" s="6">
        <v>1</v>
      </c>
      <c r="H591" s="6">
        <v>3</v>
      </c>
      <c r="I591" s="6" t="s">
        <v>10</v>
      </c>
      <c r="J591" s="6" t="str">
        <f>IF(Employee[[#This Row],[Attrition]]="Yes","Resigned","Active")</f>
        <v>Resigned</v>
      </c>
    </row>
    <row r="592" spans="1:10" x14ac:dyDescent="0.25">
      <c r="A592" s="6">
        <v>817</v>
      </c>
      <c r="B592" s="6">
        <v>33</v>
      </c>
      <c r="C592" s="5" t="s">
        <v>11</v>
      </c>
      <c r="D592" s="5" t="s">
        <v>19</v>
      </c>
      <c r="E592" s="6">
        <v>3</v>
      </c>
      <c r="F592" s="6">
        <v>11691</v>
      </c>
      <c r="G592" s="6">
        <v>13</v>
      </c>
      <c r="H592" s="6">
        <v>4</v>
      </c>
      <c r="I592" s="6" t="s">
        <v>13</v>
      </c>
      <c r="J592" s="6" t="str">
        <f>IF(Employee[[#This Row],[Attrition]]="Yes","Resigned","Active")</f>
        <v>Active</v>
      </c>
    </row>
    <row r="593" spans="1:10" x14ac:dyDescent="0.25">
      <c r="A593" s="6">
        <v>819</v>
      </c>
      <c r="B593" s="6">
        <v>33</v>
      </c>
      <c r="C593" s="5" t="s">
        <v>8</v>
      </c>
      <c r="D593" s="5" t="s">
        <v>9</v>
      </c>
      <c r="E593" s="6">
        <v>2</v>
      </c>
      <c r="F593" s="6">
        <v>5324</v>
      </c>
      <c r="G593" s="6">
        <v>3</v>
      </c>
      <c r="H593" s="6">
        <v>3</v>
      </c>
      <c r="I593" s="6" t="s">
        <v>10</v>
      </c>
      <c r="J593" s="6" t="str">
        <f>IF(Employee[[#This Row],[Attrition]]="Yes","Resigned","Active")</f>
        <v>Resigned</v>
      </c>
    </row>
    <row r="594" spans="1:10" x14ac:dyDescent="0.25">
      <c r="A594" s="6">
        <v>820</v>
      </c>
      <c r="B594" s="6">
        <v>47</v>
      </c>
      <c r="C594" s="5" t="s">
        <v>11</v>
      </c>
      <c r="D594" s="5" t="s">
        <v>17</v>
      </c>
      <c r="E594" s="6">
        <v>4</v>
      </c>
      <c r="F594" s="6">
        <v>16752</v>
      </c>
      <c r="G594" s="6">
        <v>26</v>
      </c>
      <c r="H594" s="6">
        <v>2</v>
      </c>
      <c r="I594" s="6" t="s">
        <v>13</v>
      </c>
      <c r="J594" s="6" t="str">
        <f>IF(Employee[[#This Row],[Attrition]]="Yes","Resigned","Active")</f>
        <v>Active</v>
      </c>
    </row>
    <row r="595" spans="1:10" x14ac:dyDescent="0.25">
      <c r="A595" s="6">
        <v>823</v>
      </c>
      <c r="B595" s="6">
        <v>36</v>
      </c>
      <c r="C595" s="5" t="s">
        <v>11</v>
      </c>
      <c r="D595" s="5" t="s">
        <v>15</v>
      </c>
      <c r="E595" s="6">
        <v>2</v>
      </c>
      <c r="F595" s="6">
        <v>5228</v>
      </c>
      <c r="G595" s="6">
        <v>9</v>
      </c>
      <c r="H595" s="6">
        <v>3</v>
      </c>
      <c r="I595" s="6" t="s">
        <v>13</v>
      </c>
      <c r="J595" s="6" t="str">
        <f>IF(Employee[[#This Row],[Attrition]]="Yes","Resigned","Active")</f>
        <v>Active</v>
      </c>
    </row>
    <row r="596" spans="1:10" x14ac:dyDescent="0.25">
      <c r="A596" s="6">
        <v>824</v>
      </c>
      <c r="B596" s="6">
        <v>29</v>
      </c>
      <c r="C596" s="5" t="s">
        <v>11</v>
      </c>
      <c r="D596" s="5" t="s">
        <v>12</v>
      </c>
      <c r="E596" s="6">
        <v>1</v>
      </c>
      <c r="F596" s="6">
        <v>2700</v>
      </c>
      <c r="G596" s="6">
        <v>10</v>
      </c>
      <c r="H596" s="6">
        <v>3</v>
      </c>
      <c r="I596" s="6" t="s">
        <v>13</v>
      </c>
      <c r="J596" s="6" t="str">
        <f>IF(Employee[[#This Row],[Attrition]]="Yes","Resigned","Active")</f>
        <v>Active</v>
      </c>
    </row>
    <row r="597" spans="1:10" x14ac:dyDescent="0.25">
      <c r="A597" s="6">
        <v>825</v>
      </c>
      <c r="B597" s="6">
        <v>58</v>
      </c>
      <c r="C597" s="5" t="s">
        <v>11</v>
      </c>
      <c r="D597" s="5" t="s">
        <v>19</v>
      </c>
      <c r="E597" s="6">
        <v>5</v>
      </c>
      <c r="F597" s="6">
        <v>19246</v>
      </c>
      <c r="G597" s="6">
        <v>31</v>
      </c>
      <c r="H597" s="6">
        <v>3</v>
      </c>
      <c r="I597" s="6" t="s">
        <v>10</v>
      </c>
      <c r="J597" s="6" t="str">
        <f>IF(Employee[[#This Row],[Attrition]]="Yes","Resigned","Active")</f>
        <v>Resigned</v>
      </c>
    </row>
    <row r="598" spans="1:10" x14ac:dyDescent="0.25">
      <c r="A598" s="6">
        <v>826</v>
      </c>
      <c r="B598" s="6">
        <v>35</v>
      </c>
      <c r="C598" s="5" t="s">
        <v>11</v>
      </c>
      <c r="D598" s="5" t="s">
        <v>12</v>
      </c>
      <c r="E598" s="6">
        <v>1</v>
      </c>
      <c r="F598" s="6">
        <v>2506</v>
      </c>
      <c r="G598" s="6">
        <v>2</v>
      </c>
      <c r="H598" s="6">
        <v>3</v>
      </c>
      <c r="I598" s="6" t="s">
        <v>13</v>
      </c>
      <c r="J598" s="6" t="str">
        <f>IF(Employee[[#This Row],[Attrition]]="Yes","Resigned","Active")</f>
        <v>Active</v>
      </c>
    </row>
    <row r="599" spans="1:10" x14ac:dyDescent="0.25">
      <c r="A599" s="6">
        <v>827</v>
      </c>
      <c r="B599" s="6">
        <v>42</v>
      </c>
      <c r="C599" s="5" t="s">
        <v>11</v>
      </c>
      <c r="D599" s="5" t="s">
        <v>15</v>
      </c>
      <c r="E599" s="6">
        <v>2</v>
      </c>
      <c r="F599" s="6">
        <v>6062</v>
      </c>
      <c r="G599" s="6">
        <v>4</v>
      </c>
      <c r="H599" s="6">
        <v>3</v>
      </c>
      <c r="I599" s="6" t="s">
        <v>13</v>
      </c>
      <c r="J599" s="6" t="str">
        <f>IF(Employee[[#This Row],[Attrition]]="Yes","Resigned","Active")</f>
        <v>Active</v>
      </c>
    </row>
    <row r="600" spans="1:10" x14ac:dyDescent="0.25">
      <c r="A600" s="6">
        <v>828</v>
      </c>
      <c r="B600" s="6">
        <v>28</v>
      </c>
      <c r="C600" s="5" t="s">
        <v>11</v>
      </c>
      <c r="D600" s="5" t="s">
        <v>12</v>
      </c>
      <c r="E600" s="6">
        <v>1</v>
      </c>
      <c r="F600" s="6">
        <v>4382</v>
      </c>
      <c r="G600" s="6">
        <v>2</v>
      </c>
      <c r="H600" s="6">
        <v>2</v>
      </c>
      <c r="I600" s="6" t="s">
        <v>10</v>
      </c>
      <c r="J600" s="6" t="str">
        <f>IF(Employee[[#This Row],[Attrition]]="Yes","Resigned","Active")</f>
        <v>Resigned</v>
      </c>
    </row>
    <row r="601" spans="1:10" x14ac:dyDescent="0.25">
      <c r="A601" s="6">
        <v>829</v>
      </c>
      <c r="B601" s="6">
        <v>36</v>
      </c>
      <c r="C601" s="5" t="s">
        <v>20</v>
      </c>
      <c r="D601" s="5" t="s">
        <v>20</v>
      </c>
      <c r="E601" s="6">
        <v>1</v>
      </c>
      <c r="F601" s="6">
        <v>2143</v>
      </c>
      <c r="G601" s="6">
        <v>5</v>
      </c>
      <c r="H601" s="6">
        <v>3</v>
      </c>
      <c r="I601" s="6" t="s">
        <v>13</v>
      </c>
      <c r="J601" s="6" t="str">
        <f>IF(Employee[[#This Row],[Attrition]]="Yes","Resigned","Active")</f>
        <v>Active</v>
      </c>
    </row>
    <row r="602" spans="1:10" x14ac:dyDescent="0.25">
      <c r="A602" s="6">
        <v>830</v>
      </c>
      <c r="B602" s="6">
        <v>32</v>
      </c>
      <c r="C602" s="5" t="s">
        <v>11</v>
      </c>
      <c r="D602" s="5" t="s">
        <v>15</v>
      </c>
      <c r="E602" s="6">
        <v>2</v>
      </c>
      <c r="F602" s="6">
        <v>6162</v>
      </c>
      <c r="G602" s="6">
        <v>14</v>
      </c>
      <c r="H602" s="6">
        <v>3</v>
      </c>
      <c r="I602" s="6" t="s">
        <v>13</v>
      </c>
      <c r="J602" s="6" t="str">
        <f>IF(Employee[[#This Row],[Attrition]]="Yes","Resigned","Active")</f>
        <v>Active</v>
      </c>
    </row>
    <row r="603" spans="1:10" x14ac:dyDescent="0.25">
      <c r="A603" s="6">
        <v>832</v>
      </c>
      <c r="B603" s="6">
        <v>40</v>
      </c>
      <c r="C603" s="5" t="s">
        <v>11</v>
      </c>
      <c r="D603" s="5" t="s">
        <v>14</v>
      </c>
      <c r="E603" s="6">
        <v>2</v>
      </c>
      <c r="F603" s="6">
        <v>5094</v>
      </c>
      <c r="G603" s="6">
        <v>1</v>
      </c>
      <c r="H603" s="6">
        <v>3</v>
      </c>
      <c r="I603" s="6" t="s">
        <v>13</v>
      </c>
      <c r="J603" s="6" t="str">
        <f>IF(Employee[[#This Row],[Attrition]]="Yes","Resigned","Active")</f>
        <v>Active</v>
      </c>
    </row>
    <row r="604" spans="1:10" x14ac:dyDescent="0.25">
      <c r="A604" s="6">
        <v>833</v>
      </c>
      <c r="B604" s="6">
        <v>30</v>
      </c>
      <c r="C604" s="5" t="s">
        <v>11</v>
      </c>
      <c r="D604" s="5" t="s">
        <v>15</v>
      </c>
      <c r="E604" s="6">
        <v>2</v>
      </c>
      <c r="F604" s="6">
        <v>6877</v>
      </c>
      <c r="G604" s="6">
        <v>0</v>
      </c>
      <c r="H604" s="6">
        <v>2</v>
      </c>
      <c r="I604" s="6" t="s">
        <v>13</v>
      </c>
      <c r="J604" s="6" t="str">
        <f>IF(Employee[[#This Row],[Attrition]]="Yes","Resigned","Active")</f>
        <v>Active</v>
      </c>
    </row>
    <row r="605" spans="1:10" x14ac:dyDescent="0.25">
      <c r="A605" s="6">
        <v>834</v>
      </c>
      <c r="B605" s="6">
        <v>45</v>
      </c>
      <c r="C605" s="5" t="s">
        <v>11</v>
      </c>
      <c r="D605" s="5" t="s">
        <v>12</v>
      </c>
      <c r="E605" s="6">
        <v>1</v>
      </c>
      <c r="F605" s="6">
        <v>2274</v>
      </c>
      <c r="G605" s="6">
        <v>1</v>
      </c>
      <c r="H605" s="6">
        <v>3</v>
      </c>
      <c r="I605" s="6" t="s">
        <v>13</v>
      </c>
      <c r="J605" s="6" t="str">
        <f>IF(Employee[[#This Row],[Attrition]]="Yes","Resigned","Active")</f>
        <v>Active</v>
      </c>
    </row>
    <row r="606" spans="1:10" x14ac:dyDescent="0.25">
      <c r="A606" s="6">
        <v>836</v>
      </c>
      <c r="B606" s="6">
        <v>42</v>
      </c>
      <c r="C606" s="5" t="s">
        <v>11</v>
      </c>
      <c r="D606" s="5" t="s">
        <v>15</v>
      </c>
      <c r="E606" s="6">
        <v>2</v>
      </c>
      <c r="F606" s="6">
        <v>4434</v>
      </c>
      <c r="G606" s="6">
        <v>9</v>
      </c>
      <c r="H606" s="6">
        <v>2</v>
      </c>
      <c r="I606" s="6" t="s">
        <v>13</v>
      </c>
      <c r="J606" s="6" t="str">
        <f>IF(Employee[[#This Row],[Attrition]]="Yes","Resigned","Active")</f>
        <v>Active</v>
      </c>
    </row>
    <row r="607" spans="1:10" x14ac:dyDescent="0.25">
      <c r="A607" s="6">
        <v>837</v>
      </c>
      <c r="B607" s="6">
        <v>38</v>
      </c>
      <c r="C607" s="5" t="s">
        <v>11</v>
      </c>
      <c r="D607" s="5" t="s">
        <v>16</v>
      </c>
      <c r="E607" s="6">
        <v>2</v>
      </c>
      <c r="F607" s="6">
        <v>6288</v>
      </c>
      <c r="G607" s="6">
        <v>4</v>
      </c>
      <c r="H607" s="6">
        <v>2</v>
      </c>
      <c r="I607" s="6" t="s">
        <v>13</v>
      </c>
      <c r="J607" s="6" t="str">
        <f>IF(Employee[[#This Row],[Attrition]]="Yes","Resigned","Active")</f>
        <v>Active</v>
      </c>
    </row>
    <row r="608" spans="1:10" x14ac:dyDescent="0.25">
      <c r="A608" s="6">
        <v>838</v>
      </c>
      <c r="B608" s="6">
        <v>34</v>
      </c>
      <c r="C608" s="5" t="s">
        <v>11</v>
      </c>
      <c r="D608" s="5" t="s">
        <v>12</v>
      </c>
      <c r="E608" s="6">
        <v>1</v>
      </c>
      <c r="F608" s="6">
        <v>2553</v>
      </c>
      <c r="G608" s="6">
        <v>5</v>
      </c>
      <c r="H608" s="6">
        <v>3</v>
      </c>
      <c r="I608" s="6" t="s">
        <v>13</v>
      </c>
      <c r="J608" s="6" t="str">
        <f>IF(Employee[[#This Row],[Attrition]]="Yes","Resigned","Active")</f>
        <v>Active</v>
      </c>
    </row>
    <row r="609" spans="1:10" x14ac:dyDescent="0.25">
      <c r="A609" s="6">
        <v>840</v>
      </c>
      <c r="B609" s="6">
        <v>49</v>
      </c>
      <c r="C609" s="5" t="s">
        <v>8</v>
      </c>
      <c r="D609" s="5" t="s">
        <v>9</v>
      </c>
      <c r="E609" s="6">
        <v>3</v>
      </c>
      <c r="F609" s="6">
        <v>7654</v>
      </c>
      <c r="G609" s="6">
        <v>9</v>
      </c>
      <c r="H609" s="6">
        <v>4</v>
      </c>
      <c r="I609" s="6" t="s">
        <v>10</v>
      </c>
      <c r="J609" s="6" t="str">
        <f>IF(Employee[[#This Row],[Attrition]]="Yes","Resigned","Active")</f>
        <v>Resigned</v>
      </c>
    </row>
    <row r="610" spans="1:10" x14ac:dyDescent="0.25">
      <c r="A610" s="6">
        <v>842</v>
      </c>
      <c r="B610" s="6">
        <v>55</v>
      </c>
      <c r="C610" s="5" t="s">
        <v>8</v>
      </c>
      <c r="D610" s="5" t="s">
        <v>9</v>
      </c>
      <c r="E610" s="6">
        <v>2</v>
      </c>
      <c r="F610" s="6">
        <v>5160</v>
      </c>
      <c r="G610" s="6">
        <v>9</v>
      </c>
      <c r="H610" s="6">
        <v>2</v>
      </c>
      <c r="I610" s="6" t="s">
        <v>10</v>
      </c>
      <c r="J610" s="6" t="str">
        <f>IF(Employee[[#This Row],[Attrition]]="Yes","Resigned","Active")</f>
        <v>Resigned</v>
      </c>
    </row>
    <row r="611" spans="1:10" x14ac:dyDescent="0.25">
      <c r="A611" s="6">
        <v>843</v>
      </c>
      <c r="B611" s="6">
        <v>43</v>
      </c>
      <c r="C611" s="5" t="s">
        <v>11</v>
      </c>
      <c r="D611" s="5" t="s">
        <v>19</v>
      </c>
      <c r="E611" s="6">
        <v>4</v>
      </c>
      <c r="F611" s="6">
        <v>17159</v>
      </c>
      <c r="G611" s="6">
        <v>4</v>
      </c>
      <c r="H611" s="6">
        <v>3</v>
      </c>
      <c r="I611" s="6" t="s">
        <v>13</v>
      </c>
      <c r="J611" s="6" t="str">
        <f>IF(Employee[[#This Row],[Attrition]]="Yes","Resigned","Active")</f>
        <v>Active</v>
      </c>
    </row>
    <row r="612" spans="1:10" x14ac:dyDescent="0.25">
      <c r="A612" s="6">
        <v>844</v>
      </c>
      <c r="B612" s="6">
        <v>27</v>
      </c>
      <c r="C612" s="5" t="s">
        <v>11</v>
      </c>
      <c r="D612" s="5" t="s">
        <v>19</v>
      </c>
      <c r="E612" s="6">
        <v>3</v>
      </c>
      <c r="F612" s="6">
        <v>12808</v>
      </c>
      <c r="G612" s="6">
        <v>9</v>
      </c>
      <c r="H612" s="6">
        <v>3</v>
      </c>
      <c r="I612" s="6" t="s">
        <v>13</v>
      </c>
      <c r="J612" s="6" t="str">
        <f>IF(Employee[[#This Row],[Attrition]]="Yes","Resigned","Active")</f>
        <v>Active</v>
      </c>
    </row>
    <row r="613" spans="1:10" x14ac:dyDescent="0.25">
      <c r="A613" s="6">
        <v>845</v>
      </c>
      <c r="B613" s="6">
        <v>35</v>
      </c>
      <c r="C613" s="5" t="s">
        <v>11</v>
      </c>
      <c r="D613" s="5" t="s">
        <v>15</v>
      </c>
      <c r="E613" s="6">
        <v>3</v>
      </c>
      <c r="F613" s="6">
        <v>10221</v>
      </c>
      <c r="G613" s="6">
        <v>8</v>
      </c>
      <c r="H613" s="6">
        <v>4</v>
      </c>
      <c r="I613" s="6" t="s">
        <v>13</v>
      </c>
      <c r="J613" s="6" t="str">
        <f>IF(Employee[[#This Row],[Attrition]]="Yes","Resigned","Active")</f>
        <v>Active</v>
      </c>
    </row>
    <row r="614" spans="1:10" x14ac:dyDescent="0.25">
      <c r="A614" s="6">
        <v>846</v>
      </c>
      <c r="B614" s="6">
        <v>28</v>
      </c>
      <c r="C614" s="5" t="s">
        <v>8</v>
      </c>
      <c r="D614" s="5" t="s">
        <v>9</v>
      </c>
      <c r="E614" s="6">
        <v>2</v>
      </c>
      <c r="F614" s="6">
        <v>4779</v>
      </c>
      <c r="G614" s="6">
        <v>8</v>
      </c>
      <c r="H614" s="6">
        <v>3</v>
      </c>
      <c r="I614" s="6" t="s">
        <v>13</v>
      </c>
      <c r="J614" s="6" t="str">
        <f>IF(Employee[[#This Row],[Attrition]]="Yes","Resigned","Active")</f>
        <v>Active</v>
      </c>
    </row>
    <row r="615" spans="1:10" x14ac:dyDescent="0.25">
      <c r="A615" s="6">
        <v>847</v>
      </c>
      <c r="B615" s="6">
        <v>34</v>
      </c>
      <c r="C615" s="5" t="s">
        <v>20</v>
      </c>
      <c r="D615" s="5" t="s">
        <v>20</v>
      </c>
      <c r="E615" s="6">
        <v>1</v>
      </c>
      <c r="F615" s="6">
        <v>3737</v>
      </c>
      <c r="G615" s="6">
        <v>3</v>
      </c>
      <c r="H615" s="6">
        <v>1</v>
      </c>
      <c r="I615" s="6" t="s">
        <v>13</v>
      </c>
      <c r="J615" s="6" t="str">
        <f>IF(Employee[[#This Row],[Attrition]]="Yes","Resigned","Active")</f>
        <v>Active</v>
      </c>
    </row>
    <row r="616" spans="1:10" x14ac:dyDescent="0.25">
      <c r="A616" s="6">
        <v>848</v>
      </c>
      <c r="B616" s="6">
        <v>26</v>
      </c>
      <c r="C616" s="5" t="s">
        <v>11</v>
      </c>
      <c r="D616" s="5" t="s">
        <v>12</v>
      </c>
      <c r="E616" s="6">
        <v>1</v>
      </c>
      <c r="F616" s="6">
        <v>2366</v>
      </c>
      <c r="G616" s="6">
        <v>8</v>
      </c>
      <c r="H616" s="6">
        <v>3</v>
      </c>
      <c r="I616" s="6" t="s">
        <v>10</v>
      </c>
      <c r="J616" s="6" t="str">
        <f>IF(Employee[[#This Row],[Attrition]]="Yes","Resigned","Active")</f>
        <v>Resigned</v>
      </c>
    </row>
    <row r="617" spans="1:10" x14ac:dyDescent="0.25">
      <c r="A617" s="6">
        <v>850</v>
      </c>
      <c r="B617" s="6">
        <v>27</v>
      </c>
      <c r="C617" s="5" t="s">
        <v>11</v>
      </c>
      <c r="D617" s="5" t="s">
        <v>12</v>
      </c>
      <c r="E617" s="6">
        <v>1</v>
      </c>
      <c r="F617" s="6">
        <v>1706</v>
      </c>
      <c r="G617" s="6">
        <v>0</v>
      </c>
      <c r="H617" s="6">
        <v>2</v>
      </c>
      <c r="I617" s="6" t="s">
        <v>13</v>
      </c>
      <c r="J617" s="6" t="str">
        <f>IF(Employee[[#This Row],[Attrition]]="Yes","Resigned","Active")</f>
        <v>Active</v>
      </c>
    </row>
    <row r="618" spans="1:10" x14ac:dyDescent="0.25">
      <c r="A618" s="6">
        <v>851</v>
      </c>
      <c r="B618" s="6">
        <v>51</v>
      </c>
      <c r="C618" s="5" t="s">
        <v>8</v>
      </c>
      <c r="D618" s="5" t="s">
        <v>17</v>
      </c>
      <c r="E618" s="6">
        <v>4</v>
      </c>
      <c r="F618" s="6">
        <v>16307</v>
      </c>
      <c r="G618" s="6">
        <v>20</v>
      </c>
      <c r="H618" s="6">
        <v>2</v>
      </c>
      <c r="I618" s="6" t="s">
        <v>13</v>
      </c>
      <c r="J618" s="6" t="str">
        <f>IF(Employee[[#This Row],[Attrition]]="Yes","Resigned","Active")</f>
        <v>Active</v>
      </c>
    </row>
    <row r="619" spans="1:10" x14ac:dyDescent="0.25">
      <c r="A619" s="6">
        <v>852</v>
      </c>
      <c r="B619" s="6">
        <v>44</v>
      </c>
      <c r="C619" s="5" t="s">
        <v>11</v>
      </c>
      <c r="D619" s="5" t="s">
        <v>16</v>
      </c>
      <c r="E619" s="6">
        <v>2</v>
      </c>
      <c r="F619" s="6">
        <v>5933</v>
      </c>
      <c r="G619" s="6">
        <v>5</v>
      </c>
      <c r="H619" s="6">
        <v>2</v>
      </c>
      <c r="I619" s="6" t="s">
        <v>13</v>
      </c>
      <c r="J619" s="6" t="str">
        <f>IF(Employee[[#This Row],[Attrition]]="Yes","Resigned","Active")</f>
        <v>Active</v>
      </c>
    </row>
    <row r="620" spans="1:10" x14ac:dyDescent="0.25">
      <c r="A620" s="6">
        <v>854</v>
      </c>
      <c r="B620" s="6">
        <v>25</v>
      </c>
      <c r="C620" s="5" t="s">
        <v>11</v>
      </c>
      <c r="D620" s="5" t="s">
        <v>12</v>
      </c>
      <c r="E620" s="6">
        <v>1</v>
      </c>
      <c r="F620" s="6">
        <v>3424</v>
      </c>
      <c r="G620" s="6">
        <v>4</v>
      </c>
      <c r="H620" s="6">
        <v>2</v>
      </c>
      <c r="I620" s="6" t="s">
        <v>13</v>
      </c>
      <c r="J620" s="6" t="str">
        <f>IF(Employee[[#This Row],[Attrition]]="Yes","Resigned","Active")</f>
        <v>Active</v>
      </c>
    </row>
    <row r="621" spans="1:10" x14ac:dyDescent="0.25">
      <c r="A621" s="6">
        <v>855</v>
      </c>
      <c r="B621" s="6">
        <v>33</v>
      </c>
      <c r="C621" s="5" t="s">
        <v>8</v>
      </c>
      <c r="D621" s="5" t="s">
        <v>9</v>
      </c>
      <c r="E621" s="6">
        <v>2</v>
      </c>
      <c r="F621" s="6">
        <v>4037</v>
      </c>
      <c r="G621" s="6">
        <v>9</v>
      </c>
      <c r="H621" s="6">
        <v>3</v>
      </c>
      <c r="I621" s="6" t="s">
        <v>13</v>
      </c>
      <c r="J621" s="6" t="str">
        <f>IF(Employee[[#This Row],[Attrition]]="Yes","Resigned","Active")</f>
        <v>Active</v>
      </c>
    </row>
    <row r="622" spans="1:10" x14ac:dyDescent="0.25">
      <c r="A622" s="6">
        <v>856</v>
      </c>
      <c r="B622" s="6">
        <v>35</v>
      </c>
      <c r="C622" s="5" t="s">
        <v>11</v>
      </c>
      <c r="D622" s="5" t="s">
        <v>12</v>
      </c>
      <c r="E622" s="6">
        <v>1</v>
      </c>
      <c r="F622" s="6">
        <v>2559</v>
      </c>
      <c r="G622" s="6">
        <v>6</v>
      </c>
      <c r="H622" s="6">
        <v>2</v>
      </c>
      <c r="I622" s="6" t="s">
        <v>13</v>
      </c>
      <c r="J622" s="6" t="str">
        <f>IF(Employee[[#This Row],[Attrition]]="Yes","Resigned","Active")</f>
        <v>Active</v>
      </c>
    </row>
    <row r="623" spans="1:10" x14ac:dyDescent="0.25">
      <c r="A623" s="6">
        <v>857</v>
      </c>
      <c r="B623" s="6">
        <v>36</v>
      </c>
      <c r="C623" s="5" t="s">
        <v>8</v>
      </c>
      <c r="D623" s="5" t="s">
        <v>9</v>
      </c>
      <c r="E623" s="6">
        <v>2</v>
      </c>
      <c r="F623" s="6">
        <v>6201</v>
      </c>
      <c r="G623" s="6">
        <v>18</v>
      </c>
      <c r="H623" s="6">
        <v>2</v>
      </c>
      <c r="I623" s="6" t="s">
        <v>13</v>
      </c>
      <c r="J623" s="6" t="str">
        <f>IF(Employee[[#This Row],[Attrition]]="Yes","Resigned","Active")</f>
        <v>Active</v>
      </c>
    </row>
    <row r="624" spans="1:10" x14ac:dyDescent="0.25">
      <c r="A624" s="6">
        <v>859</v>
      </c>
      <c r="B624" s="6">
        <v>32</v>
      </c>
      <c r="C624" s="5" t="s">
        <v>8</v>
      </c>
      <c r="D624" s="5" t="s">
        <v>9</v>
      </c>
      <c r="E624" s="6">
        <v>2</v>
      </c>
      <c r="F624" s="6">
        <v>4403</v>
      </c>
      <c r="G624" s="6">
        <v>5</v>
      </c>
      <c r="H624" s="6">
        <v>2</v>
      </c>
      <c r="I624" s="6" t="s">
        <v>13</v>
      </c>
      <c r="J624" s="6" t="str">
        <f>IF(Employee[[#This Row],[Attrition]]="Yes","Resigned","Active")</f>
        <v>Active</v>
      </c>
    </row>
    <row r="625" spans="1:10" x14ac:dyDescent="0.25">
      <c r="A625" s="6">
        <v>861</v>
      </c>
      <c r="B625" s="6">
        <v>30</v>
      </c>
      <c r="C625" s="5" t="s">
        <v>11</v>
      </c>
      <c r="D625" s="5" t="s">
        <v>12</v>
      </c>
      <c r="E625" s="6">
        <v>1</v>
      </c>
      <c r="F625" s="6">
        <v>3761</v>
      </c>
      <c r="G625" s="6">
        <v>5</v>
      </c>
      <c r="H625" s="6">
        <v>2</v>
      </c>
      <c r="I625" s="6" t="s">
        <v>13</v>
      </c>
      <c r="J625" s="6" t="str">
        <f>IF(Employee[[#This Row],[Attrition]]="Yes","Resigned","Active")</f>
        <v>Active</v>
      </c>
    </row>
    <row r="626" spans="1:10" x14ac:dyDescent="0.25">
      <c r="A626" s="6">
        <v>862</v>
      </c>
      <c r="B626" s="6">
        <v>53</v>
      </c>
      <c r="C626" s="5" t="s">
        <v>8</v>
      </c>
      <c r="D626" s="5" t="s">
        <v>9</v>
      </c>
      <c r="E626" s="6">
        <v>3</v>
      </c>
      <c r="F626" s="6">
        <v>10934</v>
      </c>
      <c r="G626" s="6">
        <v>5</v>
      </c>
      <c r="H626" s="6">
        <v>3</v>
      </c>
      <c r="I626" s="6" t="s">
        <v>13</v>
      </c>
      <c r="J626" s="6" t="str">
        <f>IF(Employee[[#This Row],[Attrition]]="Yes","Resigned","Active")</f>
        <v>Active</v>
      </c>
    </row>
    <row r="627" spans="1:10" x14ac:dyDescent="0.25">
      <c r="A627" s="6">
        <v>864</v>
      </c>
      <c r="B627" s="6">
        <v>45</v>
      </c>
      <c r="C627" s="5" t="s">
        <v>8</v>
      </c>
      <c r="D627" s="5" t="s">
        <v>9</v>
      </c>
      <c r="E627" s="6">
        <v>3</v>
      </c>
      <c r="F627" s="6">
        <v>10761</v>
      </c>
      <c r="G627" s="6">
        <v>5</v>
      </c>
      <c r="H627" s="6">
        <v>3</v>
      </c>
      <c r="I627" s="6" t="s">
        <v>13</v>
      </c>
      <c r="J627" s="6" t="str">
        <f>IF(Employee[[#This Row],[Attrition]]="Yes","Resigned","Active")</f>
        <v>Active</v>
      </c>
    </row>
    <row r="628" spans="1:10" x14ac:dyDescent="0.25">
      <c r="A628" s="6">
        <v>865</v>
      </c>
      <c r="B628" s="6">
        <v>32</v>
      </c>
      <c r="C628" s="5" t="s">
        <v>11</v>
      </c>
      <c r="D628" s="5" t="s">
        <v>12</v>
      </c>
      <c r="E628" s="6">
        <v>2</v>
      </c>
      <c r="F628" s="6">
        <v>5175</v>
      </c>
      <c r="G628" s="6">
        <v>5</v>
      </c>
      <c r="H628" s="6">
        <v>2</v>
      </c>
      <c r="I628" s="6" t="s">
        <v>13</v>
      </c>
      <c r="J628" s="6" t="str">
        <f>IF(Employee[[#This Row],[Attrition]]="Yes","Resigned","Active")</f>
        <v>Active</v>
      </c>
    </row>
    <row r="629" spans="1:10" x14ac:dyDescent="0.25">
      <c r="A629" s="6">
        <v>867</v>
      </c>
      <c r="B629" s="6">
        <v>52</v>
      </c>
      <c r="C629" s="5" t="s">
        <v>11</v>
      </c>
      <c r="D629" s="5" t="s">
        <v>15</v>
      </c>
      <c r="E629" s="6">
        <v>4</v>
      </c>
      <c r="F629" s="6">
        <v>13826</v>
      </c>
      <c r="G629" s="6">
        <v>9</v>
      </c>
      <c r="H629" s="6">
        <v>3</v>
      </c>
      <c r="I629" s="6" t="s">
        <v>13</v>
      </c>
      <c r="J629" s="6" t="str">
        <f>IF(Employee[[#This Row],[Attrition]]="Yes","Resigned","Active")</f>
        <v>Active</v>
      </c>
    </row>
    <row r="630" spans="1:10" x14ac:dyDescent="0.25">
      <c r="A630" s="6">
        <v>868</v>
      </c>
      <c r="B630" s="6">
        <v>37</v>
      </c>
      <c r="C630" s="5" t="s">
        <v>8</v>
      </c>
      <c r="D630" s="5" t="s">
        <v>9</v>
      </c>
      <c r="E630" s="6">
        <v>2</v>
      </c>
      <c r="F630" s="6">
        <v>6334</v>
      </c>
      <c r="G630" s="6">
        <v>1</v>
      </c>
      <c r="H630" s="6">
        <v>3</v>
      </c>
      <c r="I630" s="6" t="s">
        <v>13</v>
      </c>
      <c r="J630" s="6" t="str">
        <f>IF(Employee[[#This Row],[Attrition]]="Yes","Resigned","Active")</f>
        <v>Active</v>
      </c>
    </row>
    <row r="631" spans="1:10" x14ac:dyDescent="0.25">
      <c r="A631" s="6">
        <v>869</v>
      </c>
      <c r="B631" s="6">
        <v>28</v>
      </c>
      <c r="C631" s="5" t="s">
        <v>20</v>
      </c>
      <c r="D631" s="5" t="s">
        <v>20</v>
      </c>
      <c r="E631" s="6">
        <v>1</v>
      </c>
      <c r="F631" s="6">
        <v>4936</v>
      </c>
      <c r="G631" s="6">
        <v>5</v>
      </c>
      <c r="H631" s="6">
        <v>3</v>
      </c>
      <c r="I631" s="6" t="s">
        <v>13</v>
      </c>
      <c r="J631" s="6" t="str">
        <f>IF(Employee[[#This Row],[Attrition]]="Yes","Resigned","Active")</f>
        <v>Active</v>
      </c>
    </row>
    <row r="632" spans="1:10" x14ac:dyDescent="0.25">
      <c r="A632" s="6">
        <v>872</v>
      </c>
      <c r="B632" s="6">
        <v>22</v>
      </c>
      <c r="C632" s="5" t="s">
        <v>11</v>
      </c>
      <c r="D632" s="5" t="s">
        <v>15</v>
      </c>
      <c r="E632" s="6">
        <v>2</v>
      </c>
      <c r="F632" s="6">
        <v>4775</v>
      </c>
      <c r="G632" s="6">
        <v>2</v>
      </c>
      <c r="H632" s="6">
        <v>1</v>
      </c>
      <c r="I632" s="6" t="s">
        <v>13</v>
      </c>
      <c r="J632" s="6" t="str">
        <f>IF(Employee[[#This Row],[Attrition]]="Yes","Resigned","Active")</f>
        <v>Active</v>
      </c>
    </row>
    <row r="633" spans="1:10" x14ac:dyDescent="0.25">
      <c r="A633" s="6">
        <v>874</v>
      </c>
      <c r="B633" s="6">
        <v>44</v>
      </c>
      <c r="C633" s="5" t="s">
        <v>11</v>
      </c>
      <c r="D633" s="5" t="s">
        <v>14</v>
      </c>
      <c r="E633" s="6">
        <v>1</v>
      </c>
      <c r="F633" s="6">
        <v>2818</v>
      </c>
      <c r="G633" s="6">
        <v>3</v>
      </c>
      <c r="H633" s="6">
        <v>2</v>
      </c>
      <c r="I633" s="6" t="s">
        <v>13</v>
      </c>
      <c r="J633" s="6" t="str">
        <f>IF(Employee[[#This Row],[Attrition]]="Yes","Resigned","Active")</f>
        <v>Active</v>
      </c>
    </row>
    <row r="634" spans="1:10" x14ac:dyDescent="0.25">
      <c r="A634" s="6">
        <v>875</v>
      </c>
      <c r="B634" s="6">
        <v>42</v>
      </c>
      <c r="C634" s="5" t="s">
        <v>11</v>
      </c>
      <c r="D634" s="5" t="s">
        <v>12</v>
      </c>
      <c r="E634" s="6">
        <v>1</v>
      </c>
      <c r="F634" s="6">
        <v>2515</v>
      </c>
      <c r="G634" s="6">
        <v>2</v>
      </c>
      <c r="H634" s="6">
        <v>3</v>
      </c>
      <c r="I634" s="6" t="s">
        <v>13</v>
      </c>
      <c r="J634" s="6" t="str">
        <f>IF(Employee[[#This Row],[Attrition]]="Yes","Resigned","Active")</f>
        <v>Active</v>
      </c>
    </row>
    <row r="635" spans="1:10" x14ac:dyDescent="0.25">
      <c r="A635" s="6">
        <v>878</v>
      </c>
      <c r="B635" s="6">
        <v>36</v>
      </c>
      <c r="C635" s="5" t="s">
        <v>20</v>
      </c>
      <c r="D635" s="5" t="s">
        <v>20</v>
      </c>
      <c r="E635" s="6">
        <v>1</v>
      </c>
      <c r="F635" s="6">
        <v>2342</v>
      </c>
      <c r="G635" s="6">
        <v>5</v>
      </c>
      <c r="H635" s="6">
        <v>3</v>
      </c>
      <c r="I635" s="6" t="s">
        <v>13</v>
      </c>
      <c r="J635" s="6" t="str">
        <f>IF(Employee[[#This Row],[Attrition]]="Yes","Resigned","Active")</f>
        <v>Active</v>
      </c>
    </row>
    <row r="636" spans="1:10" x14ac:dyDescent="0.25">
      <c r="A636" s="6">
        <v>879</v>
      </c>
      <c r="B636" s="6">
        <v>25</v>
      </c>
      <c r="C636" s="5" t="s">
        <v>8</v>
      </c>
      <c r="D636" s="5" t="s">
        <v>9</v>
      </c>
      <c r="E636" s="6">
        <v>2</v>
      </c>
      <c r="F636" s="6">
        <v>4194</v>
      </c>
      <c r="G636" s="6">
        <v>5</v>
      </c>
      <c r="H636" s="6">
        <v>3</v>
      </c>
      <c r="I636" s="6" t="s">
        <v>13</v>
      </c>
      <c r="J636" s="6" t="str">
        <f>IF(Employee[[#This Row],[Attrition]]="Yes","Resigned","Active")</f>
        <v>Active</v>
      </c>
    </row>
    <row r="637" spans="1:10" x14ac:dyDescent="0.25">
      <c r="A637" s="6">
        <v>880</v>
      </c>
      <c r="B637" s="6">
        <v>35</v>
      </c>
      <c r="C637" s="5" t="s">
        <v>11</v>
      </c>
      <c r="D637" s="5" t="s">
        <v>15</v>
      </c>
      <c r="E637" s="6">
        <v>3</v>
      </c>
      <c r="F637" s="6">
        <v>10685</v>
      </c>
      <c r="G637" s="6">
        <v>17</v>
      </c>
      <c r="H637" s="6">
        <v>3</v>
      </c>
      <c r="I637" s="6" t="s">
        <v>13</v>
      </c>
      <c r="J637" s="6" t="str">
        <f>IF(Employee[[#This Row],[Attrition]]="Yes","Resigned","Active")</f>
        <v>Active</v>
      </c>
    </row>
    <row r="638" spans="1:10" x14ac:dyDescent="0.25">
      <c r="A638" s="6">
        <v>881</v>
      </c>
      <c r="B638" s="6">
        <v>35</v>
      </c>
      <c r="C638" s="5" t="s">
        <v>11</v>
      </c>
      <c r="D638" s="5" t="s">
        <v>12</v>
      </c>
      <c r="E638" s="6">
        <v>1</v>
      </c>
      <c r="F638" s="6">
        <v>2022</v>
      </c>
      <c r="G638" s="6">
        <v>10</v>
      </c>
      <c r="H638" s="6">
        <v>2</v>
      </c>
      <c r="I638" s="6" t="s">
        <v>10</v>
      </c>
      <c r="J638" s="6" t="str">
        <f>IF(Employee[[#This Row],[Attrition]]="Yes","Resigned","Active")</f>
        <v>Resigned</v>
      </c>
    </row>
    <row r="639" spans="1:10" x14ac:dyDescent="0.25">
      <c r="A639" s="6">
        <v>882</v>
      </c>
      <c r="B639" s="6">
        <v>32</v>
      </c>
      <c r="C639" s="5" t="s">
        <v>11</v>
      </c>
      <c r="D639" s="5" t="s">
        <v>14</v>
      </c>
      <c r="E639" s="6">
        <v>1</v>
      </c>
      <c r="F639" s="6">
        <v>2314</v>
      </c>
      <c r="G639" s="6">
        <v>3</v>
      </c>
      <c r="H639" s="6">
        <v>3</v>
      </c>
      <c r="I639" s="6" t="s">
        <v>13</v>
      </c>
      <c r="J639" s="6" t="str">
        <f>IF(Employee[[#This Row],[Attrition]]="Yes","Resigned","Active")</f>
        <v>Active</v>
      </c>
    </row>
    <row r="640" spans="1:10" x14ac:dyDescent="0.25">
      <c r="A640" s="6">
        <v>885</v>
      </c>
      <c r="B640" s="6">
        <v>25</v>
      </c>
      <c r="C640" s="5" t="s">
        <v>8</v>
      </c>
      <c r="D640" s="5" t="s">
        <v>9</v>
      </c>
      <c r="E640" s="6">
        <v>2</v>
      </c>
      <c r="F640" s="6">
        <v>4256</v>
      </c>
      <c r="G640" s="6">
        <v>5</v>
      </c>
      <c r="H640" s="6">
        <v>4</v>
      </c>
      <c r="I640" s="6" t="s">
        <v>13</v>
      </c>
      <c r="J640" s="6" t="str">
        <f>IF(Employee[[#This Row],[Attrition]]="Yes","Resigned","Active")</f>
        <v>Active</v>
      </c>
    </row>
    <row r="641" spans="1:10" x14ac:dyDescent="0.25">
      <c r="A641" s="6">
        <v>887</v>
      </c>
      <c r="B641" s="6">
        <v>49</v>
      </c>
      <c r="C641" s="5" t="s">
        <v>11</v>
      </c>
      <c r="D641" s="5" t="s">
        <v>12</v>
      </c>
      <c r="E641" s="6">
        <v>1</v>
      </c>
      <c r="F641" s="6">
        <v>3580</v>
      </c>
      <c r="G641" s="6">
        <v>4</v>
      </c>
      <c r="H641" s="6">
        <v>3</v>
      </c>
      <c r="I641" s="6" t="s">
        <v>13</v>
      </c>
      <c r="J641" s="6" t="str">
        <f>IF(Employee[[#This Row],[Attrition]]="Yes","Resigned","Active")</f>
        <v>Active</v>
      </c>
    </row>
    <row r="642" spans="1:10" x14ac:dyDescent="0.25">
      <c r="A642" s="6">
        <v>888</v>
      </c>
      <c r="B642" s="6">
        <v>24</v>
      </c>
      <c r="C642" s="5" t="s">
        <v>11</v>
      </c>
      <c r="D642" s="5" t="s">
        <v>14</v>
      </c>
      <c r="E642" s="6">
        <v>1</v>
      </c>
      <c r="F642" s="6">
        <v>3162</v>
      </c>
      <c r="G642" s="6">
        <v>5</v>
      </c>
      <c r="H642" s="6">
        <v>2</v>
      </c>
      <c r="I642" s="6" t="s">
        <v>13</v>
      </c>
      <c r="J642" s="6" t="str">
        <f>IF(Employee[[#This Row],[Attrition]]="Yes","Resigned","Active")</f>
        <v>Active</v>
      </c>
    </row>
    <row r="643" spans="1:10" x14ac:dyDescent="0.25">
      <c r="A643" s="6">
        <v>889</v>
      </c>
      <c r="B643" s="6">
        <v>32</v>
      </c>
      <c r="C643" s="5" t="s">
        <v>8</v>
      </c>
      <c r="D643" s="5" t="s">
        <v>9</v>
      </c>
      <c r="E643" s="6">
        <v>2</v>
      </c>
      <c r="F643" s="6">
        <v>6524</v>
      </c>
      <c r="G643" s="6">
        <v>10</v>
      </c>
      <c r="H643" s="6">
        <v>3</v>
      </c>
      <c r="I643" s="6" t="s">
        <v>13</v>
      </c>
      <c r="J643" s="6" t="str">
        <f>IF(Employee[[#This Row],[Attrition]]="Yes","Resigned","Active")</f>
        <v>Active</v>
      </c>
    </row>
    <row r="644" spans="1:10" x14ac:dyDescent="0.25">
      <c r="A644" s="6">
        <v>893</v>
      </c>
      <c r="B644" s="6">
        <v>38</v>
      </c>
      <c r="C644" s="5" t="s">
        <v>8</v>
      </c>
      <c r="D644" s="5" t="s">
        <v>18</v>
      </c>
      <c r="E644" s="6">
        <v>1</v>
      </c>
      <c r="F644" s="6">
        <v>2899</v>
      </c>
      <c r="G644" s="6">
        <v>2</v>
      </c>
      <c r="H644" s="6">
        <v>3</v>
      </c>
      <c r="I644" s="6" t="s">
        <v>13</v>
      </c>
      <c r="J644" s="6" t="str">
        <f>IF(Employee[[#This Row],[Attrition]]="Yes","Resigned","Active")</f>
        <v>Active</v>
      </c>
    </row>
    <row r="645" spans="1:10" x14ac:dyDescent="0.25">
      <c r="A645" s="6">
        <v>894</v>
      </c>
      <c r="B645" s="6">
        <v>42</v>
      </c>
      <c r="C645" s="5" t="s">
        <v>11</v>
      </c>
      <c r="D645" s="5" t="s">
        <v>14</v>
      </c>
      <c r="E645" s="6">
        <v>2</v>
      </c>
      <c r="F645" s="6">
        <v>5231</v>
      </c>
      <c r="G645" s="6">
        <v>5</v>
      </c>
      <c r="H645" s="6">
        <v>2</v>
      </c>
      <c r="I645" s="6" t="s">
        <v>13</v>
      </c>
      <c r="J645" s="6" t="str">
        <f>IF(Employee[[#This Row],[Attrition]]="Yes","Resigned","Active")</f>
        <v>Active</v>
      </c>
    </row>
    <row r="646" spans="1:10" x14ac:dyDescent="0.25">
      <c r="A646" s="6">
        <v>895</v>
      </c>
      <c r="B646" s="6">
        <v>31</v>
      </c>
      <c r="C646" s="5" t="s">
        <v>11</v>
      </c>
      <c r="D646" s="5" t="s">
        <v>12</v>
      </c>
      <c r="E646" s="6">
        <v>1</v>
      </c>
      <c r="F646" s="6">
        <v>2356</v>
      </c>
      <c r="G646" s="6">
        <v>6</v>
      </c>
      <c r="H646" s="6">
        <v>3</v>
      </c>
      <c r="I646" s="6" t="s">
        <v>13</v>
      </c>
      <c r="J646" s="6" t="str">
        <f>IF(Employee[[#This Row],[Attrition]]="Yes","Resigned","Active")</f>
        <v>Active</v>
      </c>
    </row>
    <row r="647" spans="1:10" x14ac:dyDescent="0.25">
      <c r="A647" s="6">
        <v>896</v>
      </c>
      <c r="B647" s="6">
        <v>29</v>
      </c>
      <c r="C647" s="5" t="s">
        <v>8</v>
      </c>
      <c r="D647" s="5" t="s">
        <v>18</v>
      </c>
      <c r="E647" s="6">
        <v>1</v>
      </c>
      <c r="F647" s="6">
        <v>2800</v>
      </c>
      <c r="G647" s="6">
        <v>3</v>
      </c>
      <c r="H647" s="6">
        <v>3</v>
      </c>
      <c r="I647" s="6" t="s">
        <v>10</v>
      </c>
      <c r="J647" s="6" t="str">
        <f>IF(Employee[[#This Row],[Attrition]]="Yes","Resigned","Active")</f>
        <v>Resigned</v>
      </c>
    </row>
    <row r="648" spans="1:10" x14ac:dyDescent="0.25">
      <c r="A648" s="6">
        <v>897</v>
      </c>
      <c r="B648" s="6">
        <v>53</v>
      </c>
      <c r="C648" s="5" t="s">
        <v>8</v>
      </c>
      <c r="D648" s="5" t="s">
        <v>9</v>
      </c>
      <c r="E648" s="6">
        <v>4</v>
      </c>
      <c r="F648" s="6">
        <v>11836</v>
      </c>
      <c r="G648" s="6">
        <v>2</v>
      </c>
      <c r="H648" s="6">
        <v>3</v>
      </c>
      <c r="I648" s="6" t="s">
        <v>13</v>
      </c>
      <c r="J648" s="6" t="str">
        <f>IF(Employee[[#This Row],[Attrition]]="Yes","Resigned","Active")</f>
        <v>Active</v>
      </c>
    </row>
    <row r="649" spans="1:10" x14ac:dyDescent="0.25">
      <c r="A649" s="6">
        <v>899</v>
      </c>
      <c r="B649" s="6">
        <v>35</v>
      </c>
      <c r="C649" s="5" t="s">
        <v>11</v>
      </c>
      <c r="D649" s="5" t="s">
        <v>15</v>
      </c>
      <c r="E649" s="6">
        <v>3</v>
      </c>
      <c r="F649" s="6">
        <v>10903</v>
      </c>
      <c r="G649" s="6">
        <v>13</v>
      </c>
      <c r="H649" s="6">
        <v>3</v>
      </c>
      <c r="I649" s="6" t="s">
        <v>13</v>
      </c>
      <c r="J649" s="6" t="str">
        <f>IF(Employee[[#This Row],[Attrition]]="Yes","Resigned","Active")</f>
        <v>Active</v>
      </c>
    </row>
    <row r="650" spans="1:10" x14ac:dyDescent="0.25">
      <c r="A650" s="6">
        <v>900</v>
      </c>
      <c r="B650" s="6">
        <v>37</v>
      </c>
      <c r="C650" s="5" t="s">
        <v>8</v>
      </c>
      <c r="D650" s="5" t="s">
        <v>18</v>
      </c>
      <c r="E650" s="6">
        <v>1</v>
      </c>
      <c r="F650" s="6">
        <v>2973</v>
      </c>
      <c r="G650" s="6">
        <v>5</v>
      </c>
      <c r="H650" s="6">
        <v>3</v>
      </c>
      <c r="I650" s="6" t="s">
        <v>13</v>
      </c>
      <c r="J650" s="6" t="str">
        <f>IF(Employee[[#This Row],[Attrition]]="Yes","Resigned","Active")</f>
        <v>Active</v>
      </c>
    </row>
    <row r="651" spans="1:10" x14ac:dyDescent="0.25">
      <c r="A651" s="6">
        <v>901</v>
      </c>
      <c r="B651" s="6">
        <v>53</v>
      </c>
      <c r="C651" s="5" t="s">
        <v>11</v>
      </c>
      <c r="D651" s="5" t="s">
        <v>19</v>
      </c>
      <c r="E651" s="6">
        <v>4</v>
      </c>
      <c r="F651" s="6">
        <v>14275</v>
      </c>
      <c r="G651" s="6">
        <v>12</v>
      </c>
      <c r="H651" s="6">
        <v>3</v>
      </c>
      <c r="I651" s="6" t="s">
        <v>13</v>
      </c>
      <c r="J651" s="6" t="str">
        <f>IF(Employee[[#This Row],[Attrition]]="Yes","Resigned","Active")</f>
        <v>Active</v>
      </c>
    </row>
    <row r="652" spans="1:10" x14ac:dyDescent="0.25">
      <c r="A652" s="6">
        <v>902</v>
      </c>
      <c r="B652" s="6">
        <v>43</v>
      </c>
      <c r="C652" s="5" t="s">
        <v>11</v>
      </c>
      <c r="D652" s="5" t="s">
        <v>16</v>
      </c>
      <c r="E652" s="6">
        <v>2</v>
      </c>
      <c r="F652" s="6">
        <v>5562</v>
      </c>
      <c r="G652" s="6">
        <v>5</v>
      </c>
      <c r="H652" s="6">
        <v>2</v>
      </c>
      <c r="I652" s="6" t="s">
        <v>13</v>
      </c>
      <c r="J652" s="6" t="str">
        <f>IF(Employee[[#This Row],[Attrition]]="Yes","Resigned","Active")</f>
        <v>Active</v>
      </c>
    </row>
    <row r="653" spans="1:10" x14ac:dyDescent="0.25">
      <c r="A653" s="6">
        <v>903</v>
      </c>
      <c r="B653" s="6">
        <v>47</v>
      </c>
      <c r="C653" s="5" t="s">
        <v>8</v>
      </c>
      <c r="D653" s="5" t="s">
        <v>9</v>
      </c>
      <c r="E653" s="6">
        <v>2</v>
      </c>
      <c r="F653" s="6">
        <v>4537</v>
      </c>
      <c r="G653" s="6">
        <v>7</v>
      </c>
      <c r="H653" s="6">
        <v>3</v>
      </c>
      <c r="I653" s="6" t="s">
        <v>13</v>
      </c>
      <c r="J653" s="6" t="str">
        <f>IF(Employee[[#This Row],[Attrition]]="Yes","Resigned","Active")</f>
        <v>Active</v>
      </c>
    </row>
    <row r="654" spans="1:10" x14ac:dyDescent="0.25">
      <c r="A654" s="6">
        <v>904</v>
      </c>
      <c r="B654" s="6">
        <v>37</v>
      </c>
      <c r="C654" s="5" t="s">
        <v>8</v>
      </c>
      <c r="D654" s="5" t="s">
        <v>9</v>
      </c>
      <c r="E654" s="6">
        <v>3</v>
      </c>
      <c r="F654" s="6">
        <v>7642</v>
      </c>
      <c r="G654" s="6">
        <v>10</v>
      </c>
      <c r="H654" s="6">
        <v>3</v>
      </c>
      <c r="I654" s="6" t="s">
        <v>13</v>
      </c>
      <c r="J654" s="6" t="str">
        <f>IF(Employee[[#This Row],[Attrition]]="Yes","Resigned","Active")</f>
        <v>Active</v>
      </c>
    </row>
    <row r="655" spans="1:10" x14ac:dyDescent="0.25">
      <c r="A655" s="6">
        <v>905</v>
      </c>
      <c r="B655" s="6">
        <v>50</v>
      </c>
      <c r="C655" s="5" t="s">
        <v>11</v>
      </c>
      <c r="D655" s="5" t="s">
        <v>17</v>
      </c>
      <c r="E655" s="6">
        <v>4</v>
      </c>
      <c r="F655" s="6">
        <v>17924</v>
      </c>
      <c r="G655" s="6">
        <v>31</v>
      </c>
      <c r="H655" s="6">
        <v>3</v>
      </c>
      <c r="I655" s="6" t="s">
        <v>13</v>
      </c>
      <c r="J655" s="6" t="str">
        <f>IF(Employee[[#This Row],[Attrition]]="Yes","Resigned","Active")</f>
        <v>Active</v>
      </c>
    </row>
    <row r="656" spans="1:10" x14ac:dyDescent="0.25">
      <c r="A656" s="6">
        <v>909</v>
      </c>
      <c r="B656" s="6">
        <v>39</v>
      </c>
      <c r="C656" s="5" t="s">
        <v>20</v>
      </c>
      <c r="D656" s="5" t="s">
        <v>20</v>
      </c>
      <c r="E656" s="6">
        <v>2</v>
      </c>
      <c r="F656" s="6">
        <v>5204</v>
      </c>
      <c r="G656" s="6">
        <v>5</v>
      </c>
      <c r="H656" s="6">
        <v>3</v>
      </c>
      <c r="I656" s="6" t="s">
        <v>13</v>
      </c>
      <c r="J656" s="6" t="str">
        <f>IF(Employee[[#This Row],[Attrition]]="Yes","Resigned","Active")</f>
        <v>Active</v>
      </c>
    </row>
    <row r="657" spans="1:10" x14ac:dyDescent="0.25">
      <c r="A657" s="6">
        <v>910</v>
      </c>
      <c r="B657" s="6">
        <v>33</v>
      </c>
      <c r="C657" s="5" t="s">
        <v>20</v>
      </c>
      <c r="D657" s="5" t="s">
        <v>20</v>
      </c>
      <c r="E657" s="6">
        <v>1</v>
      </c>
      <c r="F657" s="6">
        <v>2277</v>
      </c>
      <c r="G657" s="6">
        <v>4</v>
      </c>
      <c r="H657" s="6">
        <v>4</v>
      </c>
      <c r="I657" s="6" t="s">
        <v>13</v>
      </c>
      <c r="J657" s="6" t="str">
        <f>IF(Employee[[#This Row],[Attrition]]="Yes","Resigned","Active")</f>
        <v>Active</v>
      </c>
    </row>
    <row r="658" spans="1:10" x14ac:dyDescent="0.25">
      <c r="A658" s="6">
        <v>911</v>
      </c>
      <c r="B658" s="6">
        <v>32</v>
      </c>
      <c r="C658" s="5" t="s">
        <v>11</v>
      </c>
      <c r="D658" s="5" t="s">
        <v>14</v>
      </c>
      <c r="E658" s="6">
        <v>1</v>
      </c>
      <c r="F658" s="6">
        <v>2795</v>
      </c>
      <c r="G658" s="6">
        <v>1</v>
      </c>
      <c r="H658" s="6">
        <v>1</v>
      </c>
      <c r="I658" s="6" t="s">
        <v>10</v>
      </c>
      <c r="J658" s="6" t="str">
        <f>IF(Employee[[#This Row],[Attrition]]="Yes","Resigned","Active")</f>
        <v>Resigned</v>
      </c>
    </row>
    <row r="659" spans="1:10" x14ac:dyDescent="0.25">
      <c r="A659" s="6">
        <v>912</v>
      </c>
      <c r="B659" s="6">
        <v>29</v>
      </c>
      <c r="C659" s="5" t="s">
        <v>11</v>
      </c>
      <c r="D659" s="5" t="s">
        <v>14</v>
      </c>
      <c r="E659" s="6">
        <v>1</v>
      </c>
      <c r="F659" s="6">
        <v>2532</v>
      </c>
      <c r="G659" s="6">
        <v>4</v>
      </c>
      <c r="H659" s="6">
        <v>3</v>
      </c>
      <c r="I659" s="6" t="s">
        <v>13</v>
      </c>
      <c r="J659" s="6" t="str">
        <f>IF(Employee[[#This Row],[Attrition]]="Yes","Resigned","Active")</f>
        <v>Active</v>
      </c>
    </row>
    <row r="660" spans="1:10" x14ac:dyDescent="0.25">
      <c r="A660" s="6">
        <v>913</v>
      </c>
      <c r="B660" s="6">
        <v>44</v>
      </c>
      <c r="C660" s="5" t="s">
        <v>11</v>
      </c>
      <c r="D660" s="5" t="s">
        <v>12</v>
      </c>
      <c r="E660" s="6">
        <v>1</v>
      </c>
      <c r="F660" s="6">
        <v>2559</v>
      </c>
      <c r="G660" s="6">
        <v>8</v>
      </c>
      <c r="H660" s="6">
        <v>3</v>
      </c>
      <c r="I660" s="6" t="s">
        <v>13</v>
      </c>
      <c r="J660" s="6" t="str">
        <f>IF(Employee[[#This Row],[Attrition]]="Yes","Resigned","Active")</f>
        <v>Active</v>
      </c>
    </row>
    <row r="661" spans="1:10" x14ac:dyDescent="0.25">
      <c r="A661" s="6">
        <v>916</v>
      </c>
      <c r="B661" s="6">
        <v>28</v>
      </c>
      <c r="C661" s="5" t="s">
        <v>8</v>
      </c>
      <c r="D661" s="5" t="s">
        <v>9</v>
      </c>
      <c r="E661" s="6">
        <v>2</v>
      </c>
      <c r="F661" s="6">
        <v>4908</v>
      </c>
      <c r="G661" s="6">
        <v>4</v>
      </c>
      <c r="H661" s="6">
        <v>3</v>
      </c>
      <c r="I661" s="6" t="s">
        <v>13</v>
      </c>
      <c r="J661" s="6" t="str">
        <f>IF(Employee[[#This Row],[Attrition]]="Yes","Resigned","Active")</f>
        <v>Active</v>
      </c>
    </row>
    <row r="662" spans="1:10" x14ac:dyDescent="0.25">
      <c r="A662" s="6">
        <v>918</v>
      </c>
      <c r="B662" s="6">
        <v>58</v>
      </c>
      <c r="C662" s="5" t="s">
        <v>11</v>
      </c>
      <c r="D662" s="5" t="s">
        <v>14</v>
      </c>
      <c r="E662" s="6">
        <v>1</v>
      </c>
      <c r="F662" s="6">
        <v>2380</v>
      </c>
      <c r="G662" s="6">
        <v>1</v>
      </c>
      <c r="H662" s="6">
        <v>2</v>
      </c>
      <c r="I662" s="6" t="s">
        <v>10</v>
      </c>
      <c r="J662" s="6" t="str">
        <f>IF(Employee[[#This Row],[Attrition]]="Yes","Resigned","Active")</f>
        <v>Resigned</v>
      </c>
    </row>
    <row r="663" spans="1:10" x14ac:dyDescent="0.25">
      <c r="A663" s="6">
        <v>920</v>
      </c>
      <c r="B663" s="6">
        <v>43</v>
      </c>
      <c r="C663" s="5" t="s">
        <v>11</v>
      </c>
      <c r="D663" s="5" t="s">
        <v>15</v>
      </c>
      <c r="E663" s="6">
        <v>2</v>
      </c>
      <c r="F663" s="6">
        <v>4765</v>
      </c>
      <c r="G663" s="6">
        <v>1</v>
      </c>
      <c r="H663" s="6">
        <v>4</v>
      </c>
      <c r="I663" s="6" t="s">
        <v>13</v>
      </c>
      <c r="J663" s="6" t="str">
        <f>IF(Employee[[#This Row],[Attrition]]="Yes","Resigned","Active")</f>
        <v>Active</v>
      </c>
    </row>
    <row r="664" spans="1:10" x14ac:dyDescent="0.25">
      <c r="A664" s="6">
        <v>922</v>
      </c>
      <c r="B664" s="6">
        <v>20</v>
      </c>
      <c r="C664" s="5" t="s">
        <v>8</v>
      </c>
      <c r="D664" s="5" t="s">
        <v>18</v>
      </c>
      <c r="E664" s="6">
        <v>1</v>
      </c>
      <c r="F664" s="6">
        <v>2044</v>
      </c>
      <c r="G664" s="6">
        <v>2</v>
      </c>
      <c r="H664" s="6">
        <v>2</v>
      </c>
      <c r="I664" s="6" t="s">
        <v>10</v>
      </c>
      <c r="J664" s="6" t="str">
        <f>IF(Employee[[#This Row],[Attrition]]="Yes","Resigned","Active")</f>
        <v>Resigned</v>
      </c>
    </row>
    <row r="665" spans="1:10" x14ac:dyDescent="0.25">
      <c r="A665" s="6">
        <v>923</v>
      </c>
      <c r="B665" s="6">
        <v>21</v>
      </c>
      <c r="C665" s="5" t="s">
        <v>11</v>
      </c>
      <c r="D665" s="5" t="s">
        <v>12</v>
      </c>
      <c r="E665" s="6">
        <v>1</v>
      </c>
      <c r="F665" s="6">
        <v>2693</v>
      </c>
      <c r="G665" s="6">
        <v>1</v>
      </c>
      <c r="H665" s="6">
        <v>2</v>
      </c>
      <c r="I665" s="6" t="s">
        <v>10</v>
      </c>
      <c r="J665" s="6" t="str">
        <f>IF(Employee[[#This Row],[Attrition]]="Yes","Resigned","Active")</f>
        <v>Resigned</v>
      </c>
    </row>
    <row r="666" spans="1:10" x14ac:dyDescent="0.25">
      <c r="A666" s="6">
        <v>924</v>
      </c>
      <c r="B666" s="6">
        <v>36</v>
      </c>
      <c r="C666" s="5" t="s">
        <v>11</v>
      </c>
      <c r="D666" s="5" t="s">
        <v>16</v>
      </c>
      <c r="E666" s="6">
        <v>2</v>
      </c>
      <c r="F666" s="6">
        <v>6586</v>
      </c>
      <c r="G666" s="6">
        <v>16</v>
      </c>
      <c r="H666" s="6">
        <v>2</v>
      </c>
      <c r="I666" s="6" t="s">
        <v>13</v>
      </c>
      <c r="J666" s="6" t="str">
        <f>IF(Employee[[#This Row],[Attrition]]="Yes","Resigned","Active")</f>
        <v>Active</v>
      </c>
    </row>
    <row r="667" spans="1:10" x14ac:dyDescent="0.25">
      <c r="A667" s="6">
        <v>925</v>
      </c>
      <c r="B667" s="6">
        <v>47</v>
      </c>
      <c r="C667" s="5" t="s">
        <v>8</v>
      </c>
      <c r="D667" s="5" t="s">
        <v>18</v>
      </c>
      <c r="E667" s="6">
        <v>1</v>
      </c>
      <c r="F667" s="6">
        <v>3294</v>
      </c>
      <c r="G667" s="6">
        <v>3</v>
      </c>
      <c r="H667" s="6">
        <v>2</v>
      </c>
      <c r="I667" s="6" t="s">
        <v>13</v>
      </c>
      <c r="J667" s="6" t="str">
        <f>IF(Employee[[#This Row],[Attrition]]="Yes","Resigned","Active")</f>
        <v>Active</v>
      </c>
    </row>
    <row r="668" spans="1:10" x14ac:dyDescent="0.25">
      <c r="A668" s="6">
        <v>926</v>
      </c>
      <c r="B668" s="6">
        <v>22</v>
      </c>
      <c r="C668" s="5" t="s">
        <v>11</v>
      </c>
      <c r="D668" s="5" t="s">
        <v>15</v>
      </c>
      <c r="E668" s="6">
        <v>2</v>
      </c>
      <c r="F668" s="6">
        <v>4171</v>
      </c>
      <c r="G668" s="6">
        <v>3</v>
      </c>
      <c r="H668" s="6">
        <v>4</v>
      </c>
      <c r="I668" s="6" t="s">
        <v>10</v>
      </c>
      <c r="J668" s="6" t="str">
        <f>IF(Employee[[#This Row],[Attrition]]="Yes","Resigned","Active")</f>
        <v>Resigned</v>
      </c>
    </row>
    <row r="669" spans="1:10" x14ac:dyDescent="0.25">
      <c r="A669" s="6">
        <v>927</v>
      </c>
      <c r="B669" s="6">
        <v>41</v>
      </c>
      <c r="C669" s="5" t="s">
        <v>11</v>
      </c>
      <c r="D669" s="5" t="s">
        <v>14</v>
      </c>
      <c r="E669" s="6">
        <v>1</v>
      </c>
      <c r="F669" s="6">
        <v>2778</v>
      </c>
      <c r="G669" s="6">
        <v>7</v>
      </c>
      <c r="H669" s="6">
        <v>2</v>
      </c>
      <c r="I669" s="6" t="s">
        <v>10</v>
      </c>
      <c r="J669" s="6" t="str">
        <f>IF(Employee[[#This Row],[Attrition]]="Yes","Resigned","Active")</f>
        <v>Resigned</v>
      </c>
    </row>
    <row r="670" spans="1:10" x14ac:dyDescent="0.25">
      <c r="A670" s="6">
        <v>930</v>
      </c>
      <c r="B670" s="6">
        <v>28</v>
      </c>
      <c r="C670" s="5" t="s">
        <v>11</v>
      </c>
      <c r="D670" s="5" t="s">
        <v>12</v>
      </c>
      <c r="E670" s="6">
        <v>1</v>
      </c>
      <c r="F670" s="6">
        <v>2377</v>
      </c>
      <c r="G670" s="6">
        <v>2</v>
      </c>
      <c r="H670" s="6">
        <v>3</v>
      </c>
      <c r="I670" s="6" t="s">
        <v>13</v>
      </c>
      <c r="J670" s="6" t="str">
        <f>IF(Employee[[#This Row],[Attrition]]="Yes","Resigned","Active")</f>
        <v>Active</v>
      </c>
    </row>
    <row r="671" spans="1:10" x14ac:dyDescent="0.25">
      <c r="A671" s="6">
        <v>932</v>
      </c>
      <c r="B671" s="6">
        <v>39</v>
      </c>
      <c r="C671" s="5" t="s">
        <v>11</v>
      </c>
      <c r="D671" s="5" t="s">
        <v>14</v>
      </c>
      <c r="E671" s="6">
        <v>1</v>
      </c>
      <c r="F671" s="6">
        <v>2404</v>
      </c>
      <c r="G671" s="6">
        <v>2</v>
      </c>
      <c r="H671" s="6">
        <v>1</v>
      </c>
      <c r="I671" s="6" t="s">
        <v>10</v>
      </c>
      <c r="J671" s="6" t="str">
        <f>IF(Employee[[#This Row],[Attrition]]="Yes","Resigned","Active")</f>
        <v>Resigned</v>
      </c>
    </row>
    <row r="672" spans="1:10" x14ac:dyDescent="0.25">
      <c r="A672" s="6">
        <v>933</v>
      </c>
      <c r="B672" s="6">
        <v>27</v>
      </c>
      <c r="C672" s="5" t="s">
        <v>11</v>
      </c>
      <c r="D672" s="5" t="s">
        <v>12</v>
      </c>
      <c r="E672" s="6">
        <v>1</v>
      </c>
      <c r="F672" s="6">
        <v>2318</v>
      </c>
      <c r="G672" s="6">
        <v>1</v>
      </c>
      <c r="H672" s="6">
        <v>3</v>
      </c>
      <c r="I672" s="6" t="s">
        <v>13</v>
      </c>
      <c r="J672" s="6" t="str">
        <f>IF(Employee[[#This Row],[Attrition]]="Yes","Resigned","Active")</f>
        <v>Active</v>
      </c>
    </row>
    <row r="673" spans="1:10" x14ac:dyDescent="0.25">
      <c r="A673" s="6">
        <v>934</v>
      </c>
      <c r="B673" s="6">
        <v>34</v>
      </c>
      <c r="C673" s="5" t="s">
        <v>11</v>
      </c>
      <c r="D673" s="5" t="s">
        <v>14</v>
      </c>
      <c r="E673" s="6">
        <v>1</v>
      </c>
      <c r="F673" s="6">
        <v>2008</v>
      </c>
      <c r="G673" s="6">
        <v>1</v>
      </c>
      <c r="H673" s="6">
        <v>3</v>
      </c>
      <c r="I673" s="6" t="s">
        <v>13</v>
      </c>
      <c r="J673" s="6" t="str">
        <f>IF(Employee[[#This Row],[Attrition]]="Yes","Resigned","Active")</f>
        <v>Active</v>
      </c>
    </row>
    <row r="674" spans="1:10" x14ac:dyDescent="0.25">
      <c r="A674" s="6">
        <v>936</v>
      </c>
      <c r="B674" s="6">
        <v>42</v>
      </c>
      <c r="C674" s="5" t="s">
        <v>8</v>
      </c>
      <c r="D674" s="5" t="s">
        <v>9</v>
      </c>
      <c r="E674" s="6">
        <v>2</v>
      </c>
      <c r="F674" s="6">
        <v>6244</v>
      </c>
      <c r="G674" s="6">
        <v>5</v>
      </c>
      <c r="H674" s="6">
        <v>3</v>
      </c>
      <c r="I674" s="6" t="s">
        <v>13</v>
      </c>
      <c r="J674" s="6" t="str">
        <f>IF(Employee[[#This Row],[Attrition]]="Yes","Resigned","Active")</f>
        <v>Active</v>
      </c>
    </row>
    <row r="675" spans="1:10" x14ac:dyDescent="0.25">
      <c r="A675" s="6">
        <v>939</v>
      </c>
      <c r="B675" s="6">
        <v>33</v>
      </c>
      <c r="C675" s="5" t="s">
        <v>11</v>
      </c>
      <c r="D675" s="5" t="s">
        <v>12</v>
      </c>
      <c r="E675" s="6">
        <v>1</v>
      </c>
      <c r="F675" s="6">
        <v>2799</v>
      </c>
      <c r="G675" s="6">
        <v>3</v>
      </c>
      <c r="H675" s="6">
        <v>3</v>
      </c>
      <c r="I675" s="6" t="s">
        <v>13</v>
      </c>
      <c r="J675" s="6" t="str">
        <f>IF(Employee[[#This Row],[Attrition]]="Yes","Resigned","Active")</f>
        <v>Active</v>
      </c>
    </row>
    <row r="676" spans="1:10" x14ac:dyDescent="0.25">
      <c r="A676" s="6">
        <v>940</v>
      </c>
      <c r="B676" s="6">
        <v>58</v>
      </c>
      <c r="C676" s="5" t="s">
        <v>11</v>
      </c>
      <c r="D676" s="5" t="s">
        <v>16</v>
      </c>
      <c r="E676" s="6">
        <v>3</v>
      </c>
      <c r="F676" s="6">
        <v>10552</v>
      </c>
      <c r="G676" s="6">
        <v>6</v>
      </c>
      <c r="H676" s="6">
        <v>3</v>
      </c>
      <c r="I676" s="6" t="s">
        <v>13</v>
      </c>
      <c r="J676" s="6" t="str">
        <f>IF(Employee[[#This Row],[Attrition]]="Yes","Resigned","Active")</f>
        <v>Active</v>
      </c>
    </row>
    <row r="677" spans="1:10" x14ac:dyDescent="0.25">
      <c r="A677" s="6">
        <v>941</v>
      </c>
      <c r="B677" s="6">
        <v>31</v>
      </c>
      <c r="C677" s="5" t="s">
        <v>8</v>
      </c>
      <c r="D677" s="5" t="s">
        <v>18</v>
      </c>
      <c r="E677" s="6">
        <v>1</v>
      </c>
      <c r="F677" s="6">
        <v>2329</v>
      </c>
      <c r="G677" s="6">
        <v>7</v>
      </c>
      <c r="H677" s="6">
        <v>4</v>
      </c>
      <c r="I677" s="6" t="s">
        <v>13</v>
      </c>
      <c r="J677" s="6" t="str">
        <f>IF(Employee[[#This Row],[Attrition]]="Yes","Resigned","Active")</f>
        <v>Active</v>
      </c>
    </row>
    <row r="678" spans="1:10" x14ac:dyDescent="0.25">
      <c r="A678" s="6">
        <v>942</v>
      </c>
      <c r="B678" s="6">
        <v>35</v>
      </c>
      <c r="C678" s="5" t="s">
        <v>11</v>
      </c>
      <c r="D678" s="5" t="s">
        <v>16</v>
      </c>
      <c r="E678" s="6">
        <v>2</v>
      </c>
      <c r="F678" s="6">
        <v>4014</v>
      </c>
      <c r="G678" s="6">
        <v>10</v>
      </c>
      <c r="H678" s="6">
        <v>1</v>
      </c>
      <c r="I678" s="6" t="s">
        <v>13</v>
      </c>
      <c r="J678" s="6" t="str">
        <f>IF(Employee[[#This Row],[Attrition]]="Yes","Resigned","Active")</f>
        <v>Active</v>
      </c>
    </row>
    <row r="679" spans="1:10" x14ac:dyDescent="0.25">
      <c r="A679" s="6">
        <v>944</v>
      </c>
      <c r="B679" s="6">
        <v>49</v>
      </c>
      <c r="C679" s="5" t="s">
        <v>11</v>
      </c>
      <c r="D679" s="5" t="s">
        <v>14</v>
      </c>
      <c r="E679" s="6">
        <v>3</v>
      </c>
      <c r="F679" s="6">
        <v>7403</v>
      </c>
      <c r="G679" s="6">
        <v>26</v>
      </c>
      <c r="H679" s="6">
        <v>2</v>
      </c>
      <c r="I679" s="6" t="s">
        <v>13</v>
      </c>
      <c r="J679" s="6" t="str">
        <f>IF(Employee[[#This Row],[Attrition]]="Yes","Resigned","Active")</f>
        <v>Active</v>
      </c>
    </row>
    <row r="680" spans="1:10" x14ac:dyDescent="0.25">
      <c r="A680" s="6">
        <v>945</v>
      </c>
      <c r="B680" s="6">
        <v>48</v>
      </c>
      <c r="C680" s="5" t="s">
        <v>11</v>
      </c>
      <c r="D680" s="5" t="s">
        <v>12</v>
      </c>
      <c r="E680" s="6">
        <v>1</v>
      </c>
      <c r="F680" s="6">
        <v>2259</v>
      </c>
      <c r="G680" s="6">
        <v>0</v>
      </c>
      <c r="H680" s="6">
        <v>2</v>
      </c>
      <c r="I680" s="6" t="s">
        <v>13</v>
      </c>
      <c r="J680" s="6" t="str">
        <f>IF(Employee[[#This Row],[Attrition]]="Yes","Resigned","Active")</f>
        <v>Active</v>
      </c>
    </row>
    <row r="681" spans="1:10" x14ac:dyDescent="0.25">
      <c r="A681" s="6">
        <v>947</v>
      </c>
      <c r="B681" s="6">
        <v>31</v>
      </c>
      <c r="C681" s="5" t="s">
        <v>8</v>
      </c>
      <c r="D681" s="5" t="s">
        <v>9</v>
      </c>
      <c r="E681" s="6">
        <v>2</v>
      </c>
      <c r="F681" s="6">
        <v>6932</v>
      </c>
      <c r="G681" s="6">
        <v>9</v>
      </c>
      <c r="H681" s="6">
        <v>2</v>
      </c>
      <c r="I681" s="6" t="s">
        <v>13</v>
      </c>
      <c r="J681" s="6" t="str">
        <f>IF(Employee[[#This Row],[Attrition]]="Yes","Resigned","Active")</f>
        <v>Active</v>
      </c>
    </row>
    <row r="682" spans="1:10" x14ac:dyDescent="0.25">
      <c r="A682" s="6">
        <v>949</v>
      </c>
      <c r="B682" s="6">
        <v>36</v>
      </c>
      <c r="C682" s="5" t="s">
        <v>11</v>
      </c>
      <c r="D682" s="5" t="s">
        <v>12</v>
      </c>
      <c r="E682" s="6">
        <v>1</v>
      </c>
      <c r="F682" s="6">
        <v>4678</v>
      </c>
      <c r="G682" s="6">
        <v>6</v>
      </c>
      <c r="H682" s="6">
        <v>3</v>
      </c>
      <c r="I682" s="6" t="s">
        <v>13</v>
      </c>
      <c r="J682" s="6" t="str">
        <f>IF(Employee[[#This Row],[Attrition]]="Yes","Resigned","Active")</f>
        <v>Active</v>
      </c>
    </row>
    <row r="683" spans="1:10" x14ac:dyDescent="0.25">
      <c r="A683" s="6">
        <v>950</v>
      </c>
      <c r="B683" s="6">
        <v>38</v>
      </c>
      <c r="C683" s="5" t="s">
        <v>11</v>
      </c>
      <c r="D683" s="5" t="s">
        <v>19</v>
      </c>
      <c r="E683" s="6">
        <v>3</v>
      </c>
      <c r="F683" s="6">
        <v>13582</v>
      </c>
      <c r="G683" s="6">
        <v>15</v>
      </c>
      <c r="H683" s="6">
        <v>3</v>
      </c>
      <c r="I683" s="6" t="s">
        <v>13</v>
      </c>
      <c r="J683" s="6" t="str">
        <f>IF(Employee[[#This Row],[Attrition]]="Yes","Resigned","Active")</f>
        <v>Active</v>
      </c>
    </row>
    <row r="684" spans="1:10" x14ac:dyDescent="0.25">
      <c r="A684" s="6">
        <v>951</v>
      </c>
      <c r="B684" s="6">
        <v>32</v>
      </c>
      <c r="C684" s="5" t="s">
        <v>11</v>
      </c>
      <c r="D684" s="5" t="s">
        <v>14</v>
      </c>
      <c r="E684" s="6">
        <v>1</v>
      </c>
      <c r="F684" s="6">
        <v>2332</v>
      </c>
      <c r="G684" s="6">
        <v>3</v>
      </c>
      <c r="H684" s="6">
        <v>3</v>
      </c>
      <c r="I684" s="6" t="s">
        <v>13</v>
      </c>
      <c r="J684" s="6" t="str">
        <f>IF(Employee[[#This Row],[Attrition]]="Yes","Resigned","Active")</f>
        <v>Active</v>
      </c>
    </row>
    <row r="685" spans="1:10" x14ac:dyDescent="0.25">
      <c r="A685" s="6">
        <v>952</v>
      </c>
      <c r="B685" s="6">
        <v>25</v>
      </c>
      <c r="C685" s="5" t="s">
        <v>8</v>
      </c>
      <c r="D685" s="5" t="s">
        <v>18</v>
      </c>
      <c r="E685" s="6">
        <v>1</v>
      </c>
      <c r="F685" s="6">
        <v>2413</v>
      </c>
      <c r="G685" s="6">
        <v>1</v>
      </c>
      <c r="H685" s="6">
        <v>3</v>
      </c>
      <c r="I685" s="6" t="s">
        <v>10</v>
      </c>
      <c r="J685" s="6" t="str">
        <f>IF(Employee[[#This Row],[Attrition]]="Yes","Resigned","Active")</f>
        <v>Resigned</v>
      </c>
    </row>
    <row r="686" spans="1:10" x14ac:dyDescent="0.25">
      <c r="A686" s="6">
        <v>954</v>
      </c>
      <c r="B686" s="6">
        <v>40</v>
      </c>
      <c r="C686" s="5" t="s">
        <v>8</v>
      </c>
      <c r="D686" s="5" t="s">
        <v>9</v>
      </c>
      <c r="E686" s="6">
        <v>3</v>
      </c>
      <c r="F686" s="6">
        <v>9705</v>
      </c>
      <c r="G686" s="6">
        <v>1</v>
      </c>
      <c r="H686" s="6">
        <v>2</v>
      </c>
      <c r="I686" s="6" t="s">
        <v>13</v>
      </c>
      <c r="J686" s="6" t="str">
        <f>IF(Employee[[#This Row],[Attrition]]="Yes","Resigned","Active")</f>
        <v>Active</v>
      </c>
    </row>
    <row r="687" spans="1:10" x14ac:dyDescent="0.25">
      <c r="A687" s="6">
        <v>956</v>
      </c>
      <c r="B687" s="6">
        <v>26</v>
      </c>
      <c r="C687" s="5" t="s">
        <v>8</v>
      </c>
      <c r="D687" s="5" t="s">
        <v>9</v>
      </c>
      <c r="E687" s="6">
        <v>2</v>
      </c>
      <c r="F687" s="6">
        <v>4294</v>
      </c>
      <c r="G687" s="6">
        <v>7</v>
      </c>
      <c r="H687" s="6">
        <v>3</v>
      </c>
      <c r="I687" s="6" t="s">
        <v>13</v>
      </c>
      <c r="J687" s="6" t="str">
        <f>IF(Employee[[#This Row],[Attrition]]="Yes","Resigned","Active")</f>
        <v>Active</v>
      </c>
    </row>
    <row r="688" spans="1:10" x14ac:dyDescent="0.25">
      <c r="A688" s="6">
        <v>957</v>
      </c>
      <c r="B688" s="6">
        <v>41</v>
      </c>
      <c r="C688" s="5" t="s">
        <v>11</v>
      </c>
      <c r="D688" s="5" t="s">
        <v>14</v>
      </c>
      <c r="E688" s="6">
        <v>1</v>
      </c>
      <c r="F688" s="6">
        <v>4721</v>
      </c>
      <c r="G688" s="6">
        <v>18</v>
      </c>
      <c r="H688" s="6">
        <v>3</v>
      </c>
      <c r="I688" s="6" t="s">
        <v>13</v>
      </c>
      <c r="J688" s="6" t="str">
        <f>IF(Employee[[#This Row],[Attrition]]="Yes","Resigned","Active")</f>
        <v>Active</v>
      </c>
    </row>
    <row r="689" spans="1:10" x14ac:dyDescent="0.25">
      <c r="A689" s="6">
        <v>958</v>
      </c>
      <c r="B689" s="6">
        <v>36</v>
      </c>
      <c r="C689" s="5" t="s">
        <v>11</v>
      </c>
      <c r="D689" s="5" t="s">
        <v>14</v>
      </c>
      <c r="E689" s="6">
        <v>1</v>
      </c>
      <c r="F689" s="6">
        <v>2519</v>
      </c>
      <c r="G689" s="6">
        <v>11</v>
      </c>
      <c r="H689" s="6">
        <v>3</v>
      </c>
      <c r="I689" s="6" t="s">
        <v>13</v>
      </c>
      <c r="J689" s="6" t="str">
        <f>IF(Employee[[#This Row],[Attrition]]="Yes","Resigned","Active")</f>
        <v>Active</v>
      </c>
    </row>
    <row r="690" spans="1:10" x14ac:dyDescent="0.25">
      <c r="A690" s="6">
        <v>959</v>
      </c>
      <c r="B690" s="6">
        <v>19</v>
      </c>
      <c r="C690" s="5" t="s">
        <v>8</v>
      </c>
      <c r="D690" s="5" t="s">
        <v>18</v>
      </c>
      <c r="E690" s="6">
        <v>1</v>
      </c>
      <c r="F690" s="6">
        <v>2121</v>
      </c>
      <c r="G690" s="6">
        <v>1</v>
      </c>
      <c r="H690" s="6">
        <v>4</v>
      </c>
      <c r="I690" s="6" t="s">
        <v>10</v>
      </c>
      <c r="J690" s="6" t="str">
        <f>IF(Employee[[#This Row],[Attrition]]="Yes","Resigned","Active")</f>
        <v>Resigned</v>
      </c>
    </row>
    <row r="691" spans="1:10" x14ac:dyDescent="0.25">
      <c r="A691" s="6">
        <v>960</v>
      </c>
      <c r="B691" s="6">
        <v>20</v>
      </c>
      <c r="C691" s="5" t="s">
        <v>11</v>
      </c>
      <c r="D691" s="5" t="s">
        <v>14</v>
      </c>
      <c r="E691" s="6">
        <v>1</v>
      </c>
      <c r="F691" s="6">
        <v>2973</v>
      </c>
      <c r="G691" s="6">
        <v>1</v>
      </c>
      <c r="H691" s="6">
        <v>3</v>
      </c>
      <c r="I691" s="6" t="s">
        <v>10</v>
      </c>
      <c r="J691" s="6" t="str">
        <f>IF(Employee[[#This Row],[Attrition]]="Yes","Resigned","Active")</f>
        <v>Resigned</v>
      </c>
    </row>
    <row r="692" spans="1:10" x14ac:dyDescent="0.25">
      <c r="A692" s="6">
        <v>961</v>
      </c>
      <c r="B692" s="6">
        <v>31</v>
      </c>
      <c r="C692" s="5" t="s">
        <v>11</v>
      </c>
      <c r="D692" s="5" t="s">
        <v>16</v>
      </c>
      <c r="E692" s="6">
        <v>2</v>
      </c>
      <c r="F692" s="6">
        <v>5855</v>
      </c>
      <c r="G692" s="6">
        <v>9</v>
      </c>
      <c r="H692" s="6">
        <v>1</v>
      </c>
      <c r="I692" s="6" t="s">
        <v>13</v>
      </c>
      <c r="J692" s="6" t="str">
        <f>IF(Employee[[#This Row],[Attrition]]="Yes","Resigned","Active")</f>
        <v>Active</v>
      </c>
    </row>
    <row r="693" spans="1:10" x14ac:dyDescent="0.25">
      <c r="A693" s="6">
        <v>964</v>
      </c>
      <c r="B693" s="6">
        <v>40</v>
      </c>
      <c r="C693" s="5" t="s">
        <v>11</v>
      </c>
      <c r="D693" s="5" t="s">
        <v>12</v>
      </c>
      <c r="E693" s="6">
        <v>1</v>
      </c>
      <c r="F693" s="6">
        <v>3617</v>
      </c>
      <c r="G693" s="6">
        <v>1</v>
      </c>
      <c r="H693" s="6">
        <v>3</v>
      </c>
      <c r="I693" s="6" t="s">
        <v>13</v>
      </c>
      <c r="J693" s="6" t="str">
        <f>IF(Employee[[#This Row],[Attrition]]="Yes","Resigned","Active")</f>
        <v>Active</v>
      </c>
    </row>
    <row r="694" spans="1:10" x14ac:dyDescent="0.25">
      <c r="A694" s="6">
        <v>966</v>
      </c>
      <c r="B694" s="6">
        <v>32</v>
      </c>
      <c r="C694" s="5" t="s">
        <v>11</v>
      </c>
      <c r="D694" s="5" t="s">
        <v>15</v>
      </c>
      <c r="E694" s="6">
        <v>2</v>
      </c>
      <c r="F694" s="6">
        <v>6725</v>
      </c>
      <c r="G694" s="6">
        <v>8</v>
      </c>
      <c r="H694" s="6">
        <v>4</v>
      </c>
      <c r="I694" s="6" t="s">
        <v>13</v>
      </c>
      <c r="J694" s="6" t="str">
        <f>IF(Employee[[#This Row],[Attrition]]="Yes","Resigned","Active")</f>
        <v>Active</v>
      </c>
    </row>
    <row r="695" spans="1:10" x14ac:dyDescent="0.25">
      <c r="A695" s="6">
        <v>967</v>
      </c>
      <c r="B695" s="6">
        <v>36</v>
      </c>
      <c r="C695" s="5" t="s">
        <v>8</v>
      </c>
      <c r="D695" s="5" t="s">
        <v>9</v>
      </c>
      <c r="E695" s="6">
        <v>3</v>
      </c>
      <c r="F695" s="6">
        <v>10325</v>
      </c>
      <c r="G695" s="6">
        <v>16</v>
      </c>
      <c r="H695" s="6">
        <v>3</v>
      </c>
      <c r="I695" s="6" t="s">
        <v>10</v>
      </c>
      <c r="J695" s="6" t="str">
        <f>IF(Employee[[#This Row],[Attrition]]="Yes","Resigned","Active")</f>
        <v>Resigned</v>
      </c>
    </row>
    <row r="696" spans="1:10" x14ac:dyDescent="0.25">
      <c r="A696" s="6">
        <v>969</v>
      </c>
      <c r="B696" s="6">
        <v>33</v>
      </c>
      <c r="C696" s="5" t="s">
        <v>11</v>
      </c>
      <c r="D696" s="5" t="s">
        <v>16</v>
      </c>
      <c r="E696" s="6">
        <v>2</v>
      </c>
      <c r="F696" s="6">
        <v>6949</v>
      </c>
      <c r="G696" s="6">
        <v>5</v>
      </c>
      <c r="H696" s="6">
        <v>3</v>
      </c>
      <c r="I696" s="6" t="s">
        <v>13</v>
      </c>
      <c r="J696" s="6" t="str">
        <f>IF(Employee[[#This Row],[Attrition]]="Yes","Resigned","Active")</f>
        <v>Active</v>
      </c>
    </row>
    <row r="697" spans="1:10" x14ac:dyDescent="0.25">
      <c r="A697" s="6">
        <v>970</v>
      </c>
      <c r="B697" s="6">
        <v>37</v>
      </c>
      <c r="C697" s="5" t="s">
        <v>8</v>
      </c>
      <c r="D697" s="5" t="s">
        <v>9</v>
      </c>
      <c r="E697" s="6">
        <v>3</v>
      </c>
      <c r="F697" s="6">
        <v>10609</v>
      </c>
      <c r="G697" s="6">
        <v>14</v>
      </c>
      <c r="H697" s="6">
        <v>1</v>
      </c>
      <c r="I697" s="6" t="s">
        <v>10</v>
      </c>
      <c r="J697" s="6" t="str">
        <f>IF(Employee[[#This Row],[Attrition]]="Yes","Resigned","Active")</f>
        <v>Resigned</v>
      </c>
    </row>
    <row r="698" spans="1:10" x14ac:dyDescent="0.25">
      <c r="A698" s="6">
        <v>972</v>
      </c>
      <c r="B698" s="6">
        <v>45</v>
      </c>
      <c r="C698" s="5" t="s">
        <v>11</v>
      </c>
      <c r="D698" s="5" t="s">
        <v>14</v>
      </c>
      <c r="E698" s="6">
        <v>2</v>
      </c>
      <c r="F698" s="6">
        <v>4447</v>
      </c>
      <c r="G698" s="6">
        <v>9</v>
      </c>
      <c r="H698" s="6">
        <v>2</v>
      </c>
      <c r="I698" s="6" t="s">
        <v>13</v>
      </c>
      <c r="J698" s="6" t="str">
        <f>IF(Employee[[#This Row],[Attrition]]="Yes","Resigned","Active")</f>
        <v>Active</v>
      </c>
    </row>
    <row r="699" spans="1:10" x14ac:dyDescent="0.25">
      <c r="A699" s="6">
        <v>974</v>
      </c>
      <c r="B699" s="6">
        <v>29</v>
      </c>
      <c r="C699" s="5" t="s">
        <v>8</v>
      </c>
      <c r="D699" s="5" t="s">
        <v>18</v>
      </c>
      <c r="E699" s="6">
        <v>1</v>
      </c>
      <c r="F699" s="6">
        <v>2157</v>
      </c>
      <c r="G699" s="6">
        <v>3</v>
      </c>
      <c r="H699" s="6">
        <v>3</v>
      </c>
      <c r="I699" s="6" t="s">
        <v>13</v>
      </c>
      <c r="J699" s="6" t="str">
        <f>IF(Employee[[#This Row],[Attrition]]="Yes","Resigned","Active")</f>
        <v>Active</v>
      </c>
    </row>
    <row r="700" spans="1:10" x14ac:dyDescent="0.25">
      <c r="A700" s="6">
        <v>975</v>
      </c>
      <c r="B700" s="6">
        <v>35</v>
      </c>
      <c r="C700" s="5" t="s">
        <v>8</v>
      </c>
      <c r="D700" s="5" t="s">
        <v>9</v>
      </c>
      <c r="E700" s="6">
        <v>2</v>
      </c>
      <c r="F700" s="6">
        <v>4601</v>
      </c>
      <c r="G700" s="6">
        <v>5</v>
      </c>
      <c r="H700" s="6">
        <v>3</v>
      </c>
      <c r="I700" s="6" t="s">
        <v>13</v>
      </c>
      <c r="J700" s="6" t="str">
        <f>IF(Employee[[#This Row],[Attrition]]="Yes","Resigned","Active")</f>
        <v>Active</v>
      </c>
    </row>
    <row r="701" spans="1:10" x14ac:dyDescent="0.25">
      <c r="A701" s="6">
        <v>976</v>
      </c>
      <c r="B701" s="6">
        <v>52</v>
      </c>
      <c r="C701" s="5" t="s">
        <v>11</v>
      </c>
      <c r="D701" s="5" t="s">
        <v>17</v>
      </c>
      <c r="E701" s="6">
        <v>4</v>
      </c>
      <c r="F701" s="6">
        <v>17099</v>
      </c>
      <c r="G701" s="6">
        <v>9</v>
      </c>
      <c r="H701" s="6">
        <v>2</v>
      </c>
      <c r="I701" s="6" t="s">
        <v>13</v>
      </c>
      <c r="J701" s="6" t="str">
        <f>IF(Employee[[#This Row],[Attrition]]="Yes","Resigned","Active")</f>
        <v>Active</v>
      </c>
    </row>
    <row r="702" spans="1:10" x14ac:dyDescent="0.25">
      <c r="A702" s="6">
        <v>977</v>
      </c>
      <c r="B702" s="6">
        <v>58</v>
      </c>
      <c r="C702" s="5" t="s">
        <v>11</v>
      </c>
      <c r="D702" s="5" t="s">
        <v>12</v>
      </c>
      <c r="E702" s="6">
        <v>1</v>
      </c>
      <c r="F702" s="6">
        <v>2479</v>
      </c>
      <c r="G702" s="6">
        <v>1</v>
      </c>
      <c r="H702" s="6">
        <v>3</v>
      </c>
      <c r="I702" s="6" t="s">
        <v>10</v>
      </c>
      <c r="J702" s="6" t="str">
        <f>IF(Employee[[#This Row],[Attrition]]="Yes","Resigned","Active")</f>
        <v>Resigned</v>
      </c>
    </row>
    <row r="703" spans="1:10" x14ac:dyDescent="0.25">
      <c r="A703" s="6">
        <v>981</v>
      </c>
      <c r="B703" s="6">
        <v>53</v>
      </c>
      <c r="C703" s="5" t="s">
        <v>8</v>
      </c>
      <c r="D703" s="5" t="s">
        <v>17</v>
      </c>
      <c r="E703" s="6">
        <v>4</v>
      </c>
      <c r="F703" s="6">
        <v>14852</v>
      </c>
      <c r="G703" s="6">
        <v>17</v>
      </c>
      <c r="H703" s="6">
        <v>4</v>
      </c>
      <c r="I703" s="6" t="s">
        <v>13</v>
      </c>
      <c r="J703" s="6" t="str">
        <f>IF(Employee[[#This Row],[Attrition]]="Yes","Resigned","Active")</f>
        <v>Active</v>
      </c>
    </row>
    <row r="704" spans="1:10" x14ac:dyDescent="0.25">
      <c r="A704" s="6">
        <v>982</v>
      </c>
      <c r="B704" s="6">
        <v>30</v>
      </c>
      <c r="C704" s="5" t="s">
        <v>8</v>
      </c>
      <c r="D704" s="5" t="s">
        <v>9</v>
      </c>
      <c r="E704" s="6">
        <v>3</v>
      </c>
      <c r="F704" s="6">
        <v>7264</v>
      </c>
      <c r="G704" s="6">
        <v>8</v>
      </c>
      <c r="H704" s="6">
        <v>4</v>
      </c>
      <c r="I704" s="6" t="s">
        <v>13</v>
      </c>
      <c r="J704" s="6" t="str">
        <f>IF(Employee[[#This Row],[Attrition]]="Yes","Resigned","Active")</f>
        <v>Active</v>
      </c>
    </row>
    <row r="705" spans="1:10" x14ac:dyDescent="0.25">
      <c r="A705" s="6">
        <v>983</v>
      </c>
      <c r="B705" s="6">
        <v>38</v>
      </c>
      <c r="C705" s="5" t="s">
        <v>8</v>
      </c>
      <c r="D705" s="5" t="s">
        <v>9</v>
      </c>
      <c r="E705" s="6">
        <v>2</v>
      </c>
      <c r="F705" s="6">
        <v>5666</v>
      </c>
      <c r="G705" s="6">
        <v>5</v>
      </c>
      <c r="H705" s="6">
        <v>3</v>
      </c>
      <c r="I705" s="6" t="s">
        <v>13</v>
      </c>
      <c r="J705" s="6" t="str">
        <f>IF(Employee[[#This Row],[Attrition]]="Yes","Resigned","Active")</f>
        <v>Active</v>
      </c>
    </row>
    <row r="706" spans="1:10" x14ac:dyDescent="0.25">
      <c r="A706" s="6">
        <v>984</v>
      </c>
      <c r="B706" s="6">
        <v>35</v>
      </c>
      <c r="C706" s="5" t="s">
        <v>8</v>
      </c>
      <c r="D706" s="5" t="s">
        <v>9</v>
      </c>
      <c r="E706" s="6">
        <v>3</v>
      </c>
      <c r="F706" s="6">
        <v>7823</v>
      </c>
      <c r="G706" s="6">
        <v>10</v>
      </c>
      <c r="H706" s="6">
        <v>3</v>
      </c>
      <c r="I706" s="6" t="s">
        <v>13</v>
      </c>
      <c r="J706" s="6" t="str">
        <f>IF(Employee[[#This Row],[Attrition]]="Yes","Resigned","Active")</f>
        <v>Active</v>
      </c>
    </row>
    <row r="707" spans="1:10" x14ac:dyDescent="0.25">
      <c r="A707" s="6">
        <v>985</v>
      </c>
      <c r="B707" s="6">
        <v>39</v>
      </c>
      <c r="C707" s="5" t="s">
        <v>8</v>
      </c>
      <c r="D707" s="5" t="s">
        <v>9</v>
      </c>
      <c r="E707" s="6">
        <v>3</v>
      </c>
      <c r="F707" s="6">
        <v>7880</v>
      </c>
      <c r="G707" s="6">
        <v>8</v>
      </c>
      <c r="H707" s="6">
        <v>3</v>
      </c>
      <c r="I707" s="6" t="s">
        <v>13</v>
      </c>
      <c r="J707" s="6" t="str">
        <f>IF(Employee[[#This Row],[Attrition]]="Yes","Resigned","Active")</f>
        <v>Active</v>
      </c>
    </row>
    <row r="708" spans="1:10" x14ac:dyDescent="0.25">
      <c r="A708" s="6">
        <v>986</v>
      </c>
      <c r="B708" s="6">
        <v>40</v>
      </c>
      <c r="C708" s="5" t="s">
        <v>8</v>
      </c>
      <c r="D708" s="5" t="s">
        <v>9</v>
      </c>
      <c r="E708" s="6">
        <v>4</v>
      </c>
      <c r="F708" s="6">
        <v>13194</v>
      </c>
      <c r="G708" s="6">
        <v>1</v>
      </c>
      <c r="H708" s="6">
        <v>2</v>
      </c>
      <c r="I708" s="6" t="s">
        <v>10</v>
      </c>
      <c r="J708" s="6" t="str">
        <f>IF(Employee[[#This Row],[Attrition]]="Yes","Resigned","Active")</f>
        <v>Resigned</v>
      </c>
    </row>
    <row r="709" spans="1:10" x14ac:dyDescent="0.25">
      <c r="A709" s="6">
        <v>987</v>
      </c>
      <c r="B709" s="6">
        <v>47</v>
      </c>
      <c r="C709" s="5" t="s">
        <v>11</v>
      </c>
      <c r="D709" s="5" t="s">
        <v>15</v>
      </c>
      <c r="E709" s="6">
        <v>2</v>
      </c>
      <c r="F709" s="6">
        <v>5067</v>
      </c>
      <c r="G709" s="6">
        <v>19</v>
      </c>
      <c r="H709" s="6">
        <v>4</v>
      </c>
      <c r="I709" s="6" t="s">
        <v>13</v>
      </c>
      <c r="J709" s="6" t="str">
        <f>IF(Employee[[#This Row],[Attrition]]="Yes","Resigned","Active")</f>
        <v>Active</v>
      </c>
    </row>
    <row r="710" spans="1:10" x14ac:dyDescent="0.25">
      <c r="A710" s="6">
        <v>990</v>
      </c>
      <c r="B710" s="6">
        <v>36</v>
      </c>
      <c r="C710" s="5" t="s">
        <v>8</v>
      </c>
      <c r="D710" s="5" t="s">
        <v>9</v>
      </c>
      <c r="E710" s="6">
        <v>2</v>
      </c>
      <c r="F710" s="6">
        <v>5079</v>
      </c>
      <c r="G710" s="6">
        <v>7</v>
      </c>
      <c r="H710" s="6">
        <v>3</v>
      </c>
      <c r="I710" s="6" t="s">
        <v>13</v>
      </c>
      <c r="J710" s="6" t="str">
        <f>IF(Employee[[#This Row],[Attrition]]="Yes","Resigned","Active")</f>
        <v>Active</v>
      </c>
    </row>
    <row r="711" spans="1:10" x14ac:dyDescent="0.25">
      <c r="A711" s="6">
        <v>991</v>
      </c>
      <c r="B711" s="6">
        <v>31</v>
      </c>
      <c r="C711" s="5" t="s">
        <v>11</v>
      </c>
      <c r="D711" s="5" t="s">
        <v>12</v>
      </c>
      <c r="E711" s="6">
        <v>1</v>
      </c>
      <c r="F711" s="6">
        <v>2321</v>
      </c>
      <c r="G711" s="6">
        <v>3</v>
      </c>
      <c r="H711" s="6">
        <v>3</v>
      </c>
      <c r="I711" s="6" t="s">
        <v>10</v>
      </c>
      <c r="J711" s="6" t="str">
        <f>IF(Employee[[#This Row],[Attrition]]="Yes","Resigned","Active")</f>
        <v>Resigned</v>
      </c>
    </row>
    <row r="712" spans="1:10" x14ac:dyDescent="0.25">
      <c r="A712" s="6">
        <v>992</v>
      </c>
      <c r="B712" s="6">
        <v>33</v>
      </c>
      <c r="C712" s="5" t="s">
        <v>8</v>
      </c>
      <c r="D712" s="5" t="s">
        <v>17</v>
      </c>
      <c r="E712" s="6">
        <v>4</v>
      </c>
      <c r="F712" s="6">
        <v>17444</v>
      </c>
      <c r="G712" s="6">
        <v>10</v>
      </c>
      <c r="H712" s="6">
        <v>3</v>
      </c>
      <c r="I712" s="6" t="s">
        <v>13</v>
      </c>
      <c r="J712" s="6" t="str">
        <f>IF(Employee[[#This Row],[Attrition]]="Yes","Resigned","Active")</f>
        <v>Active</v>
      </c>
    </row>
    <row r="713" spans="1:10" x14ac:dyDescent="0.25">
      <c r="A713" s="6">
        <v>994</v>
      </c>
      <c r="B713" s="6">
        <v>29</v>
      </c>
      <c r="C713" s="5" t="s">
        <v>11</v>
      </c>
      <c r="D713" s="5" t="s">
        <v>12</v>
      </c>
      <c r="E713" s="6">
        <v>1</v>
      </c>
      <c r="F713" s="6">
        <v>2404</v>
      </c>
      <c r="G713" s="6">
        <v>0</v>
      </c>
      <c r="H713" s="6">
        <v>3</v>
      </c>
      <c r="I713" s="6" t="s">
        <v>10</v>
      </c>
      <c r="J713" s="6" t="str">
        <f>IF(Employee[[#This Row],[Attrition]]="Yes","Resigned","Active")</f>
        <v>Resigned</v>
      </c>
    </row>
    <row r="714" spans="1:10" x14ac:dyDescent="0.25">
      <c r="A714" s="6">
        <v>995</v>
      </c>
      <c r="B714" s="6">
        <v>33</v>
      </c>
      <c r="C714" s="5" t="s">
        <v>11</v>
      </c>
      <c r="D714" s="5" t="s">
        <v>12</v>
      </c>
      <c r="E714" s="6">
        <v>1</v>
      </c>
      <c r="F714" s="6">
        <v>3452</v>
      </c>
      <c r="G714" s="6">
        <v>3</v>
      </c>
      <c r="H714" s="6">
        <v>3</v>
      </c>
      <c r="I714" s="6" t="s">
        <v>13</v>
      </c>
      <c r="J714" s="6" t="str">
        <f>IF(Employee[[#This Row],[Attrition]]="Yes","Resigned","Active")</f>
        <v>Active</v>
      </c>
    </row>
    <row r="715" spans="1:10" x14ac:dyDescent="0.25">
      <c r="A715" s="6">
        <v>996</v>
      </c>
      <c r="B715" s="6">
        <v>45</v>
      </c>
      <c r="C715" s="5" t="s">
        <v>11</v>
      </c>
      <c r="D715" s="5" t="s">
        <v>14</v>
      </c>
      <c r="E715" s="6">
        <v>1</v>
      </c>
      <c r="F715" s="6">
        <v>2270</v>
      </c>
      <c r="G715" s="6">
        <v>5</v>
      </c>
      <c r="H715" s="6">
        <v>3</v>
      </c>
      <c r="I715" s="6" t="s">
        <v>13</v>
      </c>
      <c r="J715" s="6" t="str">
        <f>IF(Employee[[#This Row],[Attrition]]="Yes","Resigned","Active")</f>
        <v>Active</v>
      </c>
    </row>
    <row r="716" spans="1:10" x14ac:dyDescent="0.25">
      <c r="A716" s="6">
        <v>997</v>
      </c>
      <c r="B716" s="6">
        <v>50</v>
      </c>
      <c r="C716" s="5" t="s">
        <v>11</v>
      </c>
      <c r="D716" s="5" t="s">
        <v>19</v>
      </c>
      <c r="E716" s="6">
        <v>4</v>
      </c>
      <c r="F716" s="6">
        <v>17399</v>
      </c>
      <c r="G716" s="6">
        <v>5</v>
      </c>
      <c r="H716" s="6">
        <v>2</v>
      </c>
      <c r="I716" s="6" t="s">
        <v>13</v>
      </c>
      <c r="J716" s="6" t="str">
        <f>IF(Employee[[#This Row],[Attrition]]="Yes","Resigned","Active")</f>
        <v>Active</v>
      </c>
    </row>
    <row r="717" spans="1:10" x14ac:dyDescent="0.25">
      <c r="A717" s="6">
        <v>998</v>
      </c>
      <c r="B717" s="6">
        <v>33</v>
      </c>
      <c r="C717" s="5" t="s">
        <v>11</v>
      </c>
      <c r="D717" s="5" t="s">
        <v>16</v>
      </c>
      <c r="E717" s="6">
        <v>2</v>
      </c>
      <c r="F717" s="6">
        <v>5488</v>
      </c>
      <c r="G717" s="6">
        <v>6</v>
      </c>
      <c r="H717" s="6">
        <v>3</v>
      </c>
      <c r="I717" s="6" t="s">
        <v>13</v>
      </c>
      <c r="J717" s="6" t="str">
        <f>IF(Employee[[#This Row],[Attrition]]="Yes","Resigned","Active")</f>
        <v>Active</v>
      </c>
    </row>
    <row r="718" spans="1:10" x14ac:dyDescent="0.25">
      <c r="A718" s="6">
        <v>999</v>
      </c>
      <c r="B718" s="6">
        <v>41</v>
      </c>
      <c r="C718" s="5" t="s">
        <v>11</v>
      </c>
      <c r="D718" s="5" t="s">
        <v>19</v>
      </c>
      <c r="E718" s="6">
        <v>5</v>
      </c>
      <c r="F718" s="6">
        <v>19419</v>
      </c>
      <c r="G718" s="6">
        <v>18</v>
      </c>
      <c r="H718" s="6">
        <v>4</v>
      </c>
      <c r="I718" s="6" t="s">
        <v>13</v>
      </c>
      <c r="J718" s="6" t="str">
        <f>IF(Employee[[#This Row],[Attrition]]="Yes","Resigned","Active")</f>
        <v>Active</v>
      </c>
    </row>
    <row r="719" spans="1:10" x14ac:dyDescent="0.25">
      <c r="A719" s="6">
        <v>1001</v>
      </c>
      <c r="B719" s="6">
        <v>27</v>
      </c>
      <c r="C719" s="5" t="s">
        <v>11</v>
      </c>
      <c r="D719" s="5" t="s">
        <v>14</v>
      </c>
      <c r="E719" s="6">
        <v>1</v>
      </c>
      <c r="F719" s="6">
        <v>2811</v>
      </c>
      <c r="G719" s="6">
        <v>2</v>
      </c>
      <c r="H719" s="6">
        <v>3</v>
      </c>
      <c r="I719" s="6" t="s">
        <v>13</v>
      </c>
      <c r="J719" s="6" t="str">
        <f>IF(Employee[[#This Row],[Attrition]]="Yes","Resigned","Active")</f>
        <v>Active</v>
      </c>
    </row>
    <row r="720" spans="1:10" x14ac:dyDescent="0.25">
      <c r="A720" s="6">
        <v>1002</v>
      </c>
      <c r="B720" s="6">
        <v>45</v>
      </c>
      <c r="C720" s="5" t="s">
        <v>11</v>
      </c>
      <c r="D720" s="5" t="s">
        <v>14</v>
      </c>
      <c r="E720" s="6">
        <v>2</v>
      </c>
      <c r="F720" s="6">
        <v>3633</v>
      </c>
      <c r="G720" s="6">
        <v>9</v>
      </c>
      <c r="H720" s="6">
        <v>3</v>
      </c>
      <c r="I720" s="6" t="s">
        <v>13</v>
      </c>
      <c r="J720" s="6" t="str">
        <f>IF(Employee[[#This Row],[Attrition]]="Yes","Resigned","Active")</f>
        <v>Active</v>
      </c>
    </row>
    <row r="721" spans="1:10" x14ac:dyDescent="0.25">
      <c r="A721" s="6">
        <v>1003</v>
      </c>
      <c r="B721" s="6">
        <v>47</v>
      </c>
      <c r="C721" s="5" t="s">
        <v>8</v>
      </c>
      <c r="D721" s="5" t="s">
        <v>9</v>
      </c>
      <c r="E721" s="6">
        <v>2</v>
      </c>
      <c r="F721" s="6">
        <v>4163</v>
      </c>
      <c r="G721" s="6">
        <v>9</v>
      </c>
      <c r="H721" s="6">
        <v>3</v>
      </c>
      <c r="I721" s="6" t="s">
        <v>13</v>
      </c>
      <c r="J721" s="6" t="str">
        <f>IF(Employee[[#This Row],[Attrition]]="Yes","Resigned","Active")</f>
        <v>Active</v>
      </c>
    </row>
    <row r="722" spans="1:10" x14ac:dyDescent="0.25">
      <c r="A722" s="6">
        <v>1004</v>
      </c>
      <c r="B722" s="6">
        <v>30</v>
      </c>
      <c r="C722" s="5" t="s">
        <v>11</v>
      </c>
      <c r="D722" s="5" t="s">
        <v>12</v>
      </c>
      <c r="E722" s="6">
        <v>1</v>
      </c>
      <c r="F722" s="6">
        <v>2132</v>
      </c>
      <c r="G722" s="6">
        <v>5</v>
      </c>
      <c r="H722" s="6">
        <v>3</v>
      </c>
      <c r="I722" s="6" t="s">
        <v>10</v>
      </c>
      <c r="J722" s="6" t="str">
        <f>IF(Employee[[#This Row],[Attrition]]="Yes","Resigned","Active")</f>
        <v>Resigned</v>
      </c>
    </row>
    <row r="723" spans="1:10" x14ac:dyDescent="0.25">
      <c r="A723" s="6">
        <v>1005</v>
      </c>
      <c r="B723" s="6">
        <v>50</v>
      </c>
      <c r="C723" s="5" t="s">
        <v>11</v>
      </c>
      <c r="D723" s="5" t="s">
        <v>15</v>
      </c>
      <c r="E723" s="6">
        <v>4</v>
      </c>
      <c r="F723" s="6">
        <v>13973</v>
      </c>
      <c r="G723" s="6">
        <v>12</v>
      </c>
      <c r="H723" s="6">
        <v>3</v>
      </c>
      <c r="I723" s="6" t="s">
        <v>13</v>
      </c>
      <c r="J723" s="6" t="str">
        <f>IF(Employee[[#This Row],[Attrition]]="Yes","Resigned","Active")</f>
        <v>Active</v>
      </c>
    </row>
    <row r="724" spans="1:10" x14ac:dyDescent="0.25">
      <c r="A724" s="6">
        <v>1006</v>
      </c>
      <c r="B724" s="6">
        <v>38</v>
      </c>
      <c r="C724" s="5" t="s">
        <v>11</v>
      </c>
      <c r="D724" s="5" t="s">
        <v>12</v>
      </c>
      <c r="E724" s="6">
        <v>1</v>
      </c>
      <c r="F724" s="6">
        <v>2684</v>
      </c>
      <c r="G724" s="6">
        <v>2</v>
      </c>
      <c r="H724" s="6">
        <v>2</v>
      </c>
      <c r="I724" s="6" t="s">
        <v>13</v>
      </c>
      <c r="J724" s="6" t="str">
        <f>IF(Employee[[#This Row],[Attrition]]="Yes","Resigned","Active")</f>
        <v>Active</v>
      </c>
    </row>
    <row r="725" spans="1:10" x14ac:dyDescent="0.25">
      <c r="A725" s="6">
        <v>1007</v>
      </c>
      <c r="B725" s="6">
        <v>46</v>
      </c>
      <c r="C725" s="5" t="s">
        <v>11</v>
      </c>
      <c r="D725" s="5" t="s">
        <v>15</v>
      </c>
      <c r="E725" s="6">
        <v>3</v>
      </c>
      <c r="F725" s="6">
        <v>10845</v>
      </c>
      <c r="G725" s="6">
        <v>8</v>
      </c>
      <c r="H725" s="6">
        <v>3</v>
      </c>
      <c r="I725" s="6" t="s">
        <v>13</v>
      </c>
      <c r="J725" s="6" t="str">
        <f>IF(Employee[[#This Row],[Attrition]]="Yes","Resigned","Active")</f>
        <v>Active</v>
      </c>
    </row>
    <row r="726" spans="1:10" x14ac:dyDescent="0.25">
      <c r="A726" s="6">
        <v>1009</v>
      </c>
      <c r="B726" s="6">
        <v>24</v>
      </c>
      <c r="C726" s="5" t="s">
        <v>11</v>
      </c>
      <c r="D726" s="5" t="s">
        <v>15</v>
      </c>
      <c r="E726" s="6">
        <v>2</v>
      </c>
      <c r="F726" s="6">
        <v>4377</v>
      </c>
      <c r="G726" s="6">
        <v>4</v>
      </c>
      <c r="H726" s="6">
        <v>3</v>
      </c>
      <c r="I726" s="6" t="s">
        <v>13</v>
      </c>
      <c r="J726" s="6" t="str">
        <f>IF(Employee[[#This Row],[Attrition]]="Yes","Resigned","Active")</f>
        <v>Active</v>
      </c>
    </row>
    <row r="727" spans="1:10" x14ac:dyDescent="0.25">
      <c r="A727" s="6">
        <v>1010</v>
      </c>
      <c r="B727" s="6">
        <v>35</v>
      </c>
      <c r="C727" s="5" t="s">
        <v>11</v>
      </c>
      <c r="D727" s="5" t="s">
        <v>14</v>
      </c>
      <c r="E727" s="6">
        <v>1</v>
      </c>
      <c r="F727" s="6">
        <v>3743</v>
      </c>
      <c r="G727" s="6">
        <v>4</v>
      </c>
      <c r="H727" s="6">
        <v>1</v>
      </c>
      <c r="I727" s="6" t="s">
        <v>10</v>
      </c>
      <c r="J727" s="6" t="str">
        <f>IF(Employee[[#This Row],[Attrition]]="Yes","Resigned","Active")</f>
        <v>Resigned</v>
      </c>
    </row>
    <row r="728" spans="1:10" x14ac:dyDescent="0.25">
      <c r="A728" s="6">
        <v>1011</v>
      </c>
      <c r="B728" s="6">
        <v>31</v>
      </c>
      <c r="C728" s="5" t="s">
        <v>11</v>
      </c>
      <c r="D728" s="5" t="s">
        <v>15</v>
      </c>
      <c r="E728" s="6">
        <v>2</v>
      </c>
      <c r="F728" s="6">
        <v>4148</v>
      </c>
      <c r="G728" s="6">
        <v>4</v>
      </c>
      <c r="H728" s="6">
        <v>3</v>
      </c>
      <c r="I728" s="6" t="s">
        <v>13</v>
      </c>
      <c r="J728" s="6" t="str">
        <f>IF(Employee[[#This Row],[Attrition]]="Yes","Resigned","Active")</f>
        <v>Active</v>
      </c>
    </row>
    <row r="729" spans="1:10" x14ac:dyDescent="0.25">
      <c r="A729" s="6">
        <v>1012</v>
      </c>
      <c r="B729" s="6">
        <v>18</v>
      </c>
      <c r="C729" s="5" t="s">
        <v>11</v>
      </c>
      <c r="D729" s="5" t="s">
        <v>12</v>
      </c>
      <c r="E729" s="6">
        <v>1</v>
      </c>
      <c r="F729" s="6">
        <v>1051</v>
      </c>
      <c r="G729" s="6">
        <v>0</v>
      </c>
      <c r="H729" s="6">
        <v>3</v>
      </c>
      <c r="I729" s="6" t="s">
        <v>13</v>
      </c>
      <c r="J729" s="6" t="str">
        <f>IF(Employee[[#This Row],[Attrition]]="Yes","Resigned","Active")</f>
        <v>Active</v>
      </c>
    </row>
    <row r="730" spans="1:10" x14ac:dyDescent="0.25">
      <c r="A730" s="6">
        <v>1013</v>
      </c>
      <c r="B730" s="6">
        <v>54</v>
      </c>
      <c r="C730" s="5" t="s">
        <v>11</v>
      </c>
      <c r="D730" s="5" t="s">
        <v>15</v>
      </c>
      <c r="E730" s="6">
        <v>3</v>
      </c>
      <c r="F730" s="6">
        <v>10739</v>
      </c>
      <c r="G730" s="6">
        <v>10</v>
      </c>
      <c r="H730" s="6">
        <v>3</v>
      </c>
      <c r="I730" s="6" t="s">
        <v>13</v>
      </c>
      <c r="J730" s="6" t="str">
        <f>IF(Employee[[#This Row],[Attrition]]="Yes","Resigned","Active")</f>
        <v>Active</v>
      </c>
    </row>
    <row r="731" spans="1:10" x14ac:dyDescent="0.25">
      <c r="A731" s="6">
        <v>1014</v>
      </c>
      <c r="B731" s="6">
        <v>35</v>
      </c>
      <c r="C731" s="5" t="s">
        <v>11</v>
      </c>
      <c r="D731" s="5" t="s">
        <v>16</v>
      </c>
      <c r="E731" s="6">
        <v>3</v>
      </c>
      <c r="F731" s="6">
        <v>10388</v>
      </c>
      <c r="G731" s="6">
        <v>16</v>
      </c>
      <c r="H731" s="6">
        <v>2</v>
      </c>
      <c r="I731" s="6" t="s">
        <v>13</v>
      </c>
      <c r="J731" s="6" t="str">
        <f>IF(Employee[[#This Row],[Attrition]]="Yes","Resigned","Active")</f>
        <v>Active</v>
      </c>
    </row>
    <row r="732" spans="1:10" x14ac:dyDescent="0.25">
      <c r="A732" s="6">
        <v>1015</v>
      </c>
      <c r="B732" s="6">
        <v>30</v>
      </c>
      <c r="C732" s="5" t="s">
        <v>11</v>
      </c>
      <c r="D732" s="5" t="s">
        <v>19</v>
      </c>
      <c r="E732" s="6">
        <v>3</v>
      </c>
      <c r="F732" s="6">
        <v>11416</v>
      </c>
      <c r="G732" s="6">
        <v>8</v>
      </c>
      <c r="H732" s="6">
        <v>2</v>
      </c>
      <c r="I732" s="6" t="s">
        <v>13</v>
      </c>
      <c r="J732" s="6" t="str">
        <f>IF(Employee[[#This Row],[Attrition]]="Yes","Resigned","Active")</f>
        <v>Active</v>
      </c>
    </row>
    <row r="733" spans="1:10" x14ac:dyDescent="0.25">
      <c r="A733" s="6">
        <v>1016</v>
      </c>
      <c r="B733" s="6">
        <v>20</v>
      </c>
      <c r="C733" s="5" t="s">
        <v>11</v>
      </c>
      <c r="D733" s="5" t="s">
        <v>12</v>
      </c>
      <c r="E733" s="6">
        <v>1</v>
      </c>
      <c r="F733" s="6">
        <v>2600</v>
      </c>
      <c r="G733" s="6">
        <v>1</v>
      </c>
      <c r="H733" s="6">
        <v>3</v>
      </c>
      <c r="I733" s="6" t="s">
        <v>10</v>
      </c>
      <c r="J733" s="6" t="str">
        <f>IF(Employee[[#This Row],[Attrition]]="Yes","Resigned","Active")</f>
        <v>Resigned</v>
      </c>
    </row>
    <row r="734" spans="1:10" x14ac:dyDescent="0.25">
      <c r="A734" s="6">
        <v>1017</v>
      </c>
      <c r="B734" s="6">
        <v>30</v>
      </c>
      <c r="C734" s="5" t="s">
        <v>11</v>
      </c>
      <c r="D734" s="5" t="s">
        <v>14</v>
      </c>
      <c r="E734" s="6">
        <v>1</v>
      </c>
      <c r="F734" s="6">
        <v>2422</v>
      </c>
      <c r="G734" s="6">
        <v>3</v>
      </c>
      <c r="H734" s="6">
        <v>3</v>
      </c>
      <c r="I734" s="6" t="s">
        <v>10</v>
      </c>
      <c r="J734" s="6" t="str">
        <f>IF(Employee[[#This Row],[Attrition]]="Yes","Resigned","Active")</f>
        <v>Resigned</v>
      </c>
    </row>
    <row r="735" spans="1:10" x14ac:dyDescent="0.25">
      <c r="A735" s="6">
        <v>1018</v>
      </c>
      <c r="B735" s="6">
        <v>26</v>
      </c>
      <c r="C735" s="5" t="s">
        <v>11</v>
      </c>
      <c r="D735" s="5" t="s">
        <v>15</v>
      </c>
      <c r="E735" s="6">
        <v>2</v>
      </c>
      <c r="F735" s="6">
        <v>5472</v>
      </c>
      <c r="G735" s="6">
        <v>8</v>
      </c>
      <c r="H735" s="6">
        <v>3</v>
      </c>
      <c r="I735" s="6" t="s">
        <v>13</v>
      </c>
      <c r="J735" s="6" t="str">
        <f>IF(Employee[[#This Row],[Attrition]]="Yes","Resigned","Active")</f>
        <v>Active</v>
      </c>
    </row>
    <row r="736" spans="1:10" x14ac:dyDescent="0.25">
      <c r="A736" s="6">
        <v>1019</v>
      </c>
      <c r="B736" s="6">
        <v>22</v>
      </c>
      <c r="C736" s="5" t="s">
        <v>11</v>
      </c>
      <c r="D736" s="5" t="s">
        <v>14</v>
      </c>
      <c r="E736" s="6">
        <v>1</v>
      </c>
      <c r="F736" s="6">
        <v>2451</v>
      </c>
      <c r="G736" s="6">
        <v>4</v>
      </c>
      <c r="H736" s="6">
        <v>2</v>
      </c>
      <c r="I736" s="6" t="s">
        <v>13</v>
      </c>
      <c r="J736" s="6" t="str">
        <f>IF(Employee[[#This Row],[Attrition]]="Yes","Resigned","Active")</f>
        <v>Active</v>
      </c>
    </row>
    <row r="737" spans="1:10" x14ac:dyDescent="0.25">
      <c r="A737" s="6">
        <v>1022</v>
      </c>
      <c r="B737" s="6">
        <v>48</v>
      </c>
      <c r="C737" s="5" t="s">
        <v>11</v>
      </c>
      <c r="D737" s="5" t="s">
        <v>16</v>
      </c>
      <c r="E737" s="6">
        <v>2</v>
      </c>
      <c r="F737" s="6">
        <v>4240</v>
      </c>
      <c r="G737" s="6">
        <v>2</v>
      </c>
      <c r="H737" s="6">
        <v>3</v>
      </c>
      <c r="I737" s="6" t="s">
        <v>13</v>
      </c>
      <c r="J737" s="6" t="str">
        <f>IF(Employee[[#This Row],[Attrition]]="Yes","Resigned","Active")</f>
        <v>Active</v>
      </c>
    </row>
    <row r="738" spans="1:10" x14ac:dyDescent="0.25">
      <c r="A738" s="6">
        <v>1024</v>
      </c>
      <c r="B738" s="6">
        <v>48</v>
      </c>
      <c r="C738" s="5" t="s">
        <v>11</v>
      </c>
      <c r="D738" s="5" t="s">
        <v>16</v>
      </c>
      <c r="E738" s="6">
        <v>3</v>
      </c>
      <c r="F738" s="6">
        <v>10999</v>
      </c>
      <c r="G738" s="6">
        <v>15</v>
      </c>
      <c r="H738" s="6">
        <v>3</v>
      </c>
      <c r="I738" s="6" t="s">
        <v>13</v>
      </c>
      <c r="J738" s="6" t="str">
        <f>IF(Employee[[#This Row],[Attrition]]="Yes","Resigned","Active")</f>
        <v>Active</v>
      </c>
    </row>
    <row r="739" spans="1:10" x14ac:dyDescent="0.25">
      <c r="A739" s="6">
        <v>1025</v>
      </c>
      <c r="B739" s="6">
        <v>41</v>
      </c>
      <c r="C739" s="5" t="s">
        <v>11</v>
      </c>
      <c r="D739" s="5" t="s">
        <v>15</v>
      </c>
      <c r="E739" s="6">
        <v>2</v>
      </c>
      <c r="F739" s="6">
        <v>5003</v>
      </c>
      <c r="G739" s="6">
        <v>2</v>
      </c>
      <c r="H739" s="6">
        <v>3</v>
      </c>
      <c r="I739" s="6" t="s">
        <v>13</v>
      </c>
      <c r="J739" s="6" t="str">
        <f>IF(Employee[[#This Row],[Attrition]]="Yes","Resigned","Active")</f>
        <v>Active</v>
      </c>
    </row>
    <row r="740" spans="1:10" x14ac:dyDescent="0.25">
      <c r="A740" s="6">
        <v>1026</v>
      </c>
      <c r="B740" s="6">
        <v>39</v>
      </c>
      <c r="C740" s="5" t="s">
        <v>11</v>
      </c>
      <c r="D740" s="5" t="s">
        <v>15</v>
      </c>
      <c r="E740" s="6">
        <v>4</v>
      </c>
      <c r="F740" s="6">
        <v>12742</v>
      </c>
      <c r="G740" s="6">
        <v>21</v>
      </c>
      <c r="H740" s="6">
        <v>3</v>
      </c>
      <c r="I740" s="6" t="s">
        <v>13</v>
      </c>
      <c r="J740" s="6" t="str">
        <f>IF(Employee[[#This Row],[Attrition]]="Yes","Resigned","Active")</f>
        <v>Active</v>
      </c>
    </row>
    <row r="741" spans="1:10" x14ac:dyDescent="0.25">
      <c r="A741" s="6">
        <v>1027</v>
      </c>
      <c r="B741" s="6">
        <v>27</v>
      </c>
      <c r="C741" s="5" t="s">
        <v>11</v>
      </c>
      <c r="D741" s="5" t="s">
        <v>15</v>
      </c>
      <c r="E741" s="6">
        <v>2</v>
      </c>
      <c r="F741" s="6">
        <v>4227</v>
      </c>
      <c r="G741" s="6">
        <v>3</v>
      </c>
      <c r="H741" s="6">
        <v>3</v>
      </c>
      <c r="I741" s="6" t="s">
        <v>13</v>
      </c>
      <c r="J741" s="6" t="str">
        <f>IF(Employee[[#This Row],[Attrition]]="Yes","Resigned","Active")</f>
        <v>Active</v>
      </c>
    </row>
    <row r="742" spans="1:10" x14ac:dyDescent="0.25">
      <c r="A742" s="6">
        <v>1028</v>
      </c>
      <c r="B742" s="6">
        <v>35</v>
      </c>
      <c r="C742" s="5" t="s">
        <v>11</v>
      </c>
      <c r="D742" s="5" t="s">
        <v>14</v>
      </c>
      <c r="E742" s="6">
        <v>1</v>
      </c>
      <c r="F742" s="6">
        <v>3917</v>
      </c>
      <c r="G742" s="6">
        <v>3</v>
      </c>
      <c r="H742" s="6">
        <v>2</v>
      </c>
      <c r="I742" s="6" t="s">
        <v>13</v>
      </c>
      <c r="J742" s="6" t="str">
        <f>IF(Employee[[#This Row],[Attrition]]="Yes","Resigned","Active")</f>
        <v>Active</v>
      </c>
    </row>
    <row r="743" spans="1:10" x14ac:dyDescent="0.25">
      <c r="A743" s="6">
        <v>1029</v>
      </c>
      <c r="B743" s="6">
        <v>42</v>
      </c>
      <c r="C743" s="5" t="s">
        <v>8</v>
      </c>
      <c r="D743" s="5" t="s">
        <v>17</v>
      </c>
      <c r="E743" s="6">
        <v>5</v>
      </c>
      <c r="F743" s="6">
        <v>18303</v>
      </c>
      <c r="G743" s="6">
        <v>1</v>
      </c>
      <c r="H743" s="6">
        <v>4</v>
      </c>
      <c r="I743" s="6" t="s">
        <v>13</v>
      </c>
      <c r="J743" s="6" t="str">
        <f>IF(Employee[[#This Row],[Attrition]]="Yes","Resigned","Active")</f>
        <v>Active</v>
      </c>
    </row>
    <row r="744" spans="1:10" x14ac:dyDescent="0.25">
      <c r="A744" s="6">
        <v>1030</v>
      </c>
      <c r="B744" s="6">
        <v>50</v>
      </c>
      <c r="C744" s="5" t="s">
        <v>11</v>
      </c>
      <c r="D744" s="5" t="s">
        <v>14</v>
      </c>
      <c r="E744" s="6">
        <v>1</v>
      </c>
      <c r="F744" s="6">
        <v>2380</v>
      </c>
      <c r="G744" s="6">
        <v>1</v>
      </c>
      <c r="H744" s="6">
        <v>3</v>
      </c>
      <c r="I744" s="6" t="s">
        <v>13</v>
      </c>
      <c r="J744" s="6" t="str">
        <f>IF(Employee[[#This Row],[Attrition]]="Yes","Resigned","Active")</f>
        <v>Active</v>
      </c>
    </row>
    <row r="745" spans="1:10" x14ac:dyDescent="0.25">
      <c r="A745" s="6">
        <v>1032</v>
      </c>
      <c r="B745" s="6">
        <v>59</v>
      </c>
      <c r="C745" s="5" t="s">
        <v>11</v>
      </c>
      <c r="D745" s="5" t="s">
        <v>15</v>
      </c>
      <c r="E745" s="6">
        <v>4</v>
      </c>
      <c r="F745" s="6">
        <v>13726</v>
      </c>
      <c r="G745" s="6">
        <v>5</v>
      </c>
      <c r="H745" s="6">
        <v>3</v>
      </c>
      <c r="I745" s="6" t="s">
        <v>13</v>
      </c>
      <c r="J745" s="6" t="str">
        <f>IF(Employee[[#This Row],[Attrition]]="Yes","Resigned","Active")</f>
        <v>Active</v>
      </c>
    </row>
    <row r="746" spans="1:10" x14ac:dyDescent="0.25">
      <c r="A746" s="6">
        <v>1033</v>
      </c>
      <c r="B746" s="6">
        <v>37</v>
      </c>
      <c r="C746" s="5" t="s">
        <v>11</v>
      </c>
      <c r="D746" s="5" t="s">
        <v>16</v>
      </c>
      <c r="E746" s="6">
        <v>2</v>
      </c>
      <c r="F746" s="6">
        <v>4777</v>
      </c>
      <c r="G746" s="6">
        <v>1</v>
      </c>
      <c r="H746" s="6">
        <v>1</v>
      </c>
      <c r="I746" s="6" t="s">
        <v>10</v>
      </c>
      <c r="J746" s="6" t="str">
        <f>IF(Employee[[#This Row],[Attrition]]="Yes","Resigned","Active")</f>
        <v>Resigned</v>
      </c>
    </row>
    <row r="747" spans="1:10" x14ac:dyDescent="0.25">
      <c r="A747" s="6">
        <v>1034</v>
      </c>
      <c r="B747" s="6">
        <v>55</v>
      </c>
      <c r="C747" s="5" t="s">
        <v>11</v>
      </c>
      <c r="D747" s="5" t="s">
        <v>16</v>
      </c>
      <c r="E747" s="6">
        <v>2</v>
      </c>
      <c r="F747" s="6">
        <v>6385</v>
      </c>
      <c r="G747" s="6">
        <v>8</v>
      </c>
      <c r="H747" s="6">
        <v>3</v>
      </c>
      <c r="I747" s="6" t="s">
        <v>13</v>
      </c>
      <c r="J747" s="6" t="str">
        <f>IF(Employee[[#This Row],[Attrition]]="Yes","Resigned","Active")</f>
        <v>Active</v>
      </c>
    </row>
    <row r="748" spans="1:10" x14ac:dyDescent="0.25">
      <c r="A748" s="6">
        <v>1035</v>
      </c>
      <c r="B748" s="6">
        <v>41</v>
      </c>
      <c r="C748" s="5" t="s">
        <v>11</v>
      </c>
      <c r="D748" s="5" t="s">
        <v>19</v>
      </c>
      <c r="E748" s="6">
        <v>5</v>
      </c>
      <c r="F748" s="6">
        <v>19973</v>
      </c>
      <c r="G748" s="6">
        <v>21</v>
      </c>
      <c r="H748" s="6">
        <v>3</v>
      </c>
      <c r="I748" s="6" t="s">
        <v>13</v>
      </c>
      <c r="J748" s="6" t="str">
        <f>IF(Employee[[#This Row],[Attrition]]="Yes","Resigned","Active")</f>
        <v>Active</v>
      </c>
    </row>
    <row r="749" spans="1:10" x14ac:dyDescent="0.25">
      <c r="A749" s="6">
        <v>1036</v>
      </c>
      <c r="B749" s="6">
        <v>38</v>
      </c>
      <c r="C749" s="5" t="s">
        <v>8</v>
      </c>
      <c r="D749" s="5" t="s">
        <v>9</v>
      </c>
      <c r="E749" s="6">
        <v>2</v>
      </c>
      <c r="F749" s="6">
        <v>6861</v>
      </c>
      <c r="G749" s="6">
        <v>1</v>
      </c>
      <c r="H749" s="6">
        <v>3</v>
      </c>
      <c r="I749" s="6" t="s">
        <v>13</v>
      </c>
      <c r="J749" s="6" t="str">
        <f>IF(Employee[[#This Row],[Attrition]]="Yes","Resigned","Active")</f>
        <v>Active</v>
      </c>
    </row>
    <row r="750" spans="1:10" x14ac:dyDescent="0.25">
      <c r="A750" s="6">
        <v>1037</v>
      </c>
      <c r="B750" s="6">
        <v>26</v>
      </c>
      <c r="C750" s="5" t="s">
        <v>8</v>
      </c>
      <c r="D750" s="5" t="s">
        <v>9</v>
      </c>
      <c r="E750" s="6">
        <v>2</v>
      </c>
      <c r="F750" s="6">
        <v>4969</v>
      </c>
      <c r="G750" s="6">
        <v>2</v>
      </c>
      <c r="H750" s="6">
        <v>3</v>
      </c>
      <c r="I750" s="6" t="s">
        <v>10</v>
      </c>
      <c r="J750" s="6" t="str">
        <f>IF(Employee[[#This Row],[Attrition]]="Yes","Resigned","Active")</f>
        <v>Resigned</v>
      </c>
    </row>
    <row r="751" spans="1:10" x14ac:dyDescent="0.25">
      <c r="A751" s="6">
        <v>1038</v>
      </c>
      <c r="B751" s="6">
        <v>52</v>
      </c>
      <c r="C751" s="5" t="s">
        <v>8</v>
      </c>
      <c r="D751" s="5" t="s">
        <v>17</v>
      </c>
      <c r="E751" s="6">
        <v>5</v>
      </c>
      <c r="F751" s="6">
        <v>19845</v>
      </c>
      <c r="G751" s="6">
        <v>32</v>
      </c>
      <c r="H751" s="6">
        <v>3</v>
      </c>
      <c r="I751" s="6" t="s">
        <v>10</v>
      </c>
      <c r="J751" s="6" t="str">
        <f>IF(Employee[[#This Row],[Attrition]]="Yes","Resigned","Active")</f>
        <v>Resigned</v>
      </c>
    </row>
    <row r="752" spans="1:10" x14ac:dyDescent="0.25">
      <c r="A752" s="6">
        <v>1039</v>
      </c>
      <c r="B752" s="6">
        <v>44</v>
      </c>
      <c r="C752" s="5" t="s">
        <v>8</v>
      </c>
      <c r="D752" s="5" t="s">
        <v>9</v>
      </c>
      <c r="E752" s="6">
        <v>4</v>
      </c>
      <c r="F752" s="6">
        <v>13320</v>
      </c>
      <c r="G752" s="6">
        <v>12</v>
      </c>
      <c r="H752" s="6">
        <v>3</v>
      </c>
      <c r="I752" s="6" t="s">
        <v>13</v>
      </c>
      <c r="J752" s="6" t="str">
        <f>IF(Employee[[#This Row],[Attrition]]="Yes","Resigned","Active")</f>
        <v>Active</v>
      </c>
    </row>
    <row r="753" spans="1:10" x14ac:dyDescent="0.25">
      <c r="A753" s="6">
        <v>1040</v>
      </c>
      <c r="B753" s="6">
        <v>50</v>
      </c>
      <c r="C753" s="5" t="s">
        <v>8</v>
      </c>
      <c r="D753" s="5" t="s">
        <v>9</v>
      </c>
      <c r="E753" s="6">
        <v>2</v>
      </c>
      <c r="F753" s="6">
        <v>6347</v>
      </c>
      <c r="G753" s="6">
        <v>18</v>
      </c>
      <c r="H753" s="6">
        <v>3</v>
      </c>
      <c r="I753" s="6" t="s">
        <v>13</v>
      </c>
      <c r="J753" s="6" t="str">
        <f>IF(Employee[[#This Row],[Attrition]]="Yes","Resigned","Active")</f>
        <v>Active</v>
      </c>
    </row>
    <row r="754" spans="1:10" x14ac:dyDescent="0.25">
      <c r="A754" s="6">
        <v>1042</v>
      </c>
      <c r="B754" s="6">
        <v>36</v>
      </c>
      <c r="C754" s="5" t="s">
        <v>11</v>
      </c>
      <c r="D754" s="5" t="s">
        <v>14</v>
      </c>
      <c r="E754" s="6">
        <v>1</v>
      </c>
      <c r="F754" s="6">
        <v>2743</v>
      </c>
      <c r="G754" s="6">
        <v>17</v>
      </c>
      <c r="H754" s="6">
        <v>3</v>
      </c>
      <c r="I754" s="6" t="s">
        <v>10</v>
      </c>
      <c r="J754" s="6" t="str">
        <f>IF(Employee[[#This Row],[Attrition]]="Yes","Resigned","Active")</f>
        <v>Resigned</v>
      </c>
    </row>
    <row r="755" spans="1:10" x14ac:dyDescent="0.25">
      <c r="A755" s="6">
        <v>1043</v>
      </c>
      <c r="B755" s="6">
        <v>39</v>
      </c>
      <c r="C755" s="5" t="s">
        <v>11</v>
      </c>
      <c r="D755" s="5" t="s">
        <v>15</v>
      </c>
      <c r="E755" s="6">
        <v>3</v>
      </c>
      <c r="F755" s="6">
        <v>10880</v>
      </c>
      <c r="G755" s="6">
        <v>21</v>
      </c>
      <c r="H755" s="6">
        <v>3</v>
      </c>
      <c r="I755" s="6" t="s">
        <v>13</v>
      </c>
      <c r="J755" s="6" t="str">
        <f>IF(Employee[[#This Row],[Attrition]]="Yes","Resigned","Active")</f>
        <v>Active</v>
      </c>
    </row>
    <row r="756" spans="1:10" x14ac:dyDescent="0.25">
      <c r="A756" s="6">
        <v>1044</v>
      </c>
      <c r="B756" s="6">
        <v>33</v>
      </c>
      <c r="C756" s="5" t="s">
        <v>8</v>
      </c>
      <c r="D756" s="5" t="s">
        <v>18</v>
      </c>
      <c r="E756" s="6">
        <v>1</v>
      </c>
      <c r="F756" s="6">
        <v>2342</v>
      </c>
      <c r="G756" s="6">
        <v>2</v>
      </c>
      <c r="H756" s="6">
        <v>2</v>
      </c>
      <c r="I756" s="6" t="s">
        <v>13</v>
      </c>
      <c r="J756" s="6" t="str">
        <f>IF(Employee[[#This Row],[Attrition]]="Yes","Resigned","Active")</f>
        <v>Active</v>
      </c>
    </row>
    <row r="757" spans="1:10" x14ac:dyDescent="0.25">
      <c r="A757" s="6">
        <v>1045</v>
      </c>
      <c r="B757" s="6">
        <v>45</v>
      </c>
      <c r="C757" s="5" t="s">
        <v>8</v>
      </c>
      <c r="D757" s="5" t="s">
        <v>17</v>
      </c>
      <c r="E757" s="6">
        <v>4</v>
      </c>
      <c r="F757" s="6">
        <v>17650</v>
      </c>
      <c r="G757" s="6">
        <v>9</v>
      </c>
      <c r="H757" s="6">
        <v>4</v>
      </c>
      <c r="I757" s="6" t="s">
        <v>13</v>
      </c>
      <c r="J757" s="6" t="str">
        <f>IF(Employee[[#This Row],[Attrition]]="Yes","Resigned","Active")</f>
        <v>Active</v>
      </c>
    </row>
    <row r="758" spans="1:10" x14ac:dyDescent="0.25">
      <c r="A758" s="6">
        <v>1046</v>
      </c>
      <c r="B758" s="6">
        <v>32</v>
      </c>
      <c r="C758" s="5" t="s">
        <v>11</v>
      </c>
      <c r="D758" s="5" t="s">
        <v>14</v>
      </c>
      <c r="E758" s="6">
        <v>1</v>
      </c>
      <c r="F758" s="6">
        <v>4025</v>
      </c>
      <c r="G758" s="6">
        <v>8</v>
      </c>
      <c r="H758" s="6">
        <v>3</v>
      </c>
      <c r="I758" s="6" t="s">
        <v>13</v>
      </c>
      <c r="J758" s="6" t="str">
        <f>IF(Employee[[#This Row],[Attrition]]="Yes","Resigned","Active")</f>
        <v>Active</v>
      </c>
    </row>
    <row r="759" spans="1:10" x14ac:dyDescent="0.25">
      <c r="A759" s="6">
        <v>1047</v>
      </c>
      <c r="B759" s="6">
        <v>34</v>
      </c>
      <c r="C759" s="5" t="s">
        <v>8</v>
      </c>
      <c r="D759" s="5" t="s">
        <v>9</v>
      </c>
      <c r="E759" s="6">
        <v>2</v>
      </c>
      <c r="F759" s="6">
        <v>9725</v>
      </c>
      <c r="G759" s="6">
        <v>15</v>
      </c>
      <c r="H759" s="6">
        <v>2</v>
      </c>
      <c r="I759" s="6" t="s">
        <v>13</v>
      </c>
      <c r="J759" s="6" t="str">
        <f>IF(Employee[[#This Row],[Attrition]]="Yes","Resigned","Active")</f>
        <v>Active</v>
      </c>
    </row>
    <row r="760" spans="1:10" x14ac:dyDescent="0.25">
      <c r="A760" s="6">
        <v>1048</v>
      </c>
      <c r="B760" s="6">
        <v>59</v>
      </c>
      <c r="C760" s="5" t="s">
        <v>8</v>
      </c>
      <c r="D760" s="5" t="s">
        <v>17</v>
      </c>
      <c r="E760" s="6">
        <v>3</v>
      </c>
      <c r="F760" s="6">
        <v>11904</v>
      </c>
      <c r="G760" s="6">
        <v>6</v>
      </c>
      <c r="H760" s="6">
        <v>1</v>
      </c>
      <c r="I760" s="6" t="s">
        <v>13</v>
      </c>
      <c r="J760" s="6" t="str">
        <f>IF(Employee[[#This Row],[Attrition]]="Yes","Resigned","Active")</f>
        <v>Active</v>
      </c>
    </row>
    <row r="761" spans="1:10" x14ac:dyDescent="0.25">
      <c r="A761" s="6">
        <v>1049</v>
      </c>
      <c r="B761" s="6">
        <v>45</v>
      </c>
      <c r="C761" s="5" t="s">
        <v>20</v>
      </c>
      <c r="D761" s="5" t="s">
        <v>20</v>
      </c>
      <c r="E761" s="6">
        <v>1</v>
      </c>
      <c r="F761" s="6">
        <v>2177</v>
      </c>
      <c r="G761" s="6">
        <v>6</v>
      </c>
      <c r="H761" s="6">
        <v>3</v>
      </c>
      <c r="I761" s="6" t="s">
        <v>13</v>
      </c>
      <c r="J761" s="6" t="str">
        <f>IF(Employee[[#This Row],[Attrition]]="Yes","Resigned","Active")</f>
        <v>Active</v>
      </c>
    </row>
    <row r="762" spans="1:10" x14ac:dyDescent="0.25">
      <c r="A762" s="6">
        <v>1050</v>
      </c>
      <c r="B762" s="6">
        <v>53</v>
      </c>
      <c r="C762" s="5" t="s">
        <v>8</v>
      </c>
      <c r="D762" s="5" t="s">
        <v>9</v>
      </c>
      <c r="E762" s="6">
        <v>3</v>
      </c>
      <c r="F762" s="6">
        <v>7525</v>
      </c>
      <c r="G762" s="6">
        <v>15</v>
      </c>
      <c r="H762" s="6">
        <v>3</v>
      </c>
      <c r="I762" s="6" t="s">
        <v>13</v>
      </c>
      <c r="J762" s="6" t="str">
        <f>IF(Employee[[#This Row],[Attrition]]="Yes","Resigned","Active")</f>
        <v>Active</v>
      </c>
    </row>
    <row r="763" spans="1:10" x14ac:dyDescent="0.25">
      <c r="A763" s="6">
        <v>1052</v>
      </c>
      <c r="B763" s="6">
        <v>36</v>
      </c>
      <c r="C763" s="5" t="s">
        <v>11</v>
      </c>
      <c r="D763" s="5" t="s">
        <v>14</v>
      </c>
      <c r="E763" s="6">
        <v>2</v>
      </c>
      <c r="F763" s="6">
        <v>4834</v>
      </c>
      <c r="G763" s="6">
        <v>1</v>
      </c>
      <c r="H763" s="6">
        <v>2</v>
      </c>
      <c r="I763" s="6" t="s">
        <v>10</v>
      </c>
      <c r="J763" s="6" t="str">
        <f>IF(Employee[[#This Row],[Attrition]]="Yes","Resigned","Active")</f>
        <v>Resigned</v>
      </c>
    </row>
    <row r="764" spans="1:10" x14ac:dyDescent="0.25">
      <c r="A764" s="6">
        <v>1053</v>
      </c>
      <c r="B764" s="6">
        <v>26</v>
      </c>
      <c r="C764" s="5" t="s">
        <v>11</v>
      </c>
      <c r="D764" s="5" t="s">
        <v>12</v>
      </c>
      <c r="E764" s="6">
        <v>1</v>
      </c>
      <c r="F764" s="6">
        <v>2042</v>
      </c>
      <c r="G764" s="6">
        <v>3</v>
      </c>
      <c r="H764" s="6">
        <v>3</v>
      </c>
      <c r="I764" s="6" t="s">
        <v>10</v>
      </c>
      <c r="J764" s="6" t="str">
        <f>IF(Employee[[#This Row],[Attrition]]="Yes","Resigned","Active")</f>
        <v>Resigned</v>
      </c>
    </row>
    <row r="765" spans="1:10" x14ac:dyDescent="0.25">
      <c r="A765" s="6">
        <v>1055</v>
      </c>
      <c r="B765" s="6">
        <v>34</v>
      </c>
      <c r="C765" s="5" t="s">
        <v>8</v>
      </c>
      <c r="D765" s="5" t="s">
        <v>18</v>
      </c>
      <c r="E765" s="6">
        <v>1</v>
      </c>
      <c r="F765" s="6">
        <v>2220</v>
      </c>
      <c r="G765" s="6">
        <v>1</v>
      </c>
      <c r="H765" s="6">
        <v>3</v>
      </c>
      <c r="I765" s="6" t="s">
        <v>13</v>
      </c>
      <c r="J765" s="6" t="str">
        <f>IF(Employee[[#This Row],[Attrition]]="Yes","Resigned","Active")</f>
        <v>Active</v>
      </c>
    </row>
    <row r="766" spans="1:10" x14ac:dyDescent="0.25">
      <c r="A766" s="6">
        <v>1056</v>
      </c>
      <c r="B766" s="6">
        <v>28</v>
      </c>
      <c r="C766" s="5" t="s">
        <v>8</v>
      </c>
      <c r="D766" s="5" t="s">
        <v>18</v>
      </c>
      <c r="E766" s="6">
        <v>1</v>
      </c>
      <c r="F766" s="6">
        <v>1052</v>
      </c>
      <c r="G766" s="6">
        <v>1</v>
      </c>
      <c r="H766" s="6">
        <v>3</v>
      </c>
      <c r="I766" s="6" t="s">
        <v>13</v>
      </c>
      <c r="J766" s="6" t="str">
        <f>IF(Employee[[#This Row],[Attrition]]="Yes","Resigned","Active")</f>
        <v>Active</v>
      </c>
    </row>
    <row r="767" spans="1:10" x14ac:dyDescent="0.25">
      <c r="A767" s="6">
        <v>1060</v>
      </c>
      <c r="B767" s="6">
        <v>38</v>
      </c>
      <c r="C767" s="5" t="s">
        <v>11</v>
      </c>
      <c r="D767" s="5" t="s">
        <v>12</v>
      </c>
      <c r="E767" s="6">
        <v>1</v>
      </c>
      <c r="F767" s="6">
        <v>2821</v>
      </c>
      <c r="G767" s="6">
        <v>2</v>
      </c>
      <c r="H767" s="6">
        <v>3</v>
      </c>
      <c r="I767" s="6" t="s">
        <v>13</v>
      </c>
      <c r="J767" s="6" t="str">
        <f>IF(Employee[[#This Row],[Attrition]]="Yes","Resigned","Active")</f>
        <v>Active</v>
      </c>
    </row>
    <row r="768" spans="1:10" x14ac:dyDescent="0.25">
      <c r="A768" s="6">
        <v>1061</v>
      </c>
      <c r="B768" s="6">
        <v>50</v>
      </c>
      <c r="C768" s="5" t="s">
        <v>11</v>
      </c>
      <c r="D768" s="5" t="s">
        <v>19</v>
      </c>
      <c r="E768" s="6">
        <v>5</v>
      </c>
      <c r="F768" s="6">
        <v>19237</v>
      </c>
      <c r="G768" s="6">
        <v>8</v>
      </c>
      <c r="H768" s="6">
        <v>2</v>
      </c>
      <c r="I768" s="6" t="s">
        <v>13</v>
      </c>
      <c r="J768" s="6" t="str">
        <f>IF(Employee[[#This Row],[Attrition]]="Yes","Resigned","Active")</f>
        <v>Active</v>
      </c>
    </row>
    <row r="769" spans="1:10" x14ac:dyDescent="0.25">
      <c r="A769" s="6">
        <v>1062</v>
      </c>
      <c r="B769" s="6">
        <v>37</v>
      </c>
      <c r="C769" s="5" t="s">
        <v>11</v>
      </c>
      <c r="D769" s="5" t="s">
        <v>16</v>
      </c>
      <c r="E769" s="6">
        <v>2</v>
      </c>
      <c r="F769" s="6">
        <v>4107</v>
      </c>
      <c r="G769" s="6">
        <v>4</v>
      </c>
      <c r="H769" s="6">
        <v>2</v>
      </c>
      <c r="I769" s="6" t="s">
        <v>13</v>
      </c>
      <c r="J769" s="6" t="str">
        <f>IF(Employee[[#This Row],[Attrition]]="Yes","Resigned","Active")</f>
        <v>Active</v>
      </c>
    </row>
    <row r="770" spans="1:10" x14ac:dyDescent="0.25">
      <c r="A770" s="6">
        <v>1066</v>
      </c>
      <c r="B770" s="6">
        <v>40</v>
      </c>
      <c r="C770" s="5" t="s">
        <v>8</v>
      </c>
      <c r="D770" s="5" t="s">
        <v>9</v>
      </c>
      <c r="E770" s="6">
        <v>2</v>
      </c>
      <c r="F770" s="6">
        <v>8396</v>
      </c>
      <c r="G770" s="6">
        <v>7</v>
      </c>
      <c r="H770" s="6">
        <v>2</v>
      </c>
      <c r="I770" s="6" t="s">
        <v>13</v>
      </c>
      <c r="J770" s="6" t="str">
        <f>IF(Employee[[#This Row],[Attrition]]="Yes","Resigned","Active")</f>
        <v>Active</v>
      </c>
    </row>
    <row r="771" spans="1:10" x14ac:dyDescent="0.25">
      <c r="A771" s="6">
        <v>1068</v>
      </c>
      <c r="B771" s="6">
        <v>26</v>
      </c>
      <c r="C771" s="5" t="s">
        <v>11</v>
      </c>
      <c r="D771" s="5" t="s">
        <v>12</v>
      </c>
      <c r="E771" s="6">
        <v>1</v>
      </c>
      <c r="F771" s="6">
        <v>2007</v>
      </c>
      <c r="G771" s="6">
        <v>5</v>
      </c>
      <c r="H771" s="6">
        <v>3</v>
      </c>
      <c r="I771" s="6" t="s">
        <v>13</v>
      </c>
      <c r="J771" s="6" t="str">
        <f>IF(Employee[[#This Row],[Attrition]]="Yes","Resigned","Active")</f>
        <v>Active</v>
      </c>
    </row>
    <row r="772" spans="1:10" x14ac:dyDescent="0.25">
      <c r="A772" s="6">
        <v>1069</v>
      </c>
      <c r="B772" s="6">
        <v>46</v>
      </c>
      <c r="C772" s="5" t="s">
        <v>11</v>
      </c>
      <c r="D772" s="5" t="s">
        <v>19</v>
      </c>
      <c r="E772" s="6">
        <v>5</v>
      </c>
      <c r="F772" s="6">
        <v>19627</v>
      </c>
      <c r="G772" s="6">
        <v>2</v>
      </c>
      <c r="H772" s="6">
        <v>3</v>
      </c>
      <c r="I772" s="6" t="s">
        <v>13</v>
      </c>
      <c r="J772" s="6" t="str">
        <f>IF(Employee[[#This Row],[Attrition]]="Yes","Resigned","Active")</f>
        <v>Active</v>
      </c>
    </row>
    <row r="773" spans="1:10" x14ac:dyDescent="0.25">
      <c r="A773" s="6">
        <v>1070</v>
      </c>
      <c r="B773" s="6">
        <v>54</v>
      </c>
      <c r="C773" s="5" t="s">
        <v>8</v>
      </c>
      <c r="D773" s="5" t="s">
        <v>9</v>
      </c>
      <c r="E773" s="6">
        <v>3</v>
      </c>
      <c r="F773" s="6">
        <v>10686</v>
      </c>
      <c r="G773" s="6">
        <v>9</v>
      </c>
      <c r="H773" s="6">
        <v>3</v>
      </c>
      <c r="I773" s="6" t="s">
        <v>13</v>
      </c>
      <c r="J773" s="6" t="str">
        <f>IF(Employee[[#This Row],[Attrition]]="Yes","Resigned","Active")</f>
        <v>Active</v>
      </c>
    </row>
    <row r="774" spans="1:10" x14ac:dyDescent="0.25">
      <c r="A774" s="6">
        <v>1071</v>
      </c>
      <c r="B774" s="6">
        <v>56</v>
      </c>
      <c r="C774" s="5" t="s">
        <v>11</v>
      </c>
      <c r="D774" s="5" t="s">
        <v>12</v>
      </c>
      <c r="E774" s="6">
        <v>1</v>
      </c>
      <c r="F774" s="6">
        <v>2942</v>
      </c>
      <c r="G774" s="6">
        <v>5</v>
      </c>
      <c r="H774" s="6">
        <v>3</v>
      </c>
      <c r="I774" s="6" t="s">
        <v>13</v>
      </c>
      <c r="J774" s="6" t="str">
        <f>IF(Employee[[#This Row],[Attrition]]="Yes","Resigned","Active")</f>
        <v>Active</v>
      </c>
    </row>
    <row r="775" spans="1:10" x14ac:dyDescent="0.25">
      <c r="A775" s="6">
        <v>1073</v>
      </c>
      <c r="B775" s="6">
        <v>36</v>
      </c>
      <c r="C775" s="5" t="s">
        <v>11</v>
      </c>
      <c r="D775" s="5" t="s">
        <v>15</v>
      </c>
      <c r="E775" s="6">
        <v>3</v>
      </c>
      <c r="F775" s="6">
        <v>8858</v>
      </c>
      <c r="G775" s="6">
        <v>14</v>
      </c>
      <c r="H775" s="6">
        <v>2</v>
      </c>
      <c r="I775" s="6" t="s">
        <v>13</v>
      </c>
      <c r="J775" s="6" t="str">
        <f>IF(Employee[[#This Row],[Attrition]]="Yes","Resigned","Active")</f>
        <v>Active</v>
      </c>
    </row>
    <row r="776" spans="1:10" x14ac:dyDescent="0.25">
      <c r="A776" s="6">
        <v>1074</v>
      </c>
      <c r="B776" s="6">
        <v>55</v>
      </c>
      <c r="C776" s="5" t="s">
        <v>11</v>
      </c>
      <c r="D776" s="5" t="s">
        <v>17</v>
      </c>
      <c r="E776" s="6">
        <v>4</v>
      </c>
      <c r="F776" s="6">
        <v>16756</v>
      </c>
      <c r="G776" s="6">
        <v>9</v>
      </c>
      <c r="H776" s="6">
        <v>4</v>
      </c>
      <c r="I776" s="6" t="s">
        <v>13</v>
      </c>
      <c r="J776" s="6" t="str">
        <f>IF(Employee[[#This Row],[Attrition]]="Yes","Resigned","Active")</f>
        <v>Active</v>
      </c>
    </row>
    <row r="777" spans="1:10" x14ac:dyDescent="0.25">
      <c r="A777" s="6">
        <v>1076</v>
      </c>
      <c r="B777" s="6">
        <v>43</v>
      </c>
      <c r="C777" s="5" t="s">
        <v>8</v>
      </c>
      <c r="D777" s="5" t="s">
        <v>9</v>
      </c>
      <c r="E777" s="6">
        <v>3</v>
      </c>
      <c r="F777" s="6">
        <v>10798</v>
      </c>
      <c r="G777" s="6">
        <v>1</v>
      </c>
      <c r="H777" s="6">
        <v>3</v>
      </c>
      <c r="I777" s="6" t="s">
        <v>13</v>
      </c>
      <c r="J777" s="6" t="str">
        <f>IF(Employee[[#This Row],[Attrition]]="Yes","Resigned","Active")</f>
        <v>Active</v>
      </c>
    </row>
    <row r="778" spans="1:10" x14ac:dyDescent="0.25">
      <c r="A778" s="6">
        <v>1077</v>
      </c>
      <c r="B778" s="6">
        <v>20</v>
      </c>
      <c r="C778" s="5" t="s">
        <v>8</v>
      </c>
      <c r="D778" s="5" t="s">
        <v>18</v>
      </c>
      <c r="E778" s="6">
        <v>1</v>
      </c>
      <c r="F778" s="6">
        <v>2323</v>
      </c>
      <c r="G778" s="6">
        <v>2</v>
      </c>
      <c r="H778" s="6">
        <v>3</v>
      </c>
      <c r="I778" s="6" t="s">
        <v>10</v>
      </c>
      <c r="J778" s="6" t="str">
        <f>IF(Employee[[#This Row],[Attrition]]="Yes","Resigned","Active")</f>
        <v>Resigned</v>
      </c>
    </row>
    <row r="779" spans="1:10" x14ac:dyDescent="0.25">
      <c r="A779" s="6">
        <v>1079</v>
      </c>
      <c r="B779" s="6">
        <v>21</v>
      </c>
      <c r="C779" s="5" t="s">
        <v>11</v>
      </c>
      <c r="D779" s="5" t="s">
        <v>14</v>
      </c>
      <c r="E779" s="6">
        <v>1</v>
      </c>
      <c r="F779" s="6">
        <v>1416</v>
      </c>
      <c r="G779" s="6">
        <v>1</v>
      </c>
      <c r="H779" s="6">
        <v>2</v>
      </c>
      <c r="I779" s="6" t="s">
        <v>10</v>
      </c>
      <c r="J779" s="6" t="str">
        <f>IF(Employee[[#This Row],[Attrition]]="Yes","Resigned","Active")</f>
        <v>Resigned</v>
      </c>
    </row>
    <row r="780" spans="1:10" x14ac:dyDescent="0.25">
      <c r="A780" s="6">
        <v>1080</v>
      </c>
      <c r="B780" s="6">
        <v>46</v>
      </c>
      <c r="C780" s="5" t="s">
        <v>11</v>
      </c>
      <c r="D780" s="5" t="s">
        <v>12</v>
      </c>
      <c r="E780" s="6">
        <v>2</v>
      </c>
      <c r="F780" s="6">
        <v>4615</v>
      </c>
      <c r="G780" s="6">
        <v>16</v>
      </c>
      <c r="H780" s="6">
        <v>3</v>
      </c>
      <c r="I780" s="6" t="s">
        <v>13</v>
      </c>
      <c r="J780" s="6" t="str">
        <f>IF(Employee[[#This Row],[Attrition]]="Yes","Resigned","Active")</f>
        <v>Active</v>
      </c>
    </row>
    <row r="781" spans="1:10" x14ac:dyDescent="0.25">
      <c r="A781" s="6">
        <v>1081</v>
      </c>
      <c r="B781" s="6">
        <v>51</v>
      </c>
      <c r="C781" s="5" t="s">
        <v>11</v>
      </c>
      <c r="D781" s="5" t="s">
        <v>12</v>
      </c>
      <c r="E781" s="6">
        <v>1</v>
      </c>
      <c r="F781" s="6">
        <v>2461</v>
      </c>
      <c r="G781" s="6">
        <v>10</v>
      </c>
      <c r="H781" s="6">
        <v>4</v>
      </c>
      <c r="I781" s="6" t="s">
        <v>10</v>
      </c>
      <c r="J781" s="6" t="str">
        <f>IF(Employee[[#This Row],[Attrition]]="Yes","Resigned","Active")</f>
        <v>Resigned</v>
      </c>
    </row>
    <row r="782" spans="1:10" x14ac:dyDescent="0.25">
      <c r="A782" s="6">
        <v>1082</v>
      </c>
      <c r="B782" s="6">
        <v>28</v>
      </c>
      <c r="C782" s="5" t="s">
        <v>11</v>
      </c>
      <c r="D782" s="5" t="s">
        <v>16</v>
      </c>
      <c r="E782" s="6">
        <v>3</v>
      </c>
      <c r="F782" s="6">
        <v>8722</v>
      </c>
      <c r="G782" s="6">
        <v>10</v>
      </c>
      <c r="H782" s="6">
        <v>2</v>
      </c>
      <c r="I782" s="6" t="s">
        <v>10</v>
      </c>
      <c r="J782" s="6" t="str">
        <f>IF(Employee[[#This Row],[Attrition]]="Yes","Resigned","Active")</f>
        <v>Resigned</v>
      </c>
    </row>
    <row r="783" spans="1:10" x14ac:dyDescent="0.25">
      <c r="A783" s="6">
        <v>1083</v>
      </c>
      <c r="B783" s="6">
        <v>26</v>
      </c>
      <c r="C783" s="5" t="s">
        <v>11</v>
      </c>
      <c r="D783" s="5" t="s">
        <v>14</v>
      </c>
      <c r="E783" s="6">
        <v>1</v>
      </c>
      <c r="F783" s="6">
        <v>3955</v>
      </c>
      <c r="G783" s="6">
        <v>5</v>
      </c>
      <c r="H783" s="6">
        <v>3</v>
      </c>
      <c r="I783" s="6" t="s">
        <v>13</v>
      </c>
      <c r="J783" s="6" t="str">
        <f>IF(Employee[[#This Row],[Attrition]]="Yes","Resigned","Active")</f>
        <v>Active</v>
      </c>
    </row>
    <row r="784" spans="1:10" x14ac:dyDescent="0.25">
      <c r="A784" s="6">
        <v>1084</v>
      </c>
      <c r="B784" s="6">
        <v>30</v>
      </c>
      <c r="C784" s="5" t="s">
        <v>11</v>
      </c>
      <c r="D784" s="5" t="s">
        <v>15</v>
      </c>
      <c r="E784" s="6">
        <v>2</v>
      </c>
      <c r="F784" s="6">
        <v>9957</v>
      </c>
      <c r="G784" s="6">
        <v>6</v>
      </c>
      <c r="H784" s="6">
        <v>2</v>
      </c>
      <c r="I784" s="6" t="s">
        <v>13</v>
      </c>
      <c r="J784" s="6" t="str">
        <f>IF(Employee[[#This Row],[Attrition]]="Yes","Resigned","Active")</f>
        <v>Active</v>
      </c>
    </row>
    <row r="785" spans="1:10" x14ac:dyDescent="0.25">
      <c r="A785" s="6">
        <v>1085</v>
      </c>
      <c r="B785" s="6">
        <v>41</v>
      </c>
      <c r="C785" s="5" t="s">
        <v>11</v>
      </c>
      <c r="D785" s="5" t="s">
        <v>12</v>
      </c>
      <c r="E785" s="6">
        <v>1</v>
      </c>
      <c r="F785" s="6">
        <v>3376</v>
      </c>
      <c r="G785" s="6">
        <v>10</v>
      </c>
      <c r="H785" s="6">
        <v>3</v>
      </c>
      <c r="I785" s="6" t="s">
        <v>13</v>
      </c>
      <c r="J785" s="6" t="str">
        <f>IF(Employee[[#This Row],[Attrition]]="Yes","Resigned","Active")</f>
        <v>Active</v>
      </c>
    </row>
    <row r="786" spans="1:10" x14ac:dyDescent="0.25">
      <c r="A786" s="6">
        <v>1088</v>
      </c>
      <c r="B786" s="6">
        <v>38</v>
      </c>
      <c r="C786" s="5" t="s">
        <v>11</v>
      </c>
      <c r="D786" s="5" t="s">
        <v>16</v>
      </c>
      <c r="E786" s="6">
        <v>3</v>
      </c>
      <c r="F786" s="6">
        <v>8823</v>
      </c>
      <c r="G786" s="6">
        <v>19</v>
      </c>
      <c r="H786" s="6">
        <v>2</v>
      </c>
      <c r="I786" s="6" t="s">
        <v>13</v>
      </c>
      <c r="J786" s="6" t="str">
        <f>IF(Employee[[#This Row],[Attrition]]="Yes","Resigned","Active")</f>
        <v>Active</v>
      </c>
    </row>
    <row r="787" spans="1:10" x14ac:dyDescent="0.25">
      <c r="A787" s="6">
        <v>1092</v>
      </c>
      <c r="B787" s="6">
        <v>40</v>
      </c>
      <c r="C787" s="5" t="s">
        <v>11</v>
      </c>
      <c r="D787" s="5" t="s">
        <v>16</v>
      </c>
      <c r="E787" s="6">
        <v>3</v>
      </c>
      <c r="F787" s="6">
        <v>10322</v>
      </c>
      <c r="G787" s="6">
        <v>11</v>
      </c>
      <c r="H787" s="6">
        <v>3</v>
      </c>
      <c r="I787" s="6" t="s">
        <v>13</v>
      </c>
      <c r="J787" s="6" t="str">
        <f>IF(Employee[[#This Row],[Attrition]]="Yes","Resigned","Active")</f>
        <v>Active</v>
      </c>
    </row>
    <row r="788" spans="1:10" x14ac:dyDescent="0.25">
      <c r="A788" s="6">
        <v>1094</v>
      </c>
      <c r="B788" s="6">
        <v>27</v>
      </c>
      <c r="C788" s="5" t="s">
        <v>11</v>
      </c>
      <c r="D788" s="5" t="s">
        <v>14</v>
      </c>
      <c r="E788" s="6">
        <v>1</v>
      </c>
      <c r="F788" s="6">
        <v>4621</v>
      </c>
      <c r="G788" s="6">
        <v>3</v>
      </c>
      <c r="H788" s="6">
        <v>3</v>
      </c>
      <c r="I788" s="6" t="s">
        <v>13</v>
      </c>
      <c r="J788" s="6" t="str">
        <f>IF(Employee[[#This Row],[Attrition]]="Yes","Resigned","Active")</f>
        <v>Active</v>
      </c>
    </row>
    <row r="789" spans="1:10" x14ac:dyDescent="0.25">
      <c r="A789" s="6">
        <v>1096</v>
      </c>
      <c r="B789" s="6">
        <v>55</v>
      </c>
      <c r="C789" s="5" t="s">
        <v>11</v>
      </c>
      <c r="D789" s="5" t="s">
        <v>15</v>
      </c>
      <c r="E789" s="6">
        <v>3</v>
      </c>
      <c r="F789" s="6">
        <v>10976</v>
      </c>
      <c r="G789" s="6">
        <v>3</v>
      </c>
      <c r="H789" s="6">
        <v>3</v>
      </c>
      <c r="I789" s="6" t="s">
        <v>13</v>
      </c>
      <c r="J789" s="6" t="str">
        <f>IF(Employee[[#This Row],[Attrition]]="Yes","Resigned","Active")</f>
        <v>Active</v>
      </c>
    </row>
    <row r="790" spans="1:10" x14ac:dyDescent="0.25">
      <c r="A790" s="6">
        <v>1097</v>
      </c>
      <c r="B790" s="6">
        <v>28</v>
      </c>
      <c r="C790" s="5" t="s">
        <v>11</v>
      </c>
      <c r="D790" s="5" t="s">
        <v>12</v>
      </c>
      <c r="E790" s="6">
        <v>2</v>
      </c>
      <c r="F790" s="6">
        <v>3660</v>
      </c>
      <c r="G790" s="6">
        <v>8</v>
      </c>
      <c r="H790" s="6">
        <v>4</v>
      </c>
      <c r="I790" s="6" t="s">
        <v>13</v>
      </c>
      <c r="J790" s="6" t="str">
        <f>IF(Employee[[#This Row],[Attrition]]="Yes","Resigned","Active")</f>
        <v>Active</v>
      </c>
    </row>
    <row r="791" spans="1:10" x14ac:dyDescent="0.25">
      <c r="A791" s="6">
        <v>1098</v>
      </c>
      <c r="B791" s="6">
        <v>44</v>
      </c>
      <c r="C791" s="5" t="s">
        <v>20</v>
      </c>
      <c r="D791" s="5" t="s">
        <v>20</v>
      </c>
      <c r="E791" s="6">
        <v>3</v>
      </c>
      <c r="F791" s="6">
        <v>10482</v>
      </c>
      <c r="G791" s="6">
        <v>20</v>
      </c>
      <c r="H791" s="6">
        <v>3</v>
      </c>
      <c r="I791" s="6" t="s">
        <v>10</v>
      </c>
      <c r="J791" s="6" t="str">
        <f>IF(Employee[[#This Row],[Attrition]]="Yes","Resigned","Active")</f>
        <v>Resigned</v>
      </c>
    </row>
    <row r="792" spans="1:10" x14ac:dyDescent="0.25">
      <c r="A792" s="6">
        <v>1099</v>
      </c>
      <c r="B792" s="6">
        <v>33</v>
      </c>
      <c r="C792" s="5" t="s">
        <v>11</v>
      </c>
      <c r="D792" s="5" t="s">
        <v>16</v>
      </c>
      <c r="E792" s="6">
        <v>3</v>
      </c>
      <c r="F792" s="6">
        <v>7119</v>
      </c>
      <c r="G792" s="6">
        <v>3</v>
      </c>
      <c r="H792" s="6">
        <v>3</v>
      </c>
      <c r="I792" s="6" t="s">
        <v>13</v>
      </c>
      <c r="J792" s="6" t="str">
        <f>IF(Employee[[#This Row],[Attrition]]="Yes","Resigned","Active")</f>
        <v>Active</v>
      </c>
    </row>
    <row r="793" spans="1:10" x14ac:dyDescent="0.25">
      <c r="A793" s="6">
        <v>1100</v>
      </c>
      <c r="B793" s="6">
        <v>35</v>
      </c>
      <c r="C793" s="5" t="s">
        <v>8</v>
      </c>
      <c r="D793" s="5" t="s">
        <v>9</v>
      </c>
      <c r="E793" s="6">
        <v>3</v>
      </c>
      <c r="F793" s="6">
        <v>9582</v>
      </c>
      <c r="G793" s="6">
        <v>8</v>
      </c>
      <c r="H793" s="6">
        <v>3</v>
      </c>
      <c r="I793" s="6" t="s">
        <v>10</v>
      </c>
      <c r="J793" s="6" t="str">
        <f>IF(Employee[[#This Row],[Attrition]]="Yes","Resigned","Active")</f>
        <v>Resigned</v>
      </c>
    </row>
    <row r="794" spans="1:10" x14ac:dyDescent="0.25">
      <c r="A794" s="6">
        <v>1101</v>
      </c>
      <c r="B794" s="6">
        <v>33</v>
      </c>
      <c r="C794" s="5" t="s">
        <v>11</v>
      </c>
      <c r="D794" s="5" t="s">
        <v>12</v>
      </c>
      <c r="E794" s="6">
        <v>2</v>
      </c>
      <c r="F794" s="6">
        <v>4508</v>
      </c>
      <c r="G794" s="6">
        <v>13</v>
      </c>
      <c r="H794" s="6">
        <v>3</v>
      </c>
      <c r="I794" s="6" t="s">
        <v>10</v>
      </c>
      <c r="J794" s="6" t="str">
        <f>IF(Employee[[#This Row],[Attrition]]="Yes","Resigned","Active")</f>
        <v>Resigned</v>
      </c>
    </row>
    <row r="795" spans="1:10" x14ac:dyDescent="0.25">
      <c r="A795" s="6">
        <v>1102</v>
      </c>
      <c r="B795" s="6">
        <v>28</v>
      </c>
      <c r="C795" s="5" t="s">
        <v>11</v>
      </c>
      <c r="D795" s="5" t="s">
        <v>14</v>
      </c>
      <c r="E795" s="6">
        <v>1</v>
      </c>
      <c r="F795" s="6">
        <v>2207</v>
      </c>
      <c r="G795" s="6">
        <v>4</v>
      </c>
      <c r="H795" s="6">
        <v>2</v>
      </c>
      <c r="I795" s="6" t="s">
        <v>13</v>
      </c>
      <c r="J795" s="6" t="str">
        <f>IF(Employee[[#This Row],[Attrition]]="Yes","Resigned","Active")</f>
        <v>Active</v>
      </c>
    </row>
    <row r="796" spans="1:10" x14ac:dyDescent="0.25">
      <c r="A796" s="6">
        <v>1103</v>
      </c>
      <c r="B796" s="6">
        <v>34</v>
      </c>
      <c r="C796" s="5" t="s">
        <v>11</v>
      </c>
      <c r="D796" s="5" t="s">
        <v>16</v>
      </c>
      <c r="E796" s="6">
        <v>2</v>
      </c>
      <c r="F796" s="6">
        <v>7756</v>
      </c>
      <c r="G796" s="6">
        <v>6</v>
      </c>
      <c r="H796" s="6">
        <v>2</v>
      </c>
      <c r="I796" s="6" t="s">
        <v>13</v>
      </c>
      <c r="J796" s="6" t="str">
        <f>IF(Employee[[#This Row],[Attrition]]="Yes","Resigned","Active")</f>
        <v>Active</v>
      </c>
    </row>
    <row r="797" spans="1:10" x14ac:dyDescent="0.25">
      <c r="A797" s="6">
        <v>1105</v>
      </c>
      <c r="B797" s="6">
        <v>37</v>
      </c>
      <c r="C797" s="5" t="s">
        <v>8</v>
      </c>
      <c r="D797" s="5" t="s">
        <v>9</v>
      </c>
      <c r="E797" s="6">
        <v>2</v>
      </c>
      <c r="F797" s="6">
        <v>6694</v>
      </c>
      <c r="G797" s="6">
        <v>1</v>
      </c>
      <c r="H797" s="6">
        <v>3</v>
      </c>
      <c r="I797" s="6" t="s">
        <v>13</v>
      </c>
      <c r="J797" s="6" t="str">
        <f>IF(Employee[[#This Row],[Attrition]]="Yes","Resigned","Active")</f>
        <v>Active</v>
      </c>
    </row>
    <row r="798" spans="1:10" x14ac:dyDescent="0.25">
      <c r="A798" s="6">
        <v>1106</v>
      </c>
      <c r="B798" s="6">
        <v>25</v>
      </c>
      <c r="C798" s="5" t="s">
        <v>11</v>
      </c>
      <c r="D798" s="5" t="s">
        <v>14</v>
      </c>
      <c r="E798" s="6">
        <v>1</v>
      </c>
      <c r="F798" s="6">
        <v>3691</v>
      </c>
      <c r="G798" s="6">
        <v>7</v>
      </c>
      <c r="H798" s="6">
        <v>4</v>
      </c>
      <c r="I798" s="6" t="s">
        <v>10</v>
      </c>
      <c r="J798" s="6" t="str">
        <f>IF(Employee[[#This Row],[Attrition]]="Yes","Resigned","Active")</f>
        <v>Resigned</v>
      </c>
    </row>
    <row r="799" spans="1:10" x14ac:dyDescent="0.25">
      <c r="A799" s="6">
        <v>1107</v>
      </c>
      <c r="B799" s="6">
        <v>26</v>
      </c>
      <c r="C799" s="5" t="s">
        <v>11</v>
      </c>
      <c r="D799" s="5" t="s">
        <v>14</v>
      </c>
      <c r="E799" s="6">
        <v>1</v>
      </c>
      <c r="F799" s="6">
        <v>2377</v>
      </c>
      <c r="G799" s="6">
        <v>1</v>
      </c>
      <c r="H799" s="6">
        <v>2</v>
      </c>
      <c r="I799" s="6" t="s">
        <v>10</v>
      </c>
      <c r="J799" s="6" t="str">
        <f>IF(Employee[[#This Row],[Attrition]]="Yes","Resigned","Active")</f>
        <v>Resigned</v>
      </c>
    </row>
    <row r="800" spans="1:10" x14ac:dyDescent="0.25">
      <c r="A800" s="6">
        <v>1108</v>
      </c>
      <c r="B800" s="6">
        <v>33</v>
      </c>
      <c r="C800" s="5" t="s">
        <v>11</v>
      </c>
      <c r="D800" s="5" t="s">
        <v>12</v>
      </c>
      <c r="E800" s="6">
        <v>1</v>
      </c>
      <c r="F800" s="6">
        <v>2313</v>
      </c>
      <c r="G800" s="6">
        <v>2</v>
      </c>
      <c r="H800" s="6">
        <v>3</v>
      </c>
      <c r="I800" s="6" t="s">
        <v>10</v>
      </c>
      <c r="J800" s="6" t="str">
        <f>IF(Employee[[#This Row],[Attrition]]="Yes","Resigned","Active")</f>
        <v>Resigned</v>
      </c>
    </row>
    <row r="801" spans="1:10" x14ac:dyDescent="0.25">
      <c r="A801" s="6">
        <v>1109</v>
      </c>
      <c r="B801" s="6">
        <v>42</v>
      </c>
      <c r="C801" s="5" t="s">
        <v>11</v>
      </c>
      <c r="D801" s="5" t="s">
        <v>17</v>
      </c>
      <c r="E801" s="6">
        <v>4</v>
      </c>
      <c r="F801" s="6">
        <v>17665</v>
      </c>
      <c r="G801" s="6">
        <v>22</v>
      </c>
      <c r="H801" s="6">
        <v>3</v>
      </c>
      <c r="I801" s="6" t="s">
        <v>13</v>
      </c>
      <c r="J801" s="6" t="str">
        <f>IF(Employee[[#This Row],[Attrition]]="Yes","Resigned","Active")</f>
        <v>Active</v>
      </c>
    </row>
    <row r="802" spans="1:10" x14ac:dyDescent="0.25">
      <c r="A802" s="6">
        <v>1111</v>
      </c>
      <c r="B802" s="6">
        <v>28</v>
      </c>
      <c r="C802" s="5" t="s">
        <v>11</v>
      </c>
      <c r="D802" s="5" t="s">
        <v>14</v>
      </c>
      <c r="E802" s="6">
        <v>1</v>
      </c>
      <c r="F802" s="6">
        <v>2596</v>
      </c>
      <c r="G802" s="6">
        <v>1</v>
      </c>
      <c r="H802" s="6">
        <v>3</v>
      </c>
      <c r="I802" s="6" t="s">
        <v>10</v>
      </c>
      <c r="J802" s="6" t="str">
        <f>IF(Employee[[#This Row],[Attrition]]="Yes","Resigned","Active")</f>
        <v>Resigned</v>
      </c>
    </row>
    <row r="803" spans="1:10" x14ac:dyDescent="0.25">
      <c r="A803" s="6">
        <v>1113</v>
      </c>
      <c r="B803" s="6">
        <v>50</v>
      </c>
      <c r="C803" s="5" t="s">
        <v>8</v>
      </c>
      <c r="D803" s="5" t="s">
        <v>9</v>
      </c>
      <c r="E803" s="6">
        <v>2</v>
      </c>
      <c r="F803" s="6">
        <v>4728</v>
      </c>
      <c r="G803" s="6">
        <v>0</v>
      </c>
      <c r="H803" s="6">
        <v>3</v>
      </c>
      <c r="I803" s="6" t="s">
        <v>10</v>
      </c>
      <c r="J803" s="6" t="str">
        <f>IF(Employee[[#This Row],[Attrition]]="Yes","Resigned","Active")</f>
        <v>Resigned</v>
      </c>
    </row>
    <row r="804" spans="1:10" x14ac:dyDescent="0.25">
      <c r="A804" s="6">
        <v>1114</v>
      </c>
      <c r="B804" s="6">
        <v>33</v>
      </c>
      <c r="C804" s="5" t="s">
        <v>8</v>
      </c>
      <c r="D804" s="5" t="s">
        <v>9</v>
      </c>
      <c r="E804" s="6">
        <v>2</v>
      </c>
      <c r="F804" s="6">
        <v>4302</v>
      </c>
      <c r="G804" s="6">
        <v>3</v>
      </c>
      <c r="H804" s="6">
        <v>3</v>
      </c>
      <c r="I804" s="6" t="s">
        <v>13</v>
      </c>
      <c r="J804" s="6" t="str">
        <f>IF(Employee[[#This Row],[Attrition]]="Yes","Resigned","Active")</f>
        <v>Active</v>
      </c>
    </row>
    <row r="805" spans="1:10" x14ac:dyDescent="0.25">
      <c r="A805" s="6">
        <v>1115</v>
      </c>
      <c r="B805" s="6">
        <v>34</v>
      </c>
      <c r="C805" s="5" t="s">
        <v>11</v>
      </c>
      <c r="D805" s="5" t="s">
        <v>12</v>
      </c>
      <c r="E805" s="6">
        <v>1</v>
      </c>
      <c r="F805" s="6">
        <v>2979</v>
      </c>
      <c r="G805" s="6">
        <v>0</v>
      </c>
      <c r="H805" s="6">
        <v>3</v>
      </c>
      <c r="I805" s="6" t="s">
        <v>13</v>
      </c>
      <c r="J805" s="6" t="str">
        <f>IF(Employee[[#This Row],[Attrition]]="Yes","Resigned","Active")</f>
        <v>Active</v>
      </c>
    </row>
    <row r="806" spans="1:10" x14ac:dyDescent="0.25">
      <c r="A806" s="6">
        <v>1116</v>
      </c>
      <c r="B806" s="6">
        <v>48</v>
      </c>
      <c r="C806" s="5" t="s">
        <v>11</v>
      </c>
      <c r="D806" s="5" t="s">
        <v>17</v>
      </c>
      <c r="E806" s="6">
        <v>4</v>
      </c>
      <c r="F806" s="6">
        <v>16885</v>
      </c>
      <c r="G806" s="6">
        <v>5</v>
      </c>
      <c r="H806" s="6">
        <v>2</v>
      </c>
      <c r="I806" s="6" t="s">
        <v>13</v>
      </c>
      <c r="J806" s="6" t="str">
        <f>IF(Employee[[#This Row],[Attrition]]="Yes","Resigned","Active")</f>
        <v>Active</v>
      </c>
    </row>
    <row r="807" spans="1:10" x14ac:dyDescent="0.25">
      <c r="A807" s="6">
        <v>1117</v>
      </c>
      <c r="B807" s="6">
        <v>45</v>
      </c>
      <c r="C807" s="5" t="s">
        <v>8</v>
      </c>
      <c r="D807" s="5" t="s">
        <v>9</v>
      </c>
      <c r="E807" s="6">
        <v>2</v>
      </c>
      <c r="F807" s="6">
        <v>5593</v>
      </c>
      <c r="G807" s="6">
        <v>15</v>
      </c>
      <c r="H807" s="6">
        <v>3</v>
      </c>
      <c r="I807" s="6" t="s">
        <v>13</v>
      </c>
      <c r="J807" s="6" t="str">
        <f>IF(Employee[[#This Row],[Attrition]]="Yes","Resigned","Active")</f>
        <v>Active</v>
      </c>
    </row>
    <row r="808" spans="1:10" x14ac:dyDescent="0.25">
      <c r="A808" s="6">
        <v>1118</v>
      </c>
      <c r="B808" s="6">
        <v>52</v>
      </c>
      <c r="C808" s="5" t="s">
        <v>11</v>
      </c>
      <c r="D808" s="5" t="s">
        <v>16</v>
      </c>
      <c r="E808" s="6">
        <v>3</v>
      </c>
      <c r="F808" s="6">
        <v>10445</v>
      </c>
      <c r="G808" s="6">
        <v>8</v>
      </c>
      <c r="H808" s="6">
        <v>3</v>
      </c>
      <c r="I808" s="6" t="s">
        <v>13</v>
      </c>
      <c r="J808" s="6" t="str">
        <f>IF(Employee[[#This Row],[Attrition]]="Yes","Resigned","Active")</f>
        <v>Active</v>
      </c>
    </row>
    <row r="809" spans="1:10" x14ac:dyDescent="0.25">
      <c r="A809" s="6">
        <v>1119</v>
      </c>
      <c r="B809" s="6">
        <v>38</v>
      </c>
      <c r="C809" s="5" t="s">
        <v>8</v>
      </c>
      <c r="D809" s="5" t="s">
        <v>9</v>
      </c>
      <c r="E809" s="6">
        <v>3</v>
      </c>
      <c r="F809" s="6">
        <v>8740</v>
      </c>
      <c r="G809" s="6">
        <v>8</v>
      </c>
      <c r="H809" s="6">
        <v>3</v>
      </c>
      <c r="I809" s="6" t="s">
        <v>13</v>
      </c>
      <c r="J809" s="6" t="str">
        <f>IF(Employee[[#This Row],[Attrition]]="Yes","Resigned","Active")</f>
        <v>Active</v>
      </c>
    </row>
    <row r="810" spans="1:10" x14ac:dyDescent="0.25">
      <c r="A810" s="6">
        <v>1120</v>
      </c>
      <c r="B810" s="6">
        <v>29</v>
      </c>
      <c r="C810" s="5" t="s">
        <v>11</v>
      </c>
      <c r="D810" s="5" t="s">
        <v>12</v>
      </c>
      <c r="E810" s="6">
        <v>1</v>
      </c>
      <c r="F810" s="6">
        <v>2514</v>
      </c>
      <c r="G810" s="6">
        <v>7</v>
      </c>
      <c r="H810" s="6">
        <v>3</v>
      </c>
      <c r="I810" s="6" t="s">
        <v>13</v>
      </c>
      <c r="J810" s="6" t="str">
        <f>IF(Employee[[#This Row],[Attrition]]="Yes","Resigned","Active")</f>
        <v>Active</v>
      </c>
    </row>
    <row r="811" spans="1:10" x14ac:dyDescent="0.25">
      <c r="A811" s="6">
        <v>1121</v>
      </c>
      <c r="B811" s="6">
        <v>28</v>
      </c>
      <c r="C811" s="5" t="s">
        <v>11</v>
      </c>
      <c r="D811" s="5" t="s">
        <v>15</v>
      </c>
      <c r="E811" s="6">
        <v>3</v>
      </c>
      <c r="F811" s="6">
        <v>7655</v>
      </c>
      <c r="G811" s="6">
        <v>9</v>
      </c>
      <c r="H811" s="6">
        <v>2</v>
      </c>
      <c r="I811" s="6" t="s">
        <v>13</v>
      </c>
      <c r="J811" s="6" t="str">
        <f>IF(Employee[[#This Row],[Attrition]]="Yes","Resigned","Active")</f>
        <v>Active</v>
      </c>
    </row>
    <row r="812" spans="1:10" x14ac:dyDescent="0.25">
      <c r="A812" s="6">
        <v>1124</v>
      </c>
      <c r="B812" s="6">
        <v>46</v>
      </c>
      <c r="C812" s="5" t="s">
        <v>8</v>
      </c>
      <c r="D812" s="5" t="s">
        <v>17</v>
      </c>
      <c r="E812" s="6">
        <v>4</v>
      </c>
      <c r="F812" s="6">
        <v>17465</v>
      </c>
      <c r="G812" s="6">
        <v>12</v>
      </c>
      <c r="H812" s="6">
        <v>3</v>
      </c>
      <c r="I812" s="6" t="s">
        <v>13</v>
      </c>
      <c r="J812" s="6" t="str">
        <f>IF(Employee[[#This Row],[Attrition]]="Yes","Resigned","Active")</f>
        <v>Active</v>
      </c>
    </row>
    <row r="813" spans="1:10" x14ac:dyDescent="0.25">
      <c r="A813" s="6">
        <v>1125</v>
      </c>
      <c r="B813" s="6">
        <v>38</v>
      </c>
      <c r="C813" s="5" t="s">
        <v>8</v>
      </c>
      <c r="D813" s="5" t="s">
        <v>9</v>
      </c>
      <c r="E813" s="6">
        <v>3</v>
      </c>
      <c r="F813" s="6">
        <v>7351</v>
      </c>
      <c r="G813" s="6">
        <v>1</v>
      </c>
      <c r="H813" s="6">
        <v>3</v>
      </c>
      <c r="I813" s="6" t="s">
        <v>13</v>
      </c>
      <c r="J813" s="6" t="str">
        <f>IF(Employee[[#This Row],[Attrition]]="Yes","Resigned","Active")</f>
        <v>Active</v>
      </c>
    </row>
    <row r="814" spans="1:10" x14ac:dyDescent="0.25">
      <c r="A814" s="6">
        <v>1126</v>
      </c>
      <c r="B814" s="6">
        <v>43</v>
      </c>
      <c r="C814" s="5" t="s">
        <v>11</v>
      </c>
      <c r="D814" s="5" t="s">
        <v>15</v>
      </c>
      <c r="E814" s="6">
        <v>3</v>
      </c>
      <c r="F814" s="6">
        <v>10820</v>
      </c>
      <c r="G814" s="6">
        <v>8</v>
      </c>
      <c r="H814" s="6">
        <v>3</v>
      </c>
      <c r="I814" s="6" t="s">
        <v>13</v>
      </c>
      <c r="J814" s="6" t="str">
        <f>IF(Employee[[#This Row],[Attrition]]="Yes","Resigned","Active")</f>
        <v>Active</v>
      </c>
    </row>
    <row r="815" spans="1:10" x14ac:dyDescent="0.25">
      <c r="A815" s="6">
        <v>1127</v>
      </c>
      <c r="B815" s="6">
        <v>39</v>
      </c>
      <c r="C815" s="5" t="s">
        <v>11</v>
      </c>
      <c r="D815" s="5" t="s">
        <v>16</v>
      </c>
      <c r="E815" s="6">
        <v>4</v>
      </c>
      <c r="F815" s="6">
        <v>12169</v>
      </c>
      <c r="G815" s="6">
        <v>18</v>
      </c>
      <c r="H815" s="6">
        <v>3</v>
      </c>
      <c r="I815" s="6" t="s">
        <v>10</v>
      </c>
      <c r="J815" s="6" t="str">
        <f>IF(Employee[[#This Row],[Attrition]]="Yes","Resigned","Active")</f>
        <v>Resigned</v>
      </c>
    </row>
    <row r="816" spans="1:10" x14ac:dyDescent="0.25">
      <c r="A816" s="6">
        <v>1128</v>
      </c>
      <c r="B816" s="6">
        <v>40</v>
      </c>
      <c r="C816" s="5" t="s">
        <v>11</v>
      </c>
      <c r="D816" s="5" t="s">
        <v>19</v>
      </c>
      <c r="E816" s="6">
        <v>5</v>
      </c>
      <c r="F816" s="6">
        <v>19626</v>
      </c>
      <c r="G816" s="6">
        <v>20</v>
      </c>
      <c r="H816" s="6">
        <v>4</v>
      </c>
      <c r="I816" s="6" t="s">
        <v>13</v>
      </c>
      <c r="J816" s="6" t="str">
        <f>IF(Employee[[#This Row],[Attrition]]="Yes","Resigned","Active")</f>
        <v>Active</v>
      </c>
    </row>
    <row r="817" spans="1:10" x14ac:dyDescent="0.25">
      <c r="A817" s="6">
        <v>1131</v>
      </c>
      <c r="B817" s="6">
        <v>21</v>
      </c>
      <c r="C817" s="5" t="s">
        <v>11</v>
      </c>
      <c r="D817" s="5" t="s">
        <v>12</v>
      </c>
      <c r="E817" s="6">
        <v>1</v>
      </c>
      <c r="F817" s="6">
        <v>2070</v>
      </c>
      <c r="G817" s="6">
        <v>2</v>
      </c>
      <c r="H817" s="6">
        <v>4</v>
      </c>
      <c r="I817" s="6" t="s">
        <v>13</v>
      </c>
      <c r="J817" s="6" t="str">
        <f>IF(Employee[[#This Row],[Attrition]]="Yes","Resigned","Active")</f>
        <v>Active</v>
      </c>
    </row>
    <row r="818" spans="1:10" x14ac:dyDescent="0.25">
      <c r="A818" s="6">
        <v>1132</v>
      </c>
      <c r="B818" s="6">
        <v>39</v>
      </c>
      <c r="C818" s="5" t="s">
        <v>11</v>
      </c>
      <c r="D818" s="5" t="s">
        <v>14</v>
      </c>
      <c r="E818" s="6">
        <v>2</v>
      </c>
      <c r="F818" s="6">
        <v>6782</v>
      </c>
      <c r="G818" s="6">
        <v>5</v>
      </c>
      <c r="H818" s="6">
        <v>2</v>
      </c>
      <c r="I818" s="6" t="s">
        <v>13</v>
      </c>
      <c r="J818" s="6" t="str">
        <f>IF(Employee[[#This Row],[Attrition]]="Yes","Resigned","Active")</f>
        <v>Active</v>
      </c>
    </row>
    <row r="819" spans="1:10" x14ac:dyDescent="0.25">
      <c r="A819" s="6">
        <v>1133</v>
      </c>
      <c r="B819" s="6">
        <v>36</v>
      </c>
      <c r="C819" s="5" t="s">
        <v>11</v>
      </c>
      <c r="D819" s="5" t="s">
        <v>15</v>
      </c>
      <c r="E819" s="6">
        <v>2</v>
      </c>
      <c r="F819" s="6">
        <v>7779</v>
      </c>
      <c r="G819" s="6">
        <v>11</v>
      </c>
      <c r="H819" s="6">
        <v>3</v>
      </c>
      <c r="I819" s="6" t="s">
        <v>13</v>
      </c>
      <c r="J819" s="6" t="str">
        <f>IF(Employee[[#This Row],[Attrition]]="Yes","Resigned","Active")</f>
        <v>Active</v>
      </c>
    </row>
    <row r="820" spans="1:10" x14ac:dyDescent="0.25">
      <c r="A820" s="6">
        <v>1135</v>
      </c>
      <c r="B820" s="6">
        <v>31</v>
      </c>
      <c r="C820" s="5" t="s">
        <v>8</v>
      </c>
      <c r="D820" s="5" t="s">
        <v>18</v>
      </c>
      <c r="E820" s="6">
        <v>1</v>
      </c>
      <c r="F820" s="6">
        <v>2791</v>
      </c>
      <c r="G820" s="6">
        <v>2</v>
      </c>
      <c r="H820" s="6">
        <v>3</v>
      </c>
      <c r="I820" s="6" t="s">
        <v>13</v>
      </c>
      <c r="J820" s="6" t="str">
        <f>IF(Employee[[#This Row],[Attrition]]="Yes","Resigned","Active")</f>
        <v>Active</v>
      </c>
    </row>
    <row r="821" spans="1:10" x14ac:dyDescent="0.25">
      <c r="A821" s="6">
        <v>1136</v>
      </c>
      <c r="B821" s="6">
        <v>28</v>
      </c>
      <c r="C821" s="5" t="s">
        <v>11</v>
      </c>
      <c r="D821" s="5" t="s">
        <v>12</v>
      </c>
      <c r="E821" s="6">
        <v>1</v>
      </c>
      <c r="F821" s="6">
        <v>3201</v>
      </c>
      <c r="G821" s="6">
        <v>5</v>
      </c>
      <c r="H821" s="6">
        <v>1</v>
      </c>
      <c r="I821" s="6" t="s">
        <v>13</v>
      </c>
      <c r="J821" s="6" t="str">
        <f>IF(Employee[[#This Row],[Attrition]]="Yes","Resigned","Active")</f>
        <v>Active</v>
      </c>
    </row>
    <row r="822" spans="1:10" x14ac:dyDescent="0.25">
      <c r="A822" s="6">
        <v>1137</v>
      </c>
      <c r="B822" s="6">
        <v>35</v>
      </c>
      <c r="C822" s="5" t="s">
        <v>8</v>
      </c>
      <c r="D822" s="5" t="s">
        <v>9</v>
      </c>
      <c r="E822" s="6">
        <v>2</v>
      </c>
      <c r="F822" s="6">
        <v>4968</v>
      </c>
      <c r="G822" s="6">
        <v>5</v>
      </c>
      <c r="H822" s="6">
        <v>3</v>
      </c>
      <c r="I822" s="6" t="s">
        <v>13</v>
      </c>
      <c r="J822" s="6" t="str">
        <f>IF(Employee[[#This Row],[Attrition]]="Yes","Resigned","Active")</f>
        <v>Active</v>
      </c>
    </row>
    <row r="823" spans="1:10" x14ac:dyDescent="0.25">
      <c r="A823" s="6">
        <v>1138</v>
      </c>
      <c r="B823" s="6">
        <v>49</v>
      </c>
      <c r="C823" s="5" t="s">
        <v>8</v>
      </c>
      <c r="D823" s="5" t="s">
        <v>9</v>
      </c>
      <c r="E823" s="6">
        <v>4</v>
      </c>
      <c r="F823" s="6">
        <v>13120</v>
      </c>
      <c r="G823" s="6">
        <v>9</v>
      </c>
      <c r="H823" s="6">
        <v>3</v>
      </c>
      <c r="I823" s="6" t="s">
        <v>13</v>
      </c>
      <c r="J823" s="6" t="str">
        <f>IF(Employee[[#This Row],[Attrition]]="Yes","Resigned","Active")</f>
        <v>Active</v>
      </c>
    </row>
    <row r="824" spans="1:10" x14ac:dyDescent="0.25">
      <c r="A824" s="6">
        <v>1140</v>
      </c>
      <c r="B824" s="6">
        <v>34</v>
      </c>
      <c r="C824" s="5" t="s">
        <v>11</v>
      </c>
      <c r="D824" s="5" t="s">
        <v>15</v>
      </c>
      <c r="E824" s="6">
        <v>2</v>
      </c>
      <c r="F824" s="6">
        <v>4033</v>
      </c>
      <c r="G824" s="6">
        <v>3</v>
      </c>
      <c r="H824" s="6">
        <v>2</v>
      </c>
      <c r="I824" s="6" t="s">
        <v>13</v>
      </c>
      <c r="J824" s="6" t="str">
        <f>IF(Employee[[#This Row],[Attrition]]="Yes","Resigned","Active")</f>
        <v>Active</v>
      </c>
    </row>
    <row r="825" spans="1:10" x14ac:dyDescent="0.25">
      <c r="A825" s="6">
        <v>1143</v>
      </c>
      <c r="B825" s="6">
        <v>29</v>
      </c>
      <c r="C825" s="5" t="s">
        <v>11</v>
      </c>
      <c r="D825" s="5" t="s">
        <v>12</v>
      </c>
      <c r="E825" s="6">
        <v>1</v>
      </c>
      <c r="F825" s="6">
        <v>3291</v>
      </c>
      <c r="G825" s="6">
        <v>7</v>
      </c>
      <c r="H825" s="6">
        <v>2</v>
      </c>
      <c r="I825" s="6" t="s">
        <v>13</v>
      </c>
      <c r="J825" s="6" t="str">
        <f>IF(Employee[[#This Row],[Attrition]]="Yes","Resigned","Active")</f>
        <v>Active</v>
      </c>
    </row>
    <row r="826" spans="1:10" x14ac:dyDescent="0.25">
      <c r="A826" s="6">
        <v>1148</v>
      </c>
      <c r="B826" s="6">
        <v>42</v>
      </c>
      <c r="C826" s="5" t="s">
        <v>11</v>
      </c>
      <c r="D826" s="5" t="s">
        <v>14</v>
      </c>
      <c r="E826" s="6">
        <v>2</v>
      </c>
      <c r="F826" s="6">
        <v>4272</v>
      </c>
      <c r="G826" s="6">
        <v>1</v>
      </c>
      <c r="H826" s="6">
        <v>3</v>
      </c>
      <c r="I826" s="6" t="s">
        <v>13</v>
      </c>
      <c r="J826" s="6" t="str">
        <f>IF(Employee[[#This Row],[Attrition]]="Yes","Resigned","Active")</f>
        <v>Active</v>
      </c>
    </row>
    <row r="827" spans="1:10" x14ac:dyDescent="0.25">
      <c r="A827" s="6">
        <v>1150</v>
      </c>
      <c r="B827" s="6">
        <v>29</v>
      </c>
      <c r="C827" s="5" t="s">
        <v>11</v>
      </c>
      <c r="D827" s="5" t="s">
        <v>15</v>
      </c>
      <c r="E827" s="6">
        <v>2</v>
      </c>
      <c r="F827" s="6">
        <v>5056</v>
      </c>
      <c r="G827" s="6">
        <v>10</v>
      </c>
      <c r="H827" s="6">
        <v>2</v>
      </c>
      <c r="I827" s="6" t="s">
        <v>13</v>
      </c>
      <c r="J827" s="6" t="str">
        <f>IF(Employee[[#This Row],[Attrition]]="Yes","Resigned","Active")</f>
        <v>Active</v>
      </c>
    </row>
    <row r="828" spans="1:10" x14ac:dyDescent="0.25">
      <c r="A828" s="6">
        <v>1152</v>
      </c>
      <c r="B828" s="6">
        <v>38</v>
      </c>
      <c r="C828" s="5" t="s">
        <v>20</v>
      </c>
      <c r="D828" s="5" t="s">
        <v>20</v>
      </c>
      <c r="E828" s="6">
        <v>1</v>
      </c>
      <c r="F828" s="6">
        <v>2844</v>
      </c>
      <c r="G828" s="6">
        <v>7</v>
      </c>
      <c r="H828" s="6">
        <v>4</v>
      </c>
      <c r="I828" s="6" t="s">
        <v>13</v>
      </c>
      <c r="J828" s="6" t="str">
        <f>IF(Employee[[#This Row],[Attrition]]="Yes","Resigned","Active")</f>
        <v>Active</v>
      </c>
    </row>
    <row r="829" spans="1:10" x14ac:dyDescent="0.25">
      <c r="A829" s="6">
        <v>1154</v>
      </c>
      <c r="B829" s="6">
        <v>28</v>
      </c>
      <c r="C829" s="5" t="s">
        <v>11</v>
      </c>
      <c r="D829" s="5" t="s">
        <v>12</v>
      </c>
      <c r="E829" s="6">
        <v>1</v>
      </c>
      <c r="F829" s="6">
        <v>2703</v>
      </c>
      <c r="G829" s="6">
        <v>3</v>
      </c>
      <c r="H829" s="6">
        <v>3</v>
      </c>
      <c r="I829" s="6" t="s">
        <v>13</v>
      </c>
      <c r="J829" s="6" t="str">
        <f>IF(Employee[[#This Row],[Attrition]]="Yes","Resigned","Active")</f>
        <v>Active</v>
      </c>
    </row>
    <row r="830" spans="1:10" x14ac:dyDescent="0.25">
      <c r="A830" s="6">
        <v>1156</v>
      </c>
      <c r="B830" s="6">
        <v>18</v>
      </c>
      <c r="C830" s="5" t="s">
        <v>11</v>
      </c>
      <c r="D830" s="5" t="s">
        <v>14</v>
      </c>
      <c r="E830" s="6">
        <v>1</v>
      </c>
      <c r="F830" s="6">
        <v>1904</v>
      </c>
      <c r="G830" s="6">
        <v>0</v>
      </c>
      <c r="H830" s="6">
        <v>3</v>
      </c>
      <c r="I830" s="6" t="s">
        <v>10</v>
      </c>
      <c r="J830" s="6" t="str">
        <f>IF(Employee[[#This Row],[Attrition]]="Yes","Resigned","Active")</f>
        <v>Resigned</v>
      </c>
    </row>
    <row r="831" spans="1:10" x14ac:dyDescent="0.25">
      <c r="A831" s="6">
        <v>1157</v>
      </c>
      <c r="B831" s="6">
        <v>33</v>
      </c>
      <c r="C831" s="5" t="s">
        <v>8</v>
      </c>
      <c r="D831" s="5" t="s">
        <v>9</v>
      </c>
      <c r="E831" s="6">
        <v>2</v>
      </c>
      <c r="F831" s="6">
        <v>8224</v>
      </c>
      <c r="G831" s="6">
        <v>5</v>
      </c>
      <c r="H831" s="6">
        <v>3</v>
      </c>
      <c r="I831" s="6" t="s">
        <v>10</v>
      </c>
      <c r="J831" s="6" t="str">
        <f>IF(Employee[[#This Row],[Attrition]]="Yes","Resigned","Active")</f>
        <v>Resigned</v>
      </c>
    </row>
    <row r="832" spans="1:10" x14ac:dyDescent="0.25">
      <c r="A832" s="6">
        <v>1158</v>
      </c>
      <c r="B832" s="6">
        <v>41</v>
      </c>
      <c r="C832" s="5" t="s">
        <v>11</v>
      </c>
      <c r="D832" s="5" t="s">
        <v>14</v>
      </c>
      <c r="E832" s="6">
        <v>1</v>
      </c>
      <c r="F832" s="6">
        <v>4766</v>
      </c>
      <c r="G832" s="6">
        <v>1</v>
      </c>
      <c r="H832" s="6">
        <v>3</v>
      </c>
      <c r="I832" s="6" t="s">
        <v>13</v>
      </c>
      <c r="J832" s="6" t="str">
        <f>IF(Employee[[#This Row],[Attrition]]="Yes","Resigned","Active")</f>
        <v>Active</v>
      </c>
    </row>
    <row r="833" spans="1:10" x14ac:dyDescent="0.25">
      <c r="A833" s="6">
        <v>1160</v>
      </c>
      <c r="B833" s="6">
        <v>31</v>
      </c>
      <c r="C833" s="5" t="s">
        <v>11</v>
      </c>
      <c r="D833" s="5" t="s">
        <v>14</v>
      </c>
      <c r="E833" s="6">
        <v>1</v>
      </c>
      <c r="F833" s="6">
        <v>2610</v>
      </c>
      <c r="G833" s="6">
        <v>2</v>
      </c>
      <c r="H833" s="6">
        <v>2</v>
      </c>
      <c r="I833" s="6" t="s">
        <v>10</v>
      </c>
      <c r="J833" s="6" t="str">
        <f>IF(Employee[[#This Row],[Attrition]]="Yes","Resigned","Active")</f>
        <v>Resigned</v>
      </c>
    </row>
    <row r="834" spans="1:10" x14ac:dyDescent="0.25">
      <c r="A834" s="6">
        <v>1161</v>
      </c>
      <c r="B834" s="6">
        <v>37</v>
      </c>
      <c r="C834" s="5" t="s">
        <v>11</v>
      </c>
      <c r="D834" s="5" t="s">
        <v>16</v>
      </c>
      <c r="E834" s="6">
        <v>2</v>
      </c>
      <c r="F834" s="6">
        <v>5731</v>
      </c>
      <c r="G834" s="6">
        <v>6</v>
      </c>
      <c r="H834" s="6">
        <v>3</v>
      </c>
      <c r="I834" s="6" t="s">
        <v>13</v>
      </c>
      <c r="J834" s="6" t="str">
        <f>IF(Employee[[#This Row],[Attrition]]="Yes","Resigned","Active")</f>
        <v>Active</v>
      </c>
    </row>
    <row r="835" spans="1:10" x14ac:dyDescent="0.25">
      <c r="A835" s="6">
        <v>1162</v>
      </c>
      <c r="B835" s="6">
        <v>27</v>
      </c>
      <c r="C835" s="5" t="s">
        <v>11</v>
      </c>
      <c r="D835" s="5" t="s">
        <v>12</v>
      </c>
      <c r="E835" s="6">
        <v>1</v>
      </c>
      <c r="F835" s="6">
        <v>2539</v>
      </c>
      <c r="G835" s="6">
        <v>4</v>
      </c>
      <c r="H835" s="6">
        <v>3</v>
      </c>
      <c r="I835" s="6" t="s">
        <v>13</v>
      </c>
      <c r="J835" s="6" t="str">
        <f>IF(Employee[[#This Row],[Attrition]]="Yes","Resigned","Active")</f>
        <v>Active</v>
      </c>
    </row>
    <row r="836" spans="1:10" x14ac:dyDescent="0.25">
      <c r="A836" s="6">
        <v>1163</v>
      </c>
      <c r="B836" s="6">
        <v>34</v>
      </c>
      <c r="C836" s="5" t="s">
        <v>8</v>
      </c>
      <c r="D836" s="5" t="s">
        <v>9</v>
      </c>
      <c r="E836" s="6">
        <v>2</v>
      </c>
      <c r="F836" s="6">
        <v>5714</v>
      </c>
      <c r="G836" s="6">
        <v>6</v>
      </c>
      <c r="H836" s="6">
        <v>2</v>
      </c>
      <c r="I836" s="6" t="s">
        <v>13</v>
      </c>
      <c r="J836" s="6" t="str">
        <f>IF(Employee[[#This Row],[Attrition]]="Yes","Resigned","Active")</f>
        <v>Active</v>
      </c>
    </row>
    <row r="837" spans="1:10" x14ac:dyDescent="0.25">
      <c r="A837" s="6">
        <v>1164</v>
      </c>
      <c r="B837" s="6">
        <v>35</v>
      </c>
      <c r="C837" s="5" t="s">
        <v>20</v>
      </c>
      <c r="D837" s="5" t="s">
        <v>20</v>
      </c>
      <c r="E837" s="6">
        <v>1</v>
      </c>
      <c r="F837" s="6">
        <v>4323</v>
      </c>
      <c r="G837" s="6">
        <v>5</v>
      </c>
      <c r="H837" s="6">
        <v>1</v>
      </c>
      <c r="I837" s="6" t="s">
        <v>13</v>
      </c>
      <c r="J837" s="6" t="str">
        <f>IF(Employee[[#This Row],[Attrition]]="Yes","Resigned","Active")</f>
        <v>Active</v>
      </c>
    </row>
    <row r="838" spans="1:10" x14ac:dyDescent="0.25">
      <c r="A838" s="6">
        <v>1165</v>
      </c>
      <c r="B838" s="6">
        <v>29</v>
      </c>
      <c r="C838" s="5" t="s">
        <v>8</v>
      </c>
      <c r="D838" s="5" t="s">
        <v>9</v>
      </c>
      <c r="E838" s="6">
        <v>3</v>
      </c>
      <c r="F838" s="6">
        <v>7336</v>
      </c>
      <c r="G838" s="6">
        <v>11</v>
      </c>
      <c r="H838" s="6">
        <v>1</v>
      </c>
      <c r="I838" s="6" t="s">
        <v>10</v>
      </c>
      <c r="J838" s="6" t="str">
        <f>IF(Employee[[#This Row],[Attrition]]="Yes","Resigned","Active")</f>
        <v>Resigned</v>
      </c>
    </row>
    <row r="839" spans="1:10" x14ac:dyDescent="0.25">
      <c r="A839" s="6">
        <v>1166</v>
      </c>
      <c r="B839" s="6">
        <v>40</v>
      </c>
      <c r="C839" s="5" t="s">
        <v>11</v>
      </c>
      <c r="D839" s="5" t="s">
        <v>19</v>
      </c>
      <c r="E839" s="6">
        <v>3</v>
      </c>
      <c r="F839" s="6">
        <v>13499</v>
      </c>
      <c r="G839" s="6">
        <v>18</v>
      </c>
      <c r="H839" s="6">
        <v>2</v>
      </c>
      <c r="I839" s="6" t="s">
        <v>13</v>
      </c>
      <c r="J839" s="6" t="str">
        <f>IF(Employee[[#This Row],[Attrition]]="Yes","Resigned","Active")</f>
        <v>Active</v>
      </c>
    </row>
    <row r="840" spans="1:10" x14ac:dyDescent="0.25">
      <c r="A840" s="6">
        <v>1167</v>
      </c>
      <c r="B840" s="6">
        <v>42</v>
      </c>
      <c r="C840" s="5" t="s">
        <v>8</v>
      </c>
      <c r="D840" s="5" t="s">
        <v>9</v>
      </c>
      <c r="E840" s="6">
        <v>4</v>
      </c>
      <c r="F840" s="6">
        <v>13758</v>
      </c>
      <c r="G840" s="6">
        <v>21</v>
      </c>
      <c r="H840" s="6">
        <v>2</v>
      </c>
      <c r="I840" s="6" t="s">
        <v>10</v>
      </c>
      <c r="J840" s="6" t="str">
        <f>IF(Employee[[#This Row],[Attrition]]="Yes","Resigned","Active")</f>
        <v>Resigned</v>
      </c>
    </row>
    <row r="841" spans="1:10" x14ac:dyDescent="0.25">
      <c r="A841" s="6">
        <v>1171</v>
      </c>
      <c r="B841" s="6">
        <v>42</v>
      </c>
      <c r="C841" s="5" t="s">
        <v>8</v>
      </c>
      <c r="D841" s="5" t="s">
        <v>9</v>
      </c>
      <c r="E841" s="6">
        <v>2</v>
      </c>
      <c r="F841" s="6">
        <v>5155</v>
      </c>
      <c r="G841" s="6">
        <v>6</v>
      </c>
      <c r="H841" s="6">
        <v>4</v>
      </c>
      <c r="I841" s="6" t="s">
        <v>13</v>
      </c>
      <c r="J841" s="6" t="str">
        <f>IF(Employee[[#This Row],[Attrition]]="Yes","Resigned","Active")</f>
        <v>Active</v>
      </c>
    </row>
    <row r="842" spans="1:10" x14ac:dyDescent="0.25">
      <c r="A842" s="6">
        <v>1172</v>
      </c>
      <c r="B842" s="6">
        <v>35</v>
      </c>
      <c r="C842" s="5" t="s">
        <v>11</v>
      </c>
      <c r="D842" s="5" t="s">
        <v>14</v>
      </c>
      <c r="E842" s="6">
        <v>1</v>
      </c>
      <c r="F842" s="6">
        <v>2258</v>
      </c>
      <c r="G842" s="6">
        <v>8</v>
      </c>
      <c r="H842" s="6">
        <v>3</v>
      </c>
      <c r="I842" s="6" t="s">
        <v>13</v>
      </c>
      <c r="J842" s="6" t="str">
        <f>IF(Employee[[#This Row],[Attrition]]="Yes","Resigned","Active")</f>
        <v>Active</v>
      </c>
    </row>
    <row r="843" spans="1:10" x14ac:dyDescent="0.25">
      <c r="A843" s="6">
        <v>1173</v>
      </c>
      <c r="B843" s="6">
        <v>24</v>
      </c>
      <c r="C843" s="5" t="s">
        <v>11</v>
      </c>
      <c r="D843" s="5" t="s">
        <v>14</v>
      </c>
      <c r="E843" s="6">
        <v>1</v>
      </c>
      <c r="F843" s="6">
        <v>3597</v>
      </c>
      <c r="G843" s="6">
        <v>4</v>
      </c>
      <c r="H843" s="6">
        <v>3</v>
      </c>
      <c r="I843" s="6" t="s">
        <v>13</v>
      </c>
      <c r="J843" s="6" t="str">
        <f>IF(Employee[[#This Row],[Attrition]]="Yes","Resigned","Active")</f>
        <v>Active</v>
      </c>
    </row>
    <row r="844" spans="1:10" x14ac:dyDescent="0.25">
      <c r="A844" s="6">
        <v>1175</v>
      </c>
      <c r="B844" s="6">
        <v>28</v>
      </c>
      <c r="C844" s="5" t="s">
        <v>11</v>
      </c>
      <c r="D844" s="5" t="s">
        <v>14</v>
      </c>
      <c r="E844" s="6">
        <v>1</v>
      </c>
      <c r="F844" s="6">
        <v>2515</v>
      </c>
      <c r="G844" s="6">
        <v>1</v>
      </c>
      <c r="H844" s="6">
        <v>2</v>
      </c>
      <c r="I844" s="6" t="s">
        <v>10</v>
      </c>
      <c r="J844" s="6" t="str">
        <f>IF(Employee[[#This Row],[Attrition]]="Yes","Resigned","Active")</f>
        <v>Resigned</v>
      </c>
    </row>
    <row r="845" spans="1:10" x14ac:dyDescent="0.25">
      <c r="A845" s="6">
        <v>1177</v>
      </c>
      <c r="B845" s="6">
        <v>26</v>
      </c>
      <c r="C845" s="5" t="s">
        <v>11</v>
      </c>
      <c r="D845" s="5" t="s">
        <v>14</v>
      </c>
      <c r="E845" s="6">
        <v>1</v>
      </c>
      <c r="F845" s="6">
        <v>4420</v>
      </c>
      <c r="G845" s="6">
        <v>8</v>
      </c>
      <c r="H845" s="6">
        <v>3</v>
      </c>
      <c r="I845" s="6" t="s">
        <v>13</v>
      </c>
      <c r="J845" s="6" t="str">
        <f>IF(Employee[[#This Row],[Attrition]]="Yes","Resigned","Active")</f>
        <v>Active</v>
      </c>
    </row>
    <row r="846" spans="1:10" x14ac:dyDescent="0.25">
      <c r="A846" s="6">
        <v>1179</v>
      </c>
      <c r="B846" s="6">
        <v>30</v>
      </c>
      <c r="C846" s="5" t="s">
        <v>8</v>
      </c>
      <c r="D846" s="5" t="s">
        <v>9</v>
      </c>
      <c r="E846" s="6">
        <v>2</v>
      </c>
      <c r="F846" s="6">
        <v>6578</v>
      </c>
      <c r="G846" s="6">
        <v>10</v>
      </c>
      <c r="H846" s="6">
        <v>3</v>
      </c>
      <c r="I846" s="6" t="s">
        <v>13</v>
      </c>
      <c r="J846" s="6" t="str">
        <f>IF(Employee[[#This Row],[Attrition]]="Yes","Resigned","Active")</f>
        <v>Active</v>
      </c>
    </row>
    <row r="847" spans="1:10" x14ac:dyDescent="0.25">
      <c r="A847" s="6">
        <v>1180</v>
      </c>
      <c r="B847" s="6">
        <v>40</v>
      </c>
      <c r="C847" s="5" t="s">
        <v>11</v>
      </c>
      <c r="D847" s="5" t="s">
        <v>12</v>
      </c>
      <c r="E847" s="6">
        <v>2</v>
      </c>
      <c r="F847" s="6">
        <v>4422</v>
      </c>
      <c r="G847" s="6">
        <v>1</v>
      </c>
      <c r="H847" s="6">
        <v>1</v>
      </c>
      <c r="I847" s="6" t="s">
        <v>13</v>
      </c>
      <c r="J847" s="6" t="str">
        <f>IF(Employee[[#This Row],[Attrition]]="Yes","Resigned","Active")</f>
        <v>Active</v>
      </c>
    </row>
    <row r="848" spans="1:10" x14ac:dyDescent="0.25">
      <c r="A848" s="6">
        <v>1182</v>
      </c>
      <c r="B848" s="6">
        <v>35</v>
      </c>
      <c r="C848" s="5" t="s">
        <v>11</v>
      </c>
      <c r="D848" s="5" t="s">
        <v>15</v>
      </c>
      <c r="E848" s="6">
        <v>3</v>
      </c>
      <c r="F848" s="6">
        <v>10274</v>
      </c>
      <c r="G848" s="6">
        <v>7</v>
      </c>
      <c r="H848" s="6">
        <v>4</v>
      </c>
      <c r="I848" s="6" t="s">
        <v>13</v>
      </c>
      <c r="J848" s="6" t="str">
        <f>IF(Employee[[#This Row],[Attrition]]="Yes","Resigned","Active")</f>
        <v>Active</v>
      </c>
    </row>
    <row r="849" spans="1:10" x14ac:dyDescent="0.25">
      <c r="A849" s="6">
        <v>1184</v>
      </c>
      <c r="B849" s="6">
        <v>34</v>
      </c>
      <c r="C849" s="5" t="s">
        <v>11</v>
      </c>
      <c r="D849" s="5" t="s">
        <v>16</v>
      </c>
      <c r="E849" s="6">
        <v>2</v>
      </c>
      <c r="F849" s="6">
        <v>5343</v>
      </c>
      <c r="G849" s="6">
        <v>13</v>
      </c>
      <c r="H849" s="6">
        <v>3</v>
      </c>
      <c r="I849" s="6" t="s">
        <v>13</v>
      </c>
      <c r="J849" s="6" t="str">
        <f>IF(Employee[[#This Row],[Attrition]]="Yes","Resigned","Active")</f>
        <v>Active</v>
      </c>
    </row>
    <row r="850" spans="1:10" x14ac:dyDescent="0.25">
      <c r="A850" s="6">
        <v>1185</v>
      </c>
      <c r="B850" s="6">
        <v>35</v>
      </c>
      <c r="C850" s="5" t="s">
        <v>11</v>
      </c>
      <c r="D850" s="5" t="s">
        <v>14</v>
      </c>
      <c r="E850" s="6">
        <v>1</v>
      </c>
      <c r="F850" s="6">
        <v>2376</v>
      </c>
      <c r="G850" s="6">
        <v>2</v>
      </c>
      <c r="H850" s="6">
        <v>4</v>
      </c>
      <c r="I850" s="6" t="s">
        <v>13</v>
      </c>
      <c r="J850" s="6" t="str">
        <f>IF(Employee[[#This Row],[Attrition]]="Yes","Resigned","Active")</f>
        <v>Active</v>
      </c>
    </row>
    <row r="851" spans="1:10" x14ac:dyDescent="0.25">
      <c r="A851" s="6">
        <v>1188</v>
      </c>
      <c r="B851" s="6">
        <v>43</v>
      </c>
      <c r="C851" s="5" t="s">
        <v>8</v>
      </c>
      <c r="D851" s="5" t="s">
        <v>9</v>
      </c>
      <c r="E851" s="6">
        <v>2</v>
      </c>
      <c r="F851" s="6">
        <v>5346</v>
      </c>
      <c r="G851" s="6">
        <v>4</v>
      </c>
      <c r="H851" s="6">
        <v>2</v>
      </c>
      <c r="I851" s="6" t="s">
        <v>10</v>
      </c>
      <c r="J851" s="6" t="str">
        <f>IF(Employee[[#This Row],[Attrition]]="Yes","Resigned","Active")</f>
        <v>Resigned</v>
      </c>
    </row>
    <row r="852" spans="1:10" x14ac:dyDescent="0.25">
      <c r="A852" s="6">
        <v>1190</v>
      </c>
      <c r="B852" s="6">
        <v>32</v>
      </c>
      <c r="C852" s="5" t="s">
        <v>8</v>
      </c>
      <c r="D852" s="5" t="s">
        <v>18</v>
      </c>
      <c r="E852" s="6">
        <v>1</v>
      </c>
      <c r="F852" s="6">
        <v>2827</v>
      </c>
      <c r="G852" s="6">
        <v>1</v>
      </c>
      <c r="H852" s="6">
        <v>3</v>
      </c>
      <c r="I852" s="6" t="s">
        <v>13</v>
      </c>
      <c r="J852" s="6" t="str">
        <f>IF(Employee[[#This Row],[Attrition]]="Yes","Resigned","Active")</f>
        <v>Active</v>
      </c>
    </row>
    <row r="853" spans="1:10" x14ac:dyDescent="0.25">
      <c r="A853" s="6">
        <v>1191</v>
      </c>
      <c r="B853" s="6">
        <v>56</v>
      </c>
      <c r="C853" s="5" t="s">
        <v>11</v>
      </c>
      <c r="D853" s="5" t="s">
        <v>17</v>
      </c>
      <c r="E853" s="6">
        <v>5</v>
      </c>
      <c r="F853" s="6">
        <v>19943</v>
      </c>
      <c r="G853" s="6">
        <v>5</v>
      </c>
      <c r="H853" s="6">
        <v>3</v>
      </c>
      <c r="I853" s="6" t="s">
        <v>13</v>
      </c>
      <c r="J853" s="6" t="str">
        <f>IF(Employee[[#This Row],[Attrition]]="Yes","Resigned","Active")</f>
        <v>Active</v>
      </c>
    </row>
    <row r="854" spans="1:10" x14ac:dyDescent="0.25">
      <c r="A854" s="6">
        <v>1192</v>
      </c>
      <c r="B854" s="6">
        <v>29</v>
      </c>
      <c r="C854" s="5" t="s">
        <v>11</v>
      </c>
      <c r="D854" s="5" t="s">
        <v>14</v>
      </c>
      <c r="E854" s="6">
        <v>1</v>
      </c>
      <c r="F854" s="6">
        <v>3131</v>
      </c>
      <c r="G854" s="6">
        <v>10</v>
      </c>
      <c r="H854" s="6">
        <v>3</v>
      </c>
      <c r="I854" s="6" t="s">
        <v>13</v>
      </c>
      <c r="J854" s="6" t="str">
        <f>IF(Employee[[#This Row],[Attrition]]="Yes","Resigned","Active")</f>
        <v>Active</v>
      </c>
    </row>
    <row r="855" spans="1:10" x14ac:dyDescent="0.25">
      <c r="A855" s="6">
        <v>1193</v>
      </c>
      <c r="B855" s="6">
        <v>19</v>
      </c>
      <c r="C855" s="5" t="s">
        <v>11</v>
      </c>
      <c r="D855" s="5" t="s">
        <v>12</v>
      </c>
      <c r="E855" s="6">
        <v>1</v>
      </c>
      <c r="F855" s="6">
        <v>2552</v>
      </c>
      <c r="G855" s="6">
        <v>1</v>
      </c>
      <c r="H855" s="6">
        <v>3</v>
      </c>
      <c r="I855" s="6" t="s">
        <v>13</v>
      </c>
      <c r="J855" s="6" t="str">
        <f>IF(Employee[[#This Row],[Attrition]]="Yes","Resigned","Active")</f>
        <v>Active</v>
      </c>
    </row>
    <row r="856" spans="1:10" x14ac:dyDescent="0.25">
      <c r="A856" s="6">
        <v>1195</v>
      </c>
      <c r="B856" s="6">
        <v>45</v>
      </c>
      <c r="C856" s="5" t="s">
        <v>11</v>
      </c>
      <c r="D856" s="5" t="s">
        <v>12</v>
      </c>
      <c r="E856" s="6">
        <v>1</v>
      </c>
      <c r="F856" s="6">
        <v>4477</v>
      </c>
      <c r="G856" s="6">
        <v>3</v>
      </c>
      <c r="H856" s="6">
        <v>2</v>
      </c>
      <c r="I856" s="6" t="s">
        <v>13</v>
      </c>
      <c r="J856" s="6" t="str">
        <f>IF(Employee[[#This Row],[Attrition]]="Yes","Resigned","Active")</f>
        <v>Active</v>
      </c>
    </row>
    <row r="857" spans="1:10" x14ac:dyDescent="0.25">
      <c r="A857" s="6">
        <v>1196</v>
      </c>
      <c r="B857" s="6">
        <v>37</v>
      </c>
      <c r="C857" s="5" t="s">
        <v>11</v>
      </c>
      <c r="D857" s="5" t="s">
        <v>15</v>
      </c>
      <c r="E857" s="6">
        <v>2</v>
      </c>
      <c r="F857" s="6">
        <v>6474</v>
      </c>
      <c r="G857" s="6">
        <v>14</v>
      </c>
      <c r="H857" s="6">
        <v>2</v>
      </c>
      <c r="I857" s="6" t="s">
        <v>13</v>
      </c>
      <c r="J857" s="6" t="str">
        <f>IF(Employee[[#This Row],[Attrition]]="Yes","Resigned","Active")</f>
        <v>Active</v>
      </c>
    </row>
    <row r="858" spans="1:10" x14ac:dyDescent="0.25">
      <c r="A858" s="6">
        <v>1198</v>
      </c>
      <c r="B858" s="6">
        <v>20</v>
      </c>
      <c r="C858" s="5" t="s">
        <v>11</v>
      </c>
      <c r="D858" s="5" t="s">
        <v>14</v>
      </c>
      <c r="E858" s="6">
        <v>1</v>
      </c>
      <c r="F858" s="6">
        <v>3033</v>
      </c>
      <c r="G858" s="6">
        <v>2</v>
      </c>
      <c r="H858" s="6">
        <v>2</v>
      </c>
      <c r="I858" s="6" t="s">
        <v>13</v>
      </c>
      <c r="J858" s="6" t="str">
        <f>IF(Employee[[#This Row],[Attrition]]="Yes","Resigned","Active")</f>
        <v>Active</v>
      </c>
    </row>
    <row r="859" spans="1:10" x14ac:dyDescent="0.25">
      <c r="A859" s="6">
        <v>1200</v>
      </c>
      <c r="B859" s="6">
        <v>44</v>
      </c>
      <c r="C859" s="5" t="s">
        <v>11</v>
      </c>
      <c r="D859" s="5" t="s">
        <v>12</v>
      </c>
      <c r="E859" s="6">
        <v>1</v>
      </c>
      <c r="F859" s="6">
        <v>2936</v>
      </c>
      <c r="G859" s="6">
        <v>6</v>
      </c>
      <c r="H859" s="6">
        <v>3</v>
      </c>
      <c r="I859" s="6" t="s">
        <v>10</v>
      </c>
      <c r="J859" s="6" t="str">
        <f>IF(Employee[[#This Row],[Attrition]]="Yes","Resigned","Active")</f>
        <v>Resigned</v>
      </c>
    </row>
    <row r="860" spans="1:10" x14ac:dyDescent="0.25">
      <c r="A860" s="6">
        <v>1201</v>
      </c>
      <c r="B860" s="6">
        <v>53</v>
      </c>
      <c r="C860" s="5" t="s">
        <v>11</v>
      </c>
      <c r="D860" s="5" t="s">
        <v>17</v>
      </c>
      <c r="E860" s="6">
        <v>5</v>
      </c>
      <c r="F860" s="6">
        <v>18606</v>
      </c>
      <c r="G860" s="6">
        <v>7</v>
      </c>
      <c r="H860" s="6">
        <v>3</v>
      </c>
      <c r="I860" s="6" t="s">
        <v>13</v>
      </c>
      <c r="J860" s="6" t="str">
        <f>IF(Employee[[#This Row],[Attrition]]="Yes","Resigned","Active")</f>
        <v>Active</v>
      </c>
    </row>
    <row r="861" spans="1:10" x14ac:dyDescent="0.25">
      <c r="A861" s="6">
        <v>1202</v>
      </c>
      <c r="B861" s="6">
        <v>29</v>
      </c>
      <c r="C861" s="5" t="s">
        <v>11</v>
      </c>
      <c r="D861" s="5" t="s">
        <v>12</v>
      </c>
      <c r="E861" s="6">
        <v>1</v>
      </c>
      <c r="F861" s="6">
        <v>2168</v>
      </c>
      <c r="G861" s="6">
        <v>5</v>
      </c>
      <c r="H861" s="6">
        <v>2</v>
      </c>
      <c r="I861" s="6" t="s">
        <v>13</v>
      </c>
      <c r="J861" s="6" t="str">
        <f>IF(Employee[[#This Row],[Attrition]]="Yes","Resigned","Active")</f>
        <v>Active</v>
      </c>
    </row>
    <row r="862" spans="1:10" x14ac:dyDescent="0.25">
      <c r="A862" s="6">
        <v>1203</v>
      </c>
      <c r="B862" s="6">
        <v>22</v>
      </c>
      <c r="C862" s="5" t="s">
        <v>11</v>
      </c>
      <c r="D862" s="5" t="s">
        <v>12</v>
      </c>
      <c r="E862" s="6">
        <v>1</v>
      </c>
      <c r="F862" s="6">
        <v>2853</v>
      </c>
      <c r="G862" s="6">
        <v>0</v>
      </c>
      <c r="H862" s="6">
        <v>3</v>
      </c>
      <c r="I862" s="6" t="s">
        <v>10</v>
      </c>
      <c r="J862" s="6" t="str">
        <f>IF(Employee[[#This Row],[Attrition]]="Yes","Resigned","Active")</f>
        <v>Resigned</v>
      </c>
    </row>
    <row r="863" spans="1:10" x14ac:dyDescent="0.25">
      <c r="A863" s="6">
        <v>1204</v>
      </c>
      <c r="B863" s="6">
        <v>46</v>
      </c>
      <c r="C863" s="5" t="s">
        <v>8</v>
      </c>
      <c r="D863" s="5" t="s">
        <v>17</v>
      </c>
      <c r="E863" s="6">
        <v>4</v>
      </c>
      <c r="F863" s="6">
        <v>17048</v>
      </c>
      <c r="G863" s="6">
        <v>26</v>
      </c>
      <c r="H863" s="6">
        <v>3</v>
      </c>
      <c r="I863" s="6" t="s">
        <v>13</v>
      </c>
      <c r="J863" s="6" t="str">
        <f>IF(Employee[[#This Row],[Attrition]]="Yes","Resigned","Active")</f>
        <v>Active</v>
      </c>
    </row>
    <row r="864" spans="1:10" x14ac:dyDescent="0.25">
      <c r="A864" s="6">
        <v>1206</v>
      </c>
      <c r="B864" s="6">
        <v>44</v>
      </c>
      <c r="C864" s="5" t="s">
        <v>11</v>
      </c>
      <c r="D864" s="5" t="s">
        <v>12</v>
      </c>
      <c r="E864" s="6">
        <v>1</v>
      </c>
      <c r="F864" s="6">
        <v>2290</v>
      </c>
      <c r="G864" s="6">
        <v>0</v>
      </c>
      <c r="H864" s="6">
        <v>3</v>
      </c>
      <c r="I864" s="6" t="s">
        <v>13</v>
      </c>
      <c r="J864" s="6" t="str">
        <f>IF(Employee[[#This Row],[Attrition]]="Yes","Resigned","Active")</f>
        <v>Active</v>
      </c>
    </row>
    <row r="865" spans="1:10" x14ac:dyDescent="0.25">
      <c r="A865" s="6">
        <v>1207</v>
      </c>
      <c r="B865" s="6">
        <v>33</v>
      </c>
      <c r="C865" s="5" t="s">
        <v>20</v>
      </c>
      <c r="D865" s="5" t="s">
        <v>20</v>
      </c>
      <c r="E865" s="6">
        <v>1</v>
      </c>
      <c r="F865" s="6">
        <v>3600</v>
      </c>
      <c r="G865" s="6">
        <v>5</v>
      </c>
      <c r="H865" s="6">
        <v>3</v>
      </c>
      <c r="I865" s="6" t="s">
        <v>13</v>
      </c>
      <c r="J865" s="6" t="str">
        <f>IF(Employee[[#This Row],[Attrition]]="Yes","Resigned","Active")</f>
        <v>Active</v>
      </c>
    </row>
    <row r="866" spans="1:10" x14ac:dyDescent="0.25">
      <c r="A866" s="6">
        <v>1210</v>
      </c>
      <c r="B866" s="6">
        <v>41</v>
      </c>
      <c r="C866" s="5" t="s">
        <v>11</v>
      </c>
      <c r="D866" s="5" t="s">
        <v>12</v>
      </c>
      <c r="E866" s="6">
        <v>1</v>
      </c>
      <c r="F866" s="6">
        <v>2107</v>
      </c>
      <c r="G866" s="6">
        <v>1</v>
      </c>
      <c r="H866" s="6">
        <v>1</v>
      </c>
      <c r="I866" s="6" t="s">
        <v>10</v>
      </c>
      <c r="J866" s="6" t="str">
        <f>IF(Employee[[#This Row],[Attrition]]="Yes","Resigned","Active")</f>
        <v>Resigned</v>
      </c>
    </row>
    <row r="867" spans="1:10" x14ac:dyDescent="0.25">
      <c r="A867" s="6">
        <v>1211</v>
      </c>
      <c r="B867" s="6">
        <v>30</v>
      </c>
      <c r="C867" s="5" t="s">
        <v>8</v>
      </c>
      <c r="D867" s="5" t="s">
        <v>9</v>
      </c>
      <c r="E867" s="6">
        <v>2</v>
      </c>
      <c r="F867" s="6">
        <v>4115</v>
      </c>
      <c r="G867" s="6">
        <v>4</v>
      </c>
      <c r="H867" s="6">
        <v>3</v>
      </c>
      <c r="I867" s="6" t="s">
        <v>13</v>
      </c>
      <c r="J867" s="6" t="str">
        <f>IF(Employee[[#This Row],[Attrition]]="Yes","Resigned","Active")</f>
        <v>Active</v>
      </c>
    </row>
    <row r="868" spans="1:10" x14ac:dyDescent="0.25">
      <c r="A868" s="6">
        <v>1212</v>
      </c>
      <c r="B868" s="6">
        <v>40</v>
      </c>
      <c r="C868" s="5" t="s">
        <v>8</v>
      </c>
      <c r="D868" s="5" t="s">
        <v>9</v>
      </c>
      <c r="E868" s="6">
        <v>2</v>
      </c>
      <c r="F868" s="6">
        <v>4327</v>
      </c>
      <c r="G868" s="6">
        <v>0</v>
      </c>
      <c r="H868" s="6">
        <v>3</v>
      </c>
      <c r="I868" s="6" t="s">
        <v>13</v>
      </c>
      <c r="J868" s="6" t="str">
        <f>IF(Employee[[#This Row],[Attrition]]="Yes","Resigned","Active")</f>
        <v>Active</v>
      </c>
    </row>
    <row r="869" spans="1:10" x14ac:dyDescent="0.25">
      <c r="A869" s="6">
        <v>1215</v>
      </c>
      <c r="B869" s="6">
        <v>50</v>
      </c>
      <c r="C869" s="5" t="s">
        <v>11</v>
      </c>
      <c r="D869" s="5" t="s">
        <v>17</v>
      </c>
      <c r="E869" s="6">
        <v>4</v>
      </c>
      <c r="F869" s="6">
        <v>17856</v>
      </c>
      <c r="G869" s="6">
        <v>2</v>
      </c>
      <c r="H869" s="6">
        <v>3</v>
      </c>
      <c r="I869" s="6" t="s">
        <v>13</v>
      </c>
      <c r="J869" s="6" t="str">
        <f>IF(Employee[[#This Row],[Attrition]]="Yes","Resigned","Active")</f>
        <v>Active</v>
      </c>
    </row>
    <row r="870" spans="1:10" x14ac:dyDescent="0.25">
      <c r="A870" s="6">
        <v>1216</v>
      </c>
      <c r="B870" s="6">
        <v>28</v>
      </c>
      <c r="C870" s="5" t="s">
        <v>11</v>
      </c>
      <c r="D870" s="5" t="s">
        <v>14</v>
      </c>
      <c r="E870" s="6">
        <v>1</v>
      </c>
      <c r="F870" s="6">
        <v>3196</v>
      </c>
      <c r="G870" s="6">
        <v>6</v>
      </c>
      <c r="H870" s="6">
        <v>3</v>
      </c>
      <c r="I870" s="6" t="s">
        <v>13</v>
      </c>
      <c r="J870" s="6" t="str">
        <f>IF(Employee[[#This Row],[Attrition]]="Yes","Resigned","Active")</f>
        <v>Active</v>
      </c>
    </row>
    <row r="871" spans="1:10" x14ac:dyDescent="0.25">
      <c r="A871" s="6">
        <v>1217</v>
      </c>
      <c r="B871" s="6">
        <v>46</v>
      </c>
      <c r="C871" s="5" t="s">
        <v>11</v>
      </c>
      <c r="D871" s="5" t="s">
        <v>19</v>
      </c>
      <c r="E871" s="6">
        <v>5</v>
      </c>
      <c r="F871" s="6">
        <v>19081</v>
      </c>
      <c r="G871" s="6">
        <v>4</v>
      </c>
      <c r="H871" s="6">
        <v>3</v>
      </c>
      <c r="I871" s="6" t="s">
        <v>13</v>
      </c>
      <c r="J871" s="6" t="str">
        <f>IF(Employee[[#This Row],[Attrition]]="Yes","Resigned","Active")</f>
        <v>Active</v>
      </c>
    </row>
    <row r="872" spans="1:10" x14ac:dyDescent="0.25">
      <c r="A872" s="6">
        <v>1218</v>
      </c>
      <c r="B872" s="6">
        <v>35</v>
      </c>
      <c r="C872" s="5" t="s">
        <v>8</v>
      </c>
      <c r="D872" s="5" t="s">
        <v>9</v>
      </c>
      <c r="E872" s="6">
        <v>2</v>
      </c>
      <c r="F872" s="6">
        <v>8966</v>
      </c>
      <c r="G872" s="6">
        <v>7</v>
      </c>
      <c r="H872" s="6">
        <v>3</v>
      </c>
      <c r="I872" s="6" t="s">
        <v>13</v>
      </c>
      <c r="J872" s="6" t="str">
        <f>IF(Employee[[#This Row],[Attrition]]="Yes","Resigned","Active")</f>
        <v>Active</v>
      </c>
    </row>
    <row r="873" spans="1:10" x14ac:dyDescent="0.25">
      <c r="A873" s="6">
        <v>1219</v>
      </c>
      <c r="B873" s="6">
        <v>24</v>
      </c>
      <c r="C873" s="5" t="s">
        <v>11</v>
      </c>
      <c r="D873" s="5" t="s">
        <v>14</v>
      </c>
      <c r="E873" s="6">
        <v>1</v>
      </c>
      <c r="F873" s="6">
        <v>2210</v>
      </c>
      <c r="G873" s="6">
        <v>1</v>
      </c>
      <c r="H873" s="6">
        <v>1</v>
      </c>
      <c r="I873" s="6" t="s">
        <v>10</v>
      </c>
      <c r="J873" s="6" t="str">
        <f>IF(Employee[[#This Row],[Attrition]]="Yes","Resigned","Active")</f>
        <v>Resigned</v>
      </c>
    </row>
    <row r="874" spans="1:10" x14ac:dyDescent="0.25">
      <c r="A874" s="6">
        <v>1220</v>
      </c>
      <c r="B874" s="6">
        <v>33</v>
      </c>
      <c r="C874" s="5" t="s">
        <v>8</v>
      </c>
      <c r="D874" s="5" t="s">
        <v>9</v>
      </c>
      <c r="E874" s="6">
        <v>2</v>
      </c>
      <c r="F874" s="6">
        <v>4539</v>
      </c>
      <c r="G874" s="6">
        <v>10</v>
      </c>
      <c r="H874" s="6">
        <v>2</v>
      </c>
      <c r="I874" s="6" t="s">
        <v>13</v>
      </c>
      <c r="J874" s="6" t="str">
        <f>IF(Employee[[#This Row],[Attrition]]="Yes","Resigned","Active")</f>
        <v>Active</v>
      </c>
    </row>
    <row r="875" spans="1:10" x14ac:dyDescent="0.25">
      <c r="A875" s="6">
        <v>1221</v>
      </c>
      <c r="B875" s="6">
        <v>36</v>
      </c>
      <c r="C875" s="5" t="s">
        <v>11</v>
      </c>
      <c r="D875" s="5" t="s">
        <v>14</v>
      </c>
      <c r="E875" s="6">
        <v>1</v>
      </c>
      <c r="F875" s="6">
        <v>2741</v>
      </c>
      <c r="G875" s="6">
        <v>7</v>
      </c>
      <c r="H875" s="6">
        <v>3</v>
      </c>
      <c r="I875" s="6" t="s">
        <v>13</v>
      </c>
      <c r="J875" s="6" t="str">
        <f>IF(Employee[[#This Row],[Attrition]]="Yes","Resigned","Active")</f>
        <v>Active</v>
      </c>
    </row>
    <row r="876" spans="1:10" x14ac:dyDescent="0.25">
      <c r="A876" s="6">
        <v>1224</v>
      </c>
      <c r="B876" s="6">
        <v>30</v>
      </c>
      <c r="C876" s="5" t="s">
        <v>11</v>
      </c>
      <c r="D876" s="5" t="s">
        <v>14</v>
      </c>
      <c r="E876" s="6">
        <v>2</v>
      </c>
      <c r="F876" s="6">
        <v>3491</v>
      </c>
      <c r="G876" s="6">
        <v>10</v>
      </c>
      <c r="H876" s="6">
        <v>2</v>
      </c>
      <c r="I876" s="6" t="s">
        <v>13</v>
      </c>
      <c r="J876" s="6" t="str">
        <f>IF(Employee[[#This Row],[Attrition]]="Yes","Resigned","Active")</f>
        <v>Active</v>
      </c>
    </row>
    <row r="877" spans="1:10" x14ac:dyDescent="0.25">
      <c r="A877" s="6">
        <v>1225</v>
      </c>
      <c r="B877" s="6">
        <v>44</v>
      </c>
      <c r="C877" s="5" t="s">
        <v>11</v>
      </c>
      <c r="D877" s="5" t="s">
        <v>12</v>
      </c>
      <c r="E877" s="6">
        <v>2</v>
      </c>
      <c r="F877" s="6">
        <v>4541</v>
      </c>
      <c r="G877" s="6">
        <v>20</v>
      </c>
      <c r="H877" s="6">
        <v>3</v>
      </c>
      <c r="I877" s="6" t="s">
        <v>13</v>
      </c>
      <c r="J877" s="6" t="str">
        <f>IF(Employee[[#This Row],[Attrition]]="Yes","Resigned","Active")</f>
        <v>Active</v>
      </c>
    </row>
    <row r="878" spans="1:10" x14ac:dyDescent="0.25">
      <c r="A878" s="6">
        <v>1226</v>
      </c>
      <c r="B878" s="6">
        <v>20</v>
      </c>
      <c r="C878" s="5" t="s">
        <v>8</v>
      </c>
      <c r="D878" s="5" t="s">
        <v>18</v>
      </c>
      <c r="E878" s="6">
        <v>1</v>
      </c>
      <c r="F878" s="6">
        <v>2678</v>
      </c>
      <c r="G878" s="6">
        <v>2</v>
      </c>
      <c r="H878" s="6">
        <v>3</v>
      </c>
      <c r="I878" s="6" t="s">
        <v>13</v>
      </c>
      <c r="J878" s="6" t="str">
        <f>IF(Employee[[#This Row],[Attrition]]="Yes","Resigned","Active")</f>
        <v>Active</v>
      </c>
    </row>
    <row r="879" spans="1:10" x14ac:dyDescent="0.25">
      <c r="A879" s="6">
        <v>1228</v>
      </c>
      <c r="B879" s="6">
        <v>46</v>
      </c>
      <c r="C879" s="5" t="s">
        <v>11</v>
      </c>
      <c r="D879" s="5" t="s">
        <v>15</v>
      </c>
      <c r="E879" s="6">
        <v>2</v>
      </c>
      <c r="F879" s="6">
        <v>7379</v>
      </c>
      <c r="G879" s="6">
        <v>6</v>
      </c>
      <c r="H879" s="6">
        <v>2</v>
      </c>
      <c r="I879" s="6" t="s">
        <v>13</v>
      </c>
      <c r="J879" s="6" t="str">
        <f>IF(Employee[[#This Row],[Attrition]]="Yes","Resigned","Active")</f>
        <v>Active</v>
      </c>
    </row>
    <row r="880" spans="1:10" x14ac:dyDescent="0.25">
      <c r="A880" s="6">
        <v>1231</v>
      </c>
      <c r="B880" s="6">
        <v>42</v>
      </c>
      <c r="C880" s="5" t="s">
        <v>20</v>
      </c>
      <c r="D880" s="5" t="s">
        <v>20</v>
      </c>
      <c r="E880" s="6">
        <v>2</v>
      </c>
      <c r="F880" s="6">
        <v>6272</v>
      </c>
      <c r="G880" s="6">
        <v>4</v>
      </c>
      <c r="H880" s="6">
        <v>4</v>
      </c>
      <c r="I880" s="6" t="s">
        <v>13</v>
      </c>
      <c r="J880" s="6" t="str">
        <f>IF(Employee[[#This Row],[Attrition]]="Yes","Resigned","Active")</f>
        <v>Active</v>
      </c>
    </row>
    <row r="881" spans="1:10" x14ac:dyDescent="0.25">
      <c r="A881" s="6">
        <v>1233</v>
      </c>
      <c r="B881" s="6">
        <v>60</v>
      </c>
      <c r="C881" s="5" t="s">
        <v>8</v>
      </c>
      <c r="D881" s="5" t="s">
        <v>9</v>
      </c>
      <c r="E881" s="6">
        <v>2</v>
      </c>
      <c r="F881" s="6">
        <v>5220</v>
      </c>
      <c r="G881" s="6">
        <v>11</v>
      </c>
      <c r="H881" s="6">
        <v>3</v>
      </c>
      <c r="I881" s="6" t="s">
        <v>13</v>
      </c>
      <c r="J881" s="6" t="str">
        <f>IF(Employee[[#This Row],[Attrition]]="Yes","Resigned","Active")</f>
        <v>Active</v>
      </c>
    </row>
    <row r="882" spans="1:10" x14ac:dyDescent="0.25">
      <c r="A882" s="6">
        <v>1234</v>
      </c>
      <c r="B882" s="6">
        <v>32</v>
      </c>
      <c r="C882" s="5" t="s">
        <v>11</v>
      </c>
      <c r="D882" s="5" t="s">
        <v>14</v>
      </c>
      <c r="E882" s="6">
        <v>1</v>
      </c>
      <c r="F882" s="6">
        <v>2743</v>
      </c>
      <c r="G882" s="6">
        <v>2</v>
      </c>
      <c r="H882" s="6">
        <v>3</v>
      </c>
      <c r="I882" s="6" t="s">
        <v>13</v>
      </c>
      <c r="J882" s="6" t="str">
        <f>IF(Employee[[#This Row],[Attrition]]="Yes","Resigned","Active")</f>
        <v>Active</v>
      </c>
    </row>
    <row r="883" spans="1:10" x14ac:dyDescent="0.25">
      <c r="A883" s="6">
        <v>1235</v>
      </c>
      <c r="B883" s="6">
        <v>32</v>
      </c>
      <c r="C883" s="5" t="s">
        <v>11</v>
      </c>
      <c r="D883" s="5" t="s">
        <v>12</v>
      </c>
      <c r="E883" s="6">
        <v>2</v>
      </c>
      <c r="F883" s="6">
        <v>4998</v>
      </c>
      <c r="G883" s="6">
        <v>8</v>
      </c>
      <c r="H883" s="6">
        <v>3</v>
      </c>
      <c r="I883" s="6" t="s">
        <v>13</v>
      </c>
      <c r="J883" s="6" t="str">
        <f>IF(Employee[[#This Row],[Attrition]]="Yes","Resigned","Active")</f>
        <v>Active</v>
      </c>
    </row>
    <row r="884" spans="1:10" x14ac:dyDescent="0.25">
      <c r="A884" s="6">
        <v>1237</v>
      </c>
      <c r="B884" s="6">
        <v>36</v>
      </c>
      <c r="C884" s="5" t="s">
        <v>11</v>
      </c>
      <c r="D884" s="5" t="s">
        <v>15</v>
      </c>
      <c r="E884" s="6">
        <v>3</v>
      </c>
      <c r="F884" s="6">
        <v>10252</v>
      </c>
      <c r="G884" s="6">
        <v>7</v>
      </c>
      <c r="H884" s="6">
        <v>3</v>
      </c>
      <c r="I884" s="6" t="s">
        <v>13</v>
      </c>
      <c r="J884" s="6" t="str">
        <f>IF(Employee[[#This Row],[Attrition]]="Yes","Resigned","Active")</f>
        <v>Active</v>
      </c>
    </row>
    <row r="885" spans="1:10" x14ac:dyDescent="0.25">
      <c r="A885" s="6">
        <v>1238</v>
      </c>
      <c r="B885" s="6">
        <v>33</v>
      </c>
      <c r="C885" s="5" t="s">
        <v>11</v>
      </c>
      <c r="D885" s="5" t="s">
        <v>12</v>
      </c>
      <c r="E885" s="6">
        <v>1</v>
      </c>
      <c r="F885" s="6">
        <v>2781</v>
      </c>
      <c r="G885" s="6">
        <v>14</v>
      </c>
      <c r="H885" s="6">
        <v>3</v>
      </c>
      <c r="I885" s="6" t="s">
        <v>13</v>
      </c>
      <c r="J885" s="6" t="str">
        <f>IF(Employee[[#This Row],[Attrition]]="Yes","Resigned","Active")</f>
        <v>Active</v>
      </c>
    </row>
    <row r="886" spans="1:10" x14ac:dyDescent="0.25">
      <c r="A886" s="6">
        <v>1239</v>
      </c>
      <c r="B886" s="6">
        <v>40</v>
      </c>
      <c r="C886" s="5" t="s">
        <v>8</v>
      </c>
      <c r="D886" s="5" t="s">
        <v>9</v>
      </c>
      <c r="E886" s="6">
        <v>2</v>
      </c>
      <c r="F886" s="6">
        <v>6852</v>
      </c>
      <c r="G886" s="6">
        <v>5</v>
      </c>
      <c r="H886" s="6">
        <v>4</v>
      </c>
      <c r="I886" s="6" t="s">
        <v>13</v>
      </c>
      <c r="J886" s="6" t="str">
        <f>IF(Employee[[#This Row],[Attrition]]="Yes","Resigned","Active")</f>
        <v>Active</v>
      </c>
    </row>
    <row r="887" spans="1:10" x14ac:dyDescent="0.25">
      <c r="A887" s="6">
        <v>1240</v>
      </c>
      <c r="B887" s="6">
        <v>25</v>
      </c>
      <c r="C887" s="5" t="s">
        <v>8</v>
      </c>
      <c r="D887" s="5" t="s">
        <v>9</v>
      </c>
      <c r="E887" s="6">
        <v>2</v>
      </c>
      <c r="F887" s="6">
        <v>4950</v>
      </c>
      <c r="G887" s="6">
        <v>4</v>
      </c>
      <c r="H887" s="6">
        <v>3</v>
      </c>
      <c r="I887" s="6" t="s">
        <v>13</v>
      </c>
      <c r="J887" s="6" t="str">
        <f>IF(Employee[[#This Row],[Attrition]]="Yes","Resigned","Active")</f>
        <v>Active</v>
      </c>
    </row>
    <row r="888" spans="1:10" x14ac:dyDescent="0.25">
      <c r="A888" s="6">
        <v>1241</v>
      </c>
      <c r="B888" s="6">
        <v>30</v>
      </c>
      <c r="C888" s="5" t="s">
        <v>11</v>
      </c>
      <c r="D888" s="5" t="s">
        <v>12</v>
      </c>
      <c r="E888" s="6">
        <v>1</v>
      </c>
      <c r="F888" s="6">
        <v>3579</v>
      </c>
      <c r="G888" s="6">
        <v>11</v>
      </c>
      <c r="H888" s="6">
        <v>3</v>
      </c>
      <c r="I888" s="6" t="s">
        <v>13</v>
      </c>
      <c r="J888" s="6" t="str">
        <f>IF(Employee[[#This Row],[Attrition]]="Yes","Resigned","Active")</f>
        <v>Active</v>
      </c>
    </row>
    <row r="889" spans="1:10" x14ac:dyDescent="0.25">
      <c r="A889" s="6">
        <v>1242</v>
      </c>
      <c r="B889" s="6">
        <v>42</v>
      </c>
      <c r="C889" s="5" t="s">
        <v>11</v>
      </c>
      <c r="D889" s="5" t="s">
        <v>19</v>
      </c>
      <c r="E889" s="6">
        <v>3</v>
      </c>
      <c r="F889" s="6">
        <v>13191</v>
      </c>
      <c r="G889" s="6">
        <v>1</v>
      </c>
      <c r="H889" s="6">
        <v>3</v>
      </c>
      <c r="I889" s="6" t="s">
        <v>13</v>
      </c>
      <c r="J889" s="6" t="str">
        <f>IF(Employee[[#This Row],[Attrition]]="Yes","Resigned","Active")</f>
        <v>Active</v>
      </c>
    </row>
    <row r="890" spans="1:10" x14ac:dyDescent="0.25">
      <c r="A890" s="6">
        <v>1243</v>
      </c>
      <c r="B890" s="6">
        <v>35</v>
      </c>
      <c r="C890" s="5" t="s">
        <v>8</v>
      </c>
      <c r="D890" s="5" t="s">
        <v>9</v>
      </c>
      <c r="E890" s="6">
        <v>3</v>
      </c>
      <c r="F890" s="6">
        <v>10377</v>
      </c>
      <c r="G890" s="6">
        <v>13</v>
      </c>
      <c r="H890" s="6">
        <v>2</v>
      </c>
      <c r="I890" s="6" t="s">
        <v>13</v>
      </c>
      <c r="J890" s="6" t="str">
        <f>IF(Employee[[#This Row],[Attrition]]="Yes","Resigned","Active")</f>
        <v>Active</v>
      </c>
    </row>
    <row r="891" spans="1:10" x14ac:dyDescent="0.25">
      <c r="A891" s="6">
        <v>1244</v>
      </c>
      <c r="B891" s="6">
        <v>27</v>
      </c>
      <c r="C891" s="5" t="s">
        <v>11</v>
      </c>
      <c r="D891" s="5" t="s">
        <v>12</v>
      </c>
      <c r="E891" s="6">
        <v>1</v>
      </c>
      <c r="F891" s="6">
        <v>2235</v>
      </c>
      <c r="G891" s="6">
        <v>9</v>
      </c>
      <c r="H891" s="6">
        <v>2</v>
      </c>
      <c r="I891" s="6" t="s">
        <v>13</v>
      </c>
      <c r="J891" s="6" t="str">
        <f>IF(Employee[[#This Row],[Attrition]]="Yes","Resigned","Active")</f>
        <v>Active</v>
      </c>
    </row>
    <row r="892" spans="1:10" x14ac:dyDescent="0.25">
      <c r="A892" s="6">
        <v>1245</v>
      </c>
      <c r="B892" s="6">
        <v>54</v>
      </c>
      <c r="C892" s="5" t="s">
        <v>11</v>
      </c>
      <c r="D892" s="5" t="s">
        <v>15</v>
      </c>
      <c r="E892" s="6">
        <v>3</v>
      </c>
      <c r="F892" s="6">
        <v>10502</v>
      </c>
      <c r="G892" s="6">
        <v>5</v>
      </c>
      <c r="H892" s="6">
        <v>1</v>
      </c>
      <c r="I892" s="6" t="s">
        <v>13</v>
      </c>
      <c r="J892" s="6" t="str">
        <f>IF(Employee[[#This Row],[Attrition]]="Yes","Resigned","Active")</f>
        <v>Active</v>
      </c>
    </row>
    <row r="893" spans="1:10" x14ac:dyDescent="0.25">
      <c r="A893" s="6">
        <v>1246</v>
      </c>
      <c r="B893" s="6">
        <v>44</v>
      </c>
      <c r="C893" s="5" t="s">
        <v>11</v>
      </c>
      <c r="D893" s="5" t="s">
        <v>12</v>
      </c>
      <c r="E893" s="6">
        <v>1</v>
      </c>
      <c r="F893" s="6">
        <v>2011</v>
      </c>
      <c r="G893" s="6">
        <v>10</v>
      </c>
      <c r="H893" s="6">
        <v>3</v>
      </c>
      <c r="I893" s="6" t="s">
        <v>13</v>
      </c>
      <c r="J893" s="6" t="str">
        <f>IF(Employee[[#This Row],[Attrition]]="Yes","Resigned","Active")</f>
        <v>Active</v>
      </c>
    </row>
    <row r="894" spans="1:10" x14ac:dyDescent="0.25">
      <c r="A894" s="6">
        <v>1248</v>
      </c>
      <c r="B894" s="6">
        <v>19</v>
      </c>
      <c r="C894" s="5" t="s">
        <v>11</v>
      </c>
      <c r="D894" s="5" t="s">
        <v>12</v>
      </c>
      <c r="E894" s="6">
        <v>1</v>
      </c>
      <c r="F894" s="6">
        <v>1859</v>
      </c>
      <c r="G894" s="6">
        <v>1</v>
      </c>
      <c r="H894" s="6">
        <v>4</v>
      </c>
      <c r="I894" s="6" t="s">
        <v>10</v>
      </c>
      <c r="J894" s="6" t="str">
        <f>IF(Employee[[#This Row],[Attrition]]="Yes","Resigned","Active")</f>
        <v>Resigned</v>
      </c>
    </row>
    <row r="895" spans="1:10" x14ac:dyDescent="0.25">
      <c r="A895" s="6">
        <v>1249</v>
      </c>
      <c r="B895" s="6">
        <v>29</v>
      </c>
      <c r="C895" s="5" t="s">
        <v>11</v>
      </c>
      <c r="D895" s="5" t="s">
        <v>12</v>
      </c>
      <c r="E895" s="6">
        <v>1</v>
      </c>
      <c r="F895" s="6">
        <v>3760</v>
      </c>
      <c r="G895" s="6">
        <v>3</v>
      </c>
      <c r="H895" s="6">
        <v>3</v>
      </c>
      <c r="I895" s="6" t="s">
        <v>13</v>
      </c>
      <c r="J895" s="6" t="str">
        <f>IF(Employee[[#This Row],[Attrition]]="Yes","Resigned","Active")</f>
        <v>Active</v>
      </c>
    </row>
    <row r="896" spans="1:10" x14ac:dyDescent="0.25">
      <c r="A896" s="6">
        <v>1250</v>
      </c>
      <c r="B896" s="6">
        <v>54</v>
      </c>
      <c r="C896" s="5" t="s">
        <v>11</v>
      </c>
      <c r="D896" s="5" t="s">
        <v>19</v>
      </c>
      <c r="E896" s="6">
        <v>4</v>
      </c>
      <c r="F896" s="6">
        <v>17779</v>
      </c>
      <c r="G896" s="6">
        <v>10</v>
      </c>
      <c r="H896" s="6">
        <v>3</v>
      </c>
      <c r="I896" s="6" t="s">
        <v>13</v>
      </c>
      <c r="J896" s="6" t="str">
        <f>IF(Employee[[#This Row],[Attrition]]="Yes","Resigned","Active")</f>
        <v>Active</v>
      </c>
    </row>
    <row r="897" spans="1:10" x14ac:dyDescent="0.25">
      <c r="A897" s="6">
        <v>1251</v>
      </c>
      <c r="B897" s="6">
        <v>31</v>
      </c>
      <c r="C897" s="5" t="s">
        <v>11</v>
      </c>
      <c r="D897" s="5" t="s">
        <v>16</v>
      </c>
      <c r="E897" s="6">
        <v>2</v>
      </c>
      <c r="F897" s="6">
        <v>6833</v>
      </c>
      <c r="G897" s="6">
        <v>6</v>
      </c>
      <c r="H897" s="6">
        <v>2</v>
      </c>
      <c r="I897" s="6" t="s">
        <v>13</v>
      </c>
      <c r="J897" s="6" t="str">
        <f>IF(Employee[[#This Row],[Attrition]]="Yes","Resigned","Active")</f>
        <v>Active</v>
      </c>
    </row>
    <row r="898" spans="1:10" x14ac:dyDescent="0.25">
      <c r="A898" s="6">
        <v>1252</v>
      </c>
      <c r="B898" s="6">
        <v>31</v>
      </c>
      <c r="C898" s="5" t="s">
        <v>11</v>
      </c>
      <c r="D898" s="5" t="s">
        <v>16</v>
      </c>
      <c r="E898" s="6">
        <v>2</v>
      </c>
      <c r="F898" s="6">
        <v>6812</v>
      </c>
      <c r="G898" s="6">
        <v>10</v>
      </c>
      <c r="H898" s="6">
        <v>3</v>
      </c>
      <c r="I898" s="6" t="s">
        <v>13</v>
      </c>
      <c r="J898" s="6" t="str">
        <f>IF(Employee[[#This Row],[Attrition]]="Yes","Resigned","Active")</f>
        <v>Active</v>
      </c>
    </row>
    <row r="899" spans="1:10" x14ac:dyDescent="0.25">
      <c r="A899" s="6">
        <v>1254</v>
      </c>
      <c r="B899" s="6">
        <v>59</v>
      </c>
      <c r="C899" s="5" t="s">
        <v>8</v>
      </c>
      <c r="D899" s="5" t="s">
        <v>9</v>
      </c>
      <c r="E899" s="6">
        <v>2</v>
      </c>
      <c r="F899" s="6">
        <v>5171</v>
      </c>
      <c r="G899" s="6">
        <v>6</v>
      </c>
      <c r="H899" s="6">
        <v>3</v>
      </c>
      <c r="I899" s="6" t="s">
        <v>13</v>
      </c>
      <c r="J899" s="6" t="str">
        <f>IF(Employee[[#This Row],[Attrition]]="Yes","Resigned","Active")</f>
        <v>Active</v>
      </c>
    </row>
    <row r="900" spans="1:10" x14ac:dyDescent="0.25">
      <c r="A900" s="6">
        <v>1255</v>
      </c>
      <c r="B900" s="6">
        <v>43</v>
      </c>
      <c r="C900" s="5" t="s">
        <v>11</v>
      </c>
      <c r="D900" s="5" t="s">
        <v>19</v>
      </c>
      <c r="E900" s="6">
        <v>5</v>
      </c>
      <c r="F900" s="6">
        <v>19740</v>
      </c>
      <c r="G900" s="6">
        <v>8</v>
      </c>
      <c r="H900" s="6">
        <v>3</v>
      </c>
      <c r="I900" s="6" t="s">
        <v>13</v>
      </c>
      <c r="J900" s="6" t="str">
        <f>IF(Employee[[#This Row],[Attrition]]="Yes","Resigned","Active")</f>
        <v>Active</v>
      </c>
    </row>
    <row r="901" spans="1:10" x14ac:dyDescent="0.25">
      <c r="A901" s="6">
        <v>1256</v>
      </c>
      <c r="B901" s="6">
        <v>49</v>
      </c>
      <c r="C901" s="5" t="s">
        <v>11</v>
      </c>
      <c r="D901" s="5" t="s">
        <v>17</v>
      </c>
      <c r="E901" s="6">
        <v>5</v>
      </c>
      <c r="F901" s="6">
        <v>18711</v>
      </c>
      <c r="G901" s="6">
        <v>1</v>
      </c>
      <c r="H901" s="6">
        <v>4</v>
      </c>
      <c r="I901" s="6" t="s">
        <v>13</v>
      </c>
      <c r="J901" s="6" t="str">
        <f>IF(Employee[[#This Row],[Attrition]]="Yes","Resigned","Active")</f>
        <v>Active</v>
      </c>
    </row>
    <row r="902" spans="1:10" x14ac:dyDescent="0.25">
      <c r="A902" s="6">
        <v>1257</v>
      </c>
      <c r="B902" s="6">
        <v>36</v>
      </c>
      <c r="C902" s="5" t="s">
        <v>11</v>
      </c>
      <c r="D902" s="5" t="s">
        <v>12</v>
      </c>
      <c r="E902" s="6">
        <v>1</v>
      </c>
      <c r="F902" s="6">
        <v>3692</v>
      </c>
      <c r="G902" s="6">
        <v>11</v>
      </c>
      <c r="H902" s="6">
        <v>2</v>
      </c>
      <c r="I902" s="6" t="s">
        <v>13</v>
      </c>
      <c r="J902" s="6" t="str">
        <f>IF(Employee[[#This Row],[Attrition]]="Yes","Resigned","Active")</f>
        <v>Active</v>
      </c>
    </row>
    <row r="903" spans="1:10" x14ac:dyDescent="0.25">
      <c r="A903" s="6">
        <v>1258</v>
      </c>
      <c r="B903" s="6">
        <v>48</v>
      </c>
      <c r="C903" s="5" t="s">
        <v>11</v>
      </c>
      <c r="D903" s="5" t="s">
        <v>14</v>
      </c>
      <c r="E903" s="6">
        <v>1</v>
      </c>
      <c r="F903" s="6">
        <v>2559</v>
      </c>
      <c r="G903" s="6">
        <v>1</v>
      </c>
      <c r="H903" s="6">
        <v>2</v>
      </c>
      <c r="I903" s="6" t="s">
        <v>13</v>
      </c>
      <c r="J903" s="6" t="str">
        <f>IF(Employee[[#This Row],[Attrition]]="Yes","Resigned","Active")</f>
        <v>Active</v>
      </c>
    </row>
    <row r="904" spans="1:10" x14ac:dyDescent="0.25">
      <c r="A904" s="6">
        <v>1259</v>
      </c>
      <c r="B904" s="6">
        <v>27</v>
      </c>
      <c r="C904" s="5" t="s">
        <v>11</v>
      </c>
      <c r="D904" s="5" t="s">
        <v>12</v>
      </c>
      <c r="E904" s="6">
        <v>1</v>
      </c>
      <c r="F904" s="6">
        <v>2517</v>
      </c>
      <c r="G904" s="6">
        <v>5</v>
      </c>
      <c r="H904" s="6">
        <v>3</v>
      </c>
      <c r="I904" s="6" t="s">
        <v>13</v>
      </c>
      <c r="J904" s="6" t="str">
        <f>IF(Employee[[#This Row],[Attrition]]="Yes","Resigned","Active")</f>
        <v>Active</v>
      </c>
    </row>
    <row r="905" spans="1:10" x14ac:dyDescent="0.25">
      <c r="A905" s="6">
        <v>1260</v>
      </c>
      <c r="B905" s="6">
        <v>29</v>
      </c>
      <c r="C905" s="5" t="s">
        <v>11</v>
      </c>
      <c r="D905" s="5" t="s">
        <v>16</v>
      </c>
      <c r="E905" s="6">
        <v>2</v>
      </c>
      <c r="F905" s="6">
        <v>6623</v>
      </c>
      <c r="G905" s="6">
        <v>6</v>
      </c>
      <c r="H905" s="6">
        <v>3</v>
      </c>
      <c r="I905" s="6" t="s">
        <v>13</v>
      </c>
      <c r="J905" s="6" t="str">
        <f>IF(Employee[[#This Row],[Attrition]]="Yes","Resigned","Active")</f>
        <v>Active</v>
      </c>
    </row>
    <row r="906" spans="1:10" x14ac:dyDescent="0.25">
      <c r="A906" s="6">
        <v>1263</v>
      </c>
      <c r="B906" s="6">
        <v>48</v>
      </c>
      <c r="C906" s="5" t="s">
        <v>11</v>
      </c>
      <c r="D906" s="5" t="s">
        <v>19</v>
      </c>
      <c r="E906" s="6">
        <v>5</v>
      </c>
      <c r="F906" s="6">
        <v>18265</v>
      </c>
      <c r="G906" s="6">
        <v>1</v>
      </c>
      <c r="H906" s="6">
        <v>4</v>
      </c>
      <c r="I906" s="6" t="s">
        <v>13</v>
      </c>
      <c r="J906" s="6" t="str">
        <f>IF(Employee[[#This Row],[Attrition]]="Yes","Resigned","Active")</f>
        <v>Active</v>
      </c>
    </row>
    <row r="907" spans="1:10" x14ac:dyDescent="0.25">
      <c r="A907" s="6">
        <v>1264</v>
      </c>
      <c r="B907" s="6">
        <v>29</v>
      </c>
      <c r="C907" s="5" t="s">
        <v>11</v>
      </c>
      <c r="D907" s="5" t="s">
        <v>19</v>
      </c>
      <c r="E907" s="6">
        <v>4</v>
      </c>
      <c r="F907" s="6">
        <v>16124</v>
      </c>
      <c r="G907" s="6">
        <v>7</v>
      </c>
      <c r="H907" s="6">
        <v>2</v>
      </c>
      <c r="I907" s="6" t="s">
        <v>13</v>
      </c>
      <c r="J907" s="6" t="str">
        <f>IF(Employee[[#This Row],[Attrition]]="Yes","Resigned","Active")</f>
        <v>Active</v>
      </c>
    </row>
    <row r="908" spans="1:10" x14ac:dyDescent="0.25">
      <c r="A908" s="6">
        <v>1265</v>
      </c>
      <c r="B908" s="6">
        <v>34</v>
      </c>
      <c r="C908" s="5" t="s">
        <v>11</v>
      </c>
      <c r="D908" s="5" t="s">
        <v>12</v>
      </c>
      <c r="E908" s="6">
        <v>1</v>
      </c>
      <c r="F908" s="6">
        <v>2585</v>
      </c>
      <c r="G908" s="6">
        <v>1</v>
      </c>
      <c r="H908" s="6">
        <v>2</v>
      </c>
      <c r="I908" s="6" t="s">
        <v>13</v>
      </c>
      <c r="J908" s="6" t="str">
        <f>IF(Employee[[#This Row],[Attrition]]="Yes","Resigned","Active")</f>
        <v>Active</v>
      </c>
    </row>
    <row r="909" spans="1:10" x14ac:dyDescent="0.25">
      <c r="A909" s="6">
        <v>1267</v>
      </c>
      <c r="B909" s="6">
        <v>44</v>
      </c>
      <c r="C909" s="5" t="s">
        <v>8</v>
      </c>
      <c r="D909" s="5" t="s">
        <v>17</v>
      </c>
      <c r="E909" s="6">
        <v>5</v>
      </c>
      <c r="F909" s="6">
        <v>18213</v>
      </c>
      <c r="G909" s="6">
        <v>22</v>
      </c>
      <c r="H909" s="6">
        <v>3</v>
      </c>
      <c r="I909" s="6" t="s">
        <v>13</v>
      </c>
      <c r="J909" s="6" t="str">
        <f>IF(Employee[[#This Row],[Attrition]]="Yes","Resigned","Active")</f>
        <v>Active</v>
      </c>
    </row>
    <row r="910" spans="1:10" x14ac:dyDescent="0.25">
      <c r="A910" s="6">
        <v>1268</v>
      </c>
      <c r="B910" s="6">
        <v>33</v>
      </c>
      <c r="C910" s="5" t="s">
        <v>8</v>
      </c>
      <c r="D910" s="5" t="s">
        <v>9</v>
      </c>
      <c r="E910" s="6">
        <v>3</v>
      </c>
      <c r="F910" s="6">
        <v>8380</v>
      </c>
      <c r="G910" s="6">
        <v>9</v>
      </c>
      <c r="H910" s="6">
        <v>3</v>
      </c>
      <c r="I910" s="6" t="s">
        <v>13</v>
      </c>
      <c r="J910" s="6" t="str">
        <f>IF(Employee[[#This Row],[Attrition]]="Yes","Resigned","Active")</f>
        <v>Active</v>
      </c>
    </row>
    <row r="911" spans="1:10" x14ac:dyDescent="0.25">
      <c r="A911" s="6">
        <v>1269</v>
      </c>
      <c r="B911" s="6">
        <v>19</v>
      </c>
      <c r="C911" s="5" t="s">
        <v>11</v>
      </c>
      <c r="D911" s="5" t="s">
        <v>12</v>
      </c>
      <c r="E911" s="6">
        <v>1</v>
      </c>
      <c r="F911" s="6">
        <v>2994</v>
      </c>
      <c r="G911" s="6">
        <v>1</v>
      </c>
      <c r="H911" s="6">
        <v>3</v>
      </c>
      <c r="I911" s="6" t="s">
        <v>13</v>
      </c>
      <c r="J911" s="6" t="str">
        <f>IF(Employee[[#This Row],[Attrition]]="Yes","Resigned","Active")</f>
        <v>Active</v>
      </c>
    </row>
    <row r="912" spans="1:10" x14ac:dyDescent="0.25">
      <c r="A912" s="6">
        <v>1270</v>
      </c>
      <c r="B912" s="6">
        <v>23</v>
      </c>
      <c r="C912" s="5" t="s">
        <v>11</v>
      </c>
      <c r="D912" s="5" t="s">
        <v>12</v>
      </c>
      <c r="E912" s="6">
        <v>1</v>
      </c>
      <c r="F912" s="6">
        <v>1223</v>
      </c>
      <c r="G912" s="6">
        <v>1</v>
      </c>
      <c r="H912" s="6">
        <v>3</v>
      </c>
      <c r="I912" s="6" t="s">
        <v>13</v>
      </c>
      <c r="J912" s="6" t="str">
        <f>IF(Employee[[#This Row],[Attrition]]="Yes","Resigned","Active")</f>
        <v>Active</v>
      </c>
    </row>
    <row r="913" spans="1:10" x14ac:dyDescent="0.25">
      <c r="A913" s="6">
        <v>1273</v>
      </c>
      <c r="B913" s="6">
        <v>25</v>
      </c>
      <c r="C913" s="5" t="s">
        <v>8</v>
      </c>
      <c r="D913" s="5" t="s">
        <v>18</v>
      </c>
      <c r="E913" s="6">
        <v>1</v>
      </c>
      <c r="F913" s="6">
        <v>1118</v>
      </c>
      <c r="G913" s="6">
        <v>1</v>
      </c>
      <c r="H913" s="6">
        <v>3</v>
      </c>
      <c r="I913" s="6" t="s">
        <v>10</v>
      </c>
      <c r="J913" s="6" t="str">
        <f>IF(Employee[[#This Row],[Attrition]]="Yes","Resigned","Active")</f>
        <v>Resigned</v>
      </c>
    </row>
    <row r="914" spans="1:10" x14ac:dyDescent="0.25">
      <c r="A914" s="6">
        <v>1275</v>
      </c>
      <c r="B914" s="6">
        <v>26</v>
      </c>
      <c r="C914" s="5" t="s">
        <v>11</v>
      </c>
      <c r="D914" s="5" t="s">
        <v>12</v>
      </c>
      <c r="E914" s="6">
        <v>1</v>
      </c>
      <c r="F914" s="6">
        <v>2875</v>
      </c>
      <c r="G914" s="6">
        <v>8</v>
      </c>
      <c r="H914" s="6">
        <v>2</v>
      </c>
      <c r="I914" s="6" t="s">
        <v>13</v>
      </c>
      <c r="J914" s="6" t="str">
        <f>IF(Employee[[#This Row],[Attrition]]="Yes","Resigned","Active")</f>
        <v>Active</v>
      </c>
    </row>
    <row r="915" spans="1:10" x14ac:dyDescent="0.25">
      <c r="A915" s="6">
        <v>1277</v>
      </c>
      <c r="B915" s="6">
        <v>45</v>
      </c>
      <c r="C915" s="5" t="s">
        <v>8</v>
      </c>
      <c r="D915" s="5" t="s">
        <v>17</v>
      </c>
      <c r="E915" s="6">
        <v>5</v>
      </c>
      <c r="F915" s="6">
        <v>18824</v>
      </c>
      <c r="G915" s="6">
        <v>24</v>
      </c>
      <c r="H915" s="6">
        <v>3</v>
      </c>
      <c r="I915" s="6" t="s">
        <v>10</v>
      </c>
      <c r="J915" s="6" t="str">
        <f>IF(Employee[[#This Row],[Attrition]]="Yes","Resigned","Active")</f>
        <v>Resigned</v>
      </c>
    </row>
    <row r="916" spans="1:10" x14ac:dyDescent="0.25">
      <c r="A916" s="6">
        <v>1278</v>
      </c>
      <c r="B916" s="6">
        <v>55</v>
      </c>
      <c r="C916" s="5" t="s">
        <v>11</v>
      </c>
      <c r="D916" s="5" t="s">
        <v>16</v>
      </c>
      <c r="E916" s="6">
        <v>4</v>
      </c>
      <c r="F916" s="6">
        <v>13577</v>
      </c>
      <c r="G916" s="6">
        <v>33</v>
      </c>
      <c r="H916" s="6">
        <v>3</v>
      </c>
      <c r="I916" s="6" t="s">
        <v>13</v>
      </c>
      <c r="J916" s="6" t="str">
        <f>IF(Employee[[#This Row],[Attrition]]="Yes","Resigned","Active")</f>
        <v>Active</v>
      </c>
    </row>
    <row r="917" spans="1:10" x14ac:dyDescent="0.25">
      <c r="A917" s="6">
        <v>1279</v>
      </c>
      <c r="B917" s="6">
        <v>21</v>
      </c>
      <c r="C917" s="5" t="s">
        <v>11</v>
      </c>
      <c r="D917" s="5" t="s">
        <v>14</v>
      </c>
      <c r="E917" s="6">
        <v>1</v>
      </c>
      <c r="F917" s="6">
        <v>2625</v>
      </c>
      <c r="G917" s="6">
        <v>2</v>
      </c>
      <c r="H917" s="6">
        <v>1</v>
      </c>
      <c r="I917" s="6" t="s">
        <v>10</v>
      </c>
      <c r="J917" s="6" t="str">
        <f>IF(Employee[[#This Row],[Attrition]]="Yes","Resigned","Active")</f>
        <v>Resigned</v>
      </c>
    </row>
    <row r="918" spans="1:10" x14ac:dyDescent="0.25">
      <c r="A918" s="6">
        <v>1280</v>
      </c>
      <c r="B918" s="6">
        <v>46</v>
      </c>
      <c r="C918" s="5" t="s">
        <v>8</v>
      </c>
      <c r="D918" s="5" t="s">
        <v>17</v>
      </c>
      <c r="E918" s="6">
        <v>5</v>
      </c>
      <c r="F918" s="6">
        <v>18789</v>
      </c>
      <c r="G918" s="6">
        <v>11</v>
      </c>
      <c r="H918" s="6">
        <v>3</v>
      </c>
      <c r="I918" s="6" t="s">
        <v>13</v>
      </c>
      <c r="J918" s="6" t="str">
        <f>IF(Employee[[#This Row],[Attrition]]="Yes","Resigned","Active")</f>
        <v>Active</v>
      </c>
    </row>
    <row r="919" spans="1:10" x14ac:dyDescent="0.25">
      <c r="A919" s="6">
        <v>1281</v>
      </c>
      <c r="B919" s="6">
        <v>34</v>
      </c>
      <c r="C919" s="5" t="s">
        <v>8</v>
      </c>
      <c r="D919" s="5" t="s">
        <v>9</v>
      </c>
      <c r="E919" s="6">
        <v>2</v>
      </c>
      <c r="F919" s="6">
        <v>4538</v>
      </c>
      <c r="G919" s="6">
        <v>3</v>
      </c>
      <c r="H919" s="6">
        <v>3</v>
      </c>
      <c r="I919" s="6" t="s">
        <v>13</v>
      </c>
      <c r="J919" s="6" t="str">
        <f>IF(Employee[[#This Row],[Attrition]]="Yes","Resigned","Active")</f>
        <v>Active</v>
      </c>
    </row>
    <row r="920" spans="1:10" x14ac:dyDescent="0.25">
      <c r="A920" s="6">
        <v>1282</v>
      </c>
      <c r="B920" s="6">
        <v>51</v>
      </c>
      <c r="C920" s="5" t="s">
        <v>8</v>
      </c>
      <c r="D920" s="5" t="s">
        <v>17</v>
      </c>
      <c r="E920" s="6">
        <v>5</v>
      </c>
      <c r="F920" s="6">
        <v>19847</v>
      </c>
      <c r="G920" s="6">
        <v>29</v>
      </c>
      <c r="H920" s="6">
        <v>2</v>
      </c>
      <c r="I920" s="6" t="s">
        <v>13</v>
      </c>
      <c r="J920" s="6" t="str">
        <f>IF(Employee[[#This Row],[Attrition]]="Yes","Resigned","Active")</f>
        <v>Active</v>
      </c>
    </row>
    <row r="921" spans="1:10" x14ac:dyDescent="0.25">
      <c r="A921" s="6">
        <v>1283</v>
      </c>
      <c r="B921" s="6">
        <v>59</v>
      </c>
      <c r="C921" s="5" t="s">
        <v>11</v>
      </c>
      <c r="D921" s="5" t="s">
        <v>15</v>
      </c>
      <c r="E921" s="6">
        <v>3</v>
      </c>
      <c r="F921" s="6">
        <v>10512</v>
      </c>
      <c r="G921" s="6">
        <v>9</v>
      </c>
      <c r="H921" s="6">
        <v>2</v>
      </c>
      <c r="I921" s="6" t="s">
        <v>13</v>
      </c>
      <c r="J921" s="6" t="str">
        <f>IF(Employee[[#This Row],[Attrition]]="Yes","Resigned","Active")</f>
        <v>Active</v>
      </c>
    </row>
    <row r="922" spans="1:10" x14ac:dyDescent="0.25">
      <c r="A922" s="6">
        <v>1285</v>
      </c>
      <c r="B922" s="6">
        <v>34</v>
      </c>
      <c r="C922" s="5" t="s">
        <v>11</v>
      </c>
      <c r="D922" s="5" t="s">
        <v>14</v>
      </c>
      <c r="E922" s="6">
        <v>2</v>
      </c>
      <c r="F922" s="6">
        <v>4444</v>
      </c>
      <c r="G922" s="6">
        <v>11</v>
      </c>
      <c r="H922" s="6">
        <v>4</v>
      </c>
      <c r="I922" s="6" t="s">
        <v>13</v>
      </c>
      <c r="J922" s="6" t="str">
        <f>IF(Employee[[#This Row],[Attrition]]="Yes","Resigned","Active")</f>
        <v>Active</v>
      </c>
    </row>
    <row r="923" spans="1:10" x14ac:dyDescent="0.25">
      <c r="A923" s="6">
        <v>1286</v>
      </c>
      <c r="B923" s="6">
        <v>28</v>
      </c>
      <c r="C923" s="5" t="s">
        <v>11</v>
      </c>
      <c r="D923" s="5" t="s">
        <v>14</v>
      </c>
      <c r="E923" s="6">
        <v>1</v>
      </c>
      <c r="F923" s="6">
        <v>2154</v>
      </c>
      <c r="G923" s="6">
        <v>4</v>
      </c>
      <c r="H923" s="6">
        <v>2</v>
      </c>
      <c r="I923" s="6" t="s">
        <v>13</v>
      </c>
      <c r="J923" s="6" t="str">
        <f>IF(Employee[[#This Row],[Attrition]]="Yes","Resigned","Active")</f>
        <v>Active</v>
      </c>
    </row>
    <row r="924" spans="1:10" x14ac:dyDescent="0.25">
      <c r="A924" s="6">
        <v>1288</v>
      </c>
      <c r="B924" s="6">
        <v>44</v>
      </c>
      <c r="C924" s="5" t="s">
        <v>11</v>
      </c>
      <c r="D924" s="5" t="s">
        <v>17</v>
      </c>
      <c r="E924" s="6">
        <v>5</v>
      </c>
      <c r="F924" s="6">
        <v>19190</v>
      </c>
      <c r="G924" s="6">
        <v>25</v>
      </c>
      <c r="H924" s="6">
        <v>2</v>
      </c>
      <c r="I924" s="6" t="s">
        <v>13</v>
      </c>
      <c r="J924" s="6" t="str">
        <f>IF(Employee[[#This Row],[Attrition]]="Yes","Resigned","Active")</f>
        <v>Active</v>
      </c>
    </row>
    <row r="925" spans="1:10" x14ac:dyDescent="0.25">
      <c r="A925" s="6">
        <v>1289</v>
      </c>
      <c r="B925" s="6">
        <v>34</v>
      </c>
      <c r="C925" s="5" t="s">
        <v>20</v>
      </c>
      <c r="D925" s="5" t="s">
        <v>20</v>
      </c>
      <c r="E925" s="6">
        <v>2</v>
      </c>
      <c r="F925" s="6">
        <v>4490</v>
      </c>
      <c r="G925" s="6">
        <v>10</v>
      </c>
      <c r="H925" s="6">
        <v>4</v>
      </c>
      <c r="I925" s="6" t="s">
        <v>13</v>
      </c>
      <c r="J925" s="6" t="str">
        <f>IF(Employee[[#This Row],[Attrition]]="Yes","Resigned","Active")</f>
        <v>Active</v>
      </c>
    </row>
    <row r="926" spans="1:10" x14ac:dyDescent="0.25">
      <c r="A926" s="6">
        <v>1291</v>
      </c>
      <c r="B926" s="6">
        <v>35</v>
      </c>
      <c r="C926" s="5" t="s">
        <v>11</v>
      </c>
      <c r="D926" s="5" t="s">
        <v>12</v>
      </c>
      <c r="E926" s="6">
        <v>1</v>
      </c>
      <c r="F926" s="6">
        <v>3506</v>
      </c>
      <c r="G926" s="6">
        <v>3</v>
      </c>
      <c r="H926" s="6">
        <v>3</v>
      </c>
      <c r="I926" s="6" t="s">
        <v>13</v>
      </c>
      <c r="J926" s="6" t="str">
        <f>IF(Employee[[#This Row],[Attrition]]="Yes","Resigned","Active")</f>
        <v>Active</v>
      </c>
    </row>
    <row r="927" spans="1:10" x14ac:dyDescent="0.25">
      <c r="A927" s="6">
        <v>1292</v>
      </c>
      <c r="B927" s="6">
        <v>42</v>
      </c>
      <c r="C927" s="5" t="s">
        <v>11</v>
      </c>
      <c r="D927" s="5" t="s">
        <v>12</v>
      </c>
      <c r="E927" s="6">
        <v>2</v>
      </c>
      <c r="F927" s="6">
        <v>2372</v>
      </c>
      <c r="G927" s="6">
        <v>1</v>
      </c>
      <c r="H927" s="6">
        <v>3</v>
      </c>
      <c r="I927" s="6" t="s">
        <v>13</v>
      </c>
      <c r="J927" s="6" t="str">
        <f>IF(Employee[[#This Row],[Attrition]]="Yes","Resigned","Active")</f>
        <v>Active</v>
      </c>
    </row>
    <row r="928" spans="1:10" x14ac:dyDescent="0.25">
      <c r="A928" s="6">
        <v>1293</v>
      </c>
      <c r="B928" s="6">
        <v>43</v>
      </c>
      <c r="C928" s="5" t="s">
        <v>8</v>
      </c>
      <c r="D928" s="5" t="s">
        <v>9</v>
      </c>
      <c r="E928" s="6">
        <v>3</v>
      </c>
      <c r="F928" s="6">
        <v>10231</v>
      </c>
      <c r="G928" s="6">
        <v>21</v>
      </c>
      <c r="H928" s="6">
        <v>4</v>
      </c>
      <c r="I928" s="6" t="s">
        <v>13</v>
      </c>
      <c r="J928" s="6" t="str">
        <f>IF(Employee[[#This Row],[Attrition]]="Yes","Resigned","Active")</f>
        <v>Active</v>
      </c>
    </row>
    <row r="929" spans="1:10" x14ac:dyDescent="0.25">
      <c r="A929" s="6">
        <v>1294</v>
      </c>
      <c r="B929" s="6">
        <v>36</v>
      </c>
      <c r="C929" s="5" t="s">
        <v>11</v>
      </c>
      <c r="D929" s="5" t="s">
        <v>15</v>
      </c>
      <c r="E929" s="6">
        <v>2</v>
      </c>
      <c r="F929" s="6">
        <v>5410</v>
      </c>
      <c r="G929" s="6">
        <v>16</v>
      </c>
      <c r="H929" s="6">
        <v>3</v>
      </c>
      <c r="I929" s="6" t="s">
        <v>13</v>
      </c>
      <c r="J929" s="6" t="str">
        <f>IF(Employee[[#This Row],[Attrition]]="Yes","Resigned","Active")</f>
        <v>Active</v>
      </c>
    </row>
    <row r="930" spans="1:10" x14ac:dyDescent="0.25">
      <c r="A930" s="6">
        <v>1295</v>
      </c>
      <c r="B930" s="6">
        <v>44</v>
      </c>
      <c r="C930" s="5" t="s">
        <v>11</v>
      </c>
      <c r="D930" s="5" t="s">
        <v>16</v>
      </c>
      <c r="E930" s="6">
        <v>3</v>
      </c>
      <c r="F930" s="6">
        <v>7978</v>
      </c>
      <c r="G930" s="6">
        <v>10</v>
      </c>
      <c r="H930" s="6">
        <v>3</v>
      </c>
      <c r="I930" s="6" t="s">
        <v>10</v>
      </c>
      <c r="J930" s="6" t="str">
        <f>IF(Employee[[#This Row],[Attrition]]="Yes","Resigned","Active")</f>
        <v>Resigned</v>
      </c>
    </row>
    <row r="931" spans="1:10" x14ac:dyDescent="0.25">
      <c r="A931" s="6">
        <v>1296</v>
      </c>
      <c r="B931" s="6">
        <v>28</v>
      </c>
      <c r="C931" s="5" t="s">
        <v>11</v>
      </c>
      <c r="D931" s="5" t="s">
        <v>14</v>
      </c>
      <c r="E931" s="6">
        <v>1</v>
      </c>
      <c r="F931" s="6">
        <v>3867</v>
      </c>
      <c r="G931" s="6">
        <v>2</v>
      </c>
      <c r="H931" s="6">
        <v>3</v>
      </c>
      <c r="I931" s="6" t="s">
        <v>13</v>
      </c>
      <c r="J931" s="6" t="str">
        <f>IF(Employee[[#This Row],[Attrition]]="Yes","Resigned","Active")</f>
        <v>Active</v>
      </c>
    </row>
    <row r="932" spans="1:10" x14ac:dyDescent="0.25">
      <c r="A932" s="6">
        <v>1297</v>
      </c>
      <c r="B932" s="6">
        <v>51</v>
      </c>
      <c r="C932" s="5" t="s">
        <v>11</v>
      </c>
      <c r="D932" s="5" t="s">
        <v>14</v>
      </c>
      <c r="E932" s="6">
        <v>1</v>
      </c>
      <c r="F932" s="6">
        <v>2838</v>
      </c>
      <c r="G932" s="6">
        <v>7</v>
      </c>
      <c r="H932" s="6">
        <v>2</v>
      </c>
      <c r="I932" s="6" t="s">
        <v>13</v>
      </c>
      <c r="J932" s="6" t="str">
        <f>IF(Employee[[#This Row],[Attrition]]="Yes","Resigned","Active")</f>
        <v>Active</v>
      </c>
    </row>
    <row r="933" spans="1:10" x14ac:dyDescent="0.25">
      <c r="A933" s="6">
        <v>1298</v>
      </c>
      <c r="B933" s="6">
        <v>30</v>
      </c>
      <c r="C933" s="5" t="s">
        <v>11</v>
      </c>
      <c r="D933" s="5" t="s">
        <v>15</v>
      </c>
      <c r="E933" s="6">
        <v>2</v>
      </c>
      <c r="F933" s="6">
        <v>4695</v>
      </c>
      <c r="G933" s="6">
        <v>8</v>
      </c>
      <c r="H933" s="6">
        <v>3</v>
      </c>
      <c r="I933" s="6" t="s">
        <v>13</v>
      </c>
      <c r="J933" s="6" t="str">
        <f>IF(Employee[[#This Row],[Attrition]]="Yes","Resigned","Active")</f>
        <v>Active</v>
      </c>
    </row>
    <row r="934" spans="1:10" x14ac:dyDescent="0.25">
      <c r="A934" s="6">
        <v>1299</v>
      </c>
      <c r="B934" s="6">
        <v>29</v>
      </c>
      <c r="C934" s="5" t="s">
        <v>11</v>
      </c>
      <c r="D934" s="5" t="s">
        <v>14</v>
      </c>
      <c r="E934" s="6">
        <v>1</v>
      </c>
      <c r="F934" s="6">
        <v>3339</v>
      </c>
      <c r="G934" s="6">
        <v>7</v>
      </c>
      <c r="H934" s="6">
        <v>3</v>
      </c>
      <c r="I934" s="6" t="s">
        <v>10</v>
      </c>
      <c r="J934" s="6" t="str">
        <f>IF(Employee[[#This Row],[Attrition]]="Yes","Resigned","Active")</f>
        <v>Resigned</v>
      </c>
    </row>
    <row r="935" spans="1:10" x14ac:dyDescent="0.25">
      <c r="A935" s="6">
        <v>1301</v>
      </c>
      <c r="B935" s="6">
        <v>28</v>
      </c>
      <c r="C935" s="5" t="s">
        <v>11</v>
      </c>
      <c r="D935" s="5" t="s">
        <v>12</v>
      </c>
      <c r="E935" s="6">
        <v>1</v>
      </c>
      <c r="F935" s="6">
        <v>2080</v>
      </c>
      <c r="G935" s="6">
        <v>3</v>
      </c>
      <c r="H935" s="6">
        <v>2</v>
      </c>
      <c r="I935" s="6" t="s">
        <v>13</v>
      </c>
      <c r="J935" s="6" t="str">
        <f>IF(Employee[[#This Row],[Attrition]]="Yes","Resigned","Active")</f>
        <v>Active</v>
      </c>
    </row>
    <row r="936" spans="1:10" x14ac:dyDescent="0.25">
      <c r="A936" s="6">
        <v>1303</v>
      </c>
      <c r="B936" s="6">
        <v>25</v>
      </c>
      <c r="C936" s="5" t="s">
        <v>11</v>
      </c>
      <c r="D936" s="5" t="s">
        <v>12</v>
      </c>
      <c r="E936" s="6">
        <v>1</v>
      </c>
      <c r="F936" s="6">
        <v>2096</v>
      </c>
      <c r="G936" s="6">
        <v>2</v>
      </c>
      <c r="H936" s="6">
        <v>2</v>
      </c>
      <c r="I936" s="6" t="s">
        <v>13</v>
      </c>
      <c r="J936" s="6" t="str">
        <f>IF(Employee[[#This Row],[Attrition]]="Yes","Resigned","Active")</f>
        <v>Active</v>
      </c>
    </row>
    <row r="937" spans="1:10" x14ac:dyDescent="0.25">
      <c r="A937" s="6">
        <v>1304</v>
      </c>
      <c r="B937" s="6">
        <v>32</v>
      </c>
      <c r="C937" s="5" t="s">
        <v>8</v>
      </c>
      <c r="D937" s="5" t="s">
        <v>9</v>
      </c>
      <c r="E937" s="6">
        <v>2</v>
      </c>
      <c r="F937" s="6">
        <v>6209</v>
      </c>
      <c r="G937" s="6">
        <v>10</v>
      </c>
      <c r="H937" s="6">
        <v>4</v>
      </c>
      <c r="I937" s="6" t="s">
        <v>13</v>
      </c>
      <c r="J937" s="6" t="str">
        <f>IF(Employee[[#This Row],[Attrition]]="Yes","Resigned","Active")</f>
        <v>Active</v>
      </c>
    </row>
    <row r="938" spans="1:10" x14ac:dyDescent="0.25">
      <c r="A938" s="6">
        <v>1306</v>
      </c>
      <c r="B938" s="6">
        <v>45</v>
      </c>
      <c r="C938" s="5" t="s">
        <v>11</v>
      </c>
      <c r="D938" s="5" t="s">
        <v>17</v>
      </c>
      <c r="E938" s="6">
        <v>5</v>
      </c>
      <c r="F938" s="6">
        <v>18061</v>
      </c>
      <c r="G938" s="6">
        <v>0</v>
      </c>
      <c r="H938" s="6">
        <v>3</v>
      </c>
      <c r="I938" s="6" t="s">
        <v>13</v>
      </c>
      <c r="J938" s="6" t="str">
        <f>IF(Employee[[#This Row],[Attrition]]="Yes","Resigned","Active")</f>
        <v>Active</v>
      </c>
    </row>
    <row r="939" spans="1:10" x14ac:dyDescent="0.25">
      <c r="A939" s="6">
        <v>1307</v>
      </c>
      <c r="B939" s="6">
        <v>39</v>
      </c>
      <c r="C939" s="5" t="s">
        <v>11</v>
      </c>
      <c r="D939" s="5" t="s">
        <v>17</v>
      </c>
      <c r="E939" s="6">
        <v>4</v>
      </c>
      <c r="F939" s="6">
        <v>17123</v>
      </c>
      <c r="G939" s="6">
        <v>19</v>
      </c>
      <c r="H939" s="6">
        <v>3</v>
      </c>
      <c r="I939" s="6" t="s">
        <v>13</v>
      </c>
      <c r="J939" s="6" t="str">
        <f>IF(Employee[[#This Row],[Attrition]]="Yes","Resigned","Active")</f>
        <v>Active</v>
      </c>
    </row>
    <row r="940" spans="1:10" x14ac:dyDescent="0.25">
      <c r="A940" s="6">
        <v>1308</v>
      </c>
      <c r="B940" s="6">
        <v>58</v>
      </c>
      <c r="C940" s="5" t="s">
        <v>11</v>
      </c>
      <c r="D940" s="5" t="s">
        <v>12</v>
      </c>
      <c r="E940" s="6">
        <v>1</v>
      </c>
      <c r="F940" s="6">
        <v>2372</v>
      </c>
      <c r="G940" s="6">
        <v>2</v>
      </c>
      <c r="H940" s="6">
        <v>3</v>
      </c>
      <c r="I940" s="6" t="s">
        <v>13</v>
      </c>
      <c r="J940" s="6" t="str">
        <f>IF(Employee[[#This Row],[Attrition]]="Yes","Resigned","Active")</f>
        <v>Active</v>
      </c>
    </row>
    <row r="941" spans="1:10" x14ac:dyDescent="0.25">
      <c r="A941" s="6">
        <v>1309</v>
      </c>
      <c r="B941" s="6">
        <v>32</v>
      </c>
      <c r="C941" s="5" t="s">
        <v>11</v>
      </c>
      <c r="D941" s="5" t="s">
        <v>14</v>
      </c>
      <c r="E941" s="6">
        <v>2</v>
      </c>
      <c r="F941" s="6">
        <v>4883</v>
      </c>
      <c r="G941" s="6">
        <v>10</v>
      </c>
      <c r="H941" s="6">
        <v>3</v>
      </c>
      <c r="I941" s="6" t="s">
        <v>10</v>
      </c>
      <c r="J941" s="6" t="str">
        <f>IF(Employee[[#This Row],[Attrition]]="Yes","Resigned","Active")</f>
        <v>Resigned</v>
      </c>
    </row>
    <row r="942" spans="1:10" x14ac:dyDescent="0.25">
      <c r="A942" s="6">
        <v>1310</v>
      </c>
      <c r="B942" s="6">
        <v>39</v>
      </c>
      <c r="C942" s="5" t="s">
        <v>11</v>
      </c>
      <c r="D942" s="5" t="s">
        <v>12</v>
      </c>
      <c r="E942" s="6">
        <v>1</v>
      </c>
      <c r="F942" s="6">
        <v>3904</v>
      </c>
      <c r="G942" s="6">
        <v>5</v>
      </c>
      <c r="H942" s="6">
        <v>3</v>
      </c>
      <c r="I942" s="6" t="s">
        <v>10</v>
      </c>
      <c r="J942" s="6" t="str">
        <f>IF(Employee[[#This Row],[Attrition]]="Yes","Resigned","Active")</f>
        <v>Resigned</v>
      </c>
    </row>
    <row r="943" spans="1:10" x14ac:dyDescent="0.25">
      <c r="A943" s="6">
        <v>1311</v>
      </c>
      <c r="B943" s="6">
        <v>30</v>
      </c>
      <c r="C943" s="5" t="s">
        <v>11</v>
      </c>
      <c r="D943" s="5" t="s">
        <v>14</v>
      </c>
      <c r="E943" s="6">
        <v>2</v>
      </c>
      <c r="F943" s="6">
        <v>4627</v>
      </c>
      <c r="G943" s="6">
        <v>9</v>
      </c>
      <c r="H943" s="6">
        <v>3</v>
      </c>
      <c r="I943" s="6" t="s">
        <v>13</v>
      </c>
      <c r="J943" s="6" t="str">
        <f>IF(Employee[[#This Row],[Attrition]]="Yes","Resigned","Active")</f>
        <v>Active</v>
      </c>
    </row>
    <row r="944" spans="1:10" x14ac:dyDescent="0.25">
      <c r="A944" s="6">
        <v>1312</v>
      </c>
      <c r="B944" s="6">
        <v>36</v>
      </c>
      <c r="C944" s="5" t="s">
        <v>11</v>
      </c>
      <c r="D944" s="5" t="s">
        <v>16</v>
      </c>
      <c r="E944" s="6">
        <v>3</v>
      </c>
      <c r="F944" s="6">
        <v>7094</v>
      </c>
      <c r="G944" s="6">
        <v>7</v>
      </c>
      <c r="H944" s="6">
        <v>3</v>
      </c>
      <c r="I944" s="6" t="s">
        <v>13</v>
      </c>
      <c r="J944" s="6" t="str">
        <f>IF(Employee[[#This Row],[Attrition]]="Yes","Resigned","Active")</f>
        <v>Active</v>
      </c>
    </row>
    <row r="945" spans="1:10" x14ac:dyDescent="0.25">
      <c r="A945" s="6">
        <v>1314</v>
      </c>
      <c r="B945" s="6">
        <v>46</v>
      </c>
      <c r="C945" s="5" t="s">
        <v>20</v>
      </c>
      <c r="D945" s="5" t="s">
        <v>20</v>
      </c>
      <c r="E945" s="6">
        <v>1</v>
      </c>
      <c r="F945" s="6">
        <v>3423</v>
      </c>
      <c r="G945" s="6">
        <v>7</v>
      </c>
      <c r="H945" s="6">
        <v>4</v>
      </c>
      <c r="I945" s="6" t="s">
        <v>13</v>
      </c>
      <c r="J945" s="6" t="str">
        <f>IF(Employee[[#This Row],[Attrition]]="Yes","Resigned","Active")</f>
        <v>Active</v>
      </c>
    </row>
    <row r="946" spans="1:10" x14ac:dyDescent="0.25">
      <c r="A946" s="6">
        <v>1315</v>
      </c>
      <c r="B946" s="6">
        <v>28</v>
      </c>
      <c r="C946" s="5" t="s">
        <v>11</v>
      </c>
      <c r="D946" s="5" t="s">
        <v>14</v>
      </c>
      <c r="E946" s="6">
        <v>2</v>
      </c>
      <c r="F946" s="6">
        <v>6674</v>
      </c>
      <c r="G946" s="6">
        <v>9</v>
      </c>
      <c r="H946" s="6">
        <v>3</v>
      </c>
      <c r="I946" s="6" t="s">
        <v>13</v>
      </c>
      <c r="J946" s="6" t="str">
        <f>IF(Employee[[#This Row],[Attrition]]="Yes","Resigned","Active")</f>
        <v>Active</v>
      </c>
    </row>
    <row r="947" spans="1:10" x14ac:dyDescent="0.25">
      <c r="A947" s="6">
        <v>1317</v>
      </c>
      <c r="B947" s="6">
        <v>50</v>
      </c>
      <c r="C947" s="5" t="s">
        <v>11</v>
      </c>
      <c r="D947" s="5" t="s">
        <v>19</v>
      </c>
      <c r="E947" s="6">
        <v>4</v>
      </c>
      <c r="F947" s="6">
        <v>16880</v>
      </c>
      <c r="G947" s="6">
        <v>3</v>
      </c>
      <c r="H947" s="6">
        <v>3</v>
      </c>
      <c r="I947" s="6" t="s">
        <v>13</v>
      </c>
      <c r="J947" s="6" t="str">
        <f>IF(Employee[[#This Row],[Attrition]]="Yes","Resigned","Active")</f>
        <v>Active</v>
      </c>
    </row>
    <row r="948" spans="1:10" x14ac:dyDescent="0.25">
      <c r="A948" s="6">
        <v>1318</v>
      </c>
      <c r="B948" s="6">
        <v>40</v>
      </c>
      <c r="C948" s="5" t="s">
        <v>8</v>
      </c>
      <c r="D948" s="5" t="s">
        <v>9</v>
      </c>
      <c r="E948" s="6">
        <v>3</v>
      </c>
      <c r="F948" s="6">
        <v>9094</v>
      </c>
      <c r="G948" s="6">
        <v>5</v>
      </c>
      <c r="H948" s="6">
        <v>3</v>
      </c>
      <c r="I948" s="6" t="s">
        <v>10</v>
      </c>
      <c r="J948" s="6" t="str">
        <f>IF(Employee[[#This Row],[Attrition]]="Yes","Resigned","Active")</f>
        <v>Resigned</v>
      </c>
    </row>
    <row r="949" spans="1:10" x14ac:dyDescent="0.25">
      <c r="A949" s="6">
        <v>1319</v>
      </c>
      <c r="B949" s="6">
        <v>52</v>
      </c>
      <c r="C949" s="5" t="s">
        <v>8</v>
      </c>
      <c r="D949" s="5" t="s">
        <v>9</v>
      </c>
      <c r="E949" s="6">
        <v>3</v>
      </c>
      <c r="F949" s="6">
        <v>8446</v>
      </c>
      <c r="G949" s="6">
        <v>8</v>
      </c>
      <c r="H949" s="6">
        <v>2</v>
      </c>
      <c r="I949" s="6" t="s">
        <v>10</v>
      </c>
      <c r="J949" s="6" t="str">
        <f>IF(Employee[[#This Row],[Attrition]]="Yes","Resigned","Active")</f>
        <v>Resigned</v>
      </c>
    </row>
    <row r="950" spans="1:10" x14ac:dyDescent="0.25">
      <c r="A950" s="6">
        <v>1321</v>
      </c>
      <c r="B950" s="6">
        <v>30</v>
      </c>
      <c r="C950" s="5" t="s">
        <v>11</v>
      </c>
      <c r="D950" s="5" t="s">
        <v>17</v>
      </c>
      <c r="E950" s="6">
        <v>3</v>
      </c>
      <c r="F950" s="6">
        <v>11916</v>
      </c>
      <c r="G950" s="6">
        <v>9</v>
      </c>
      <c r="H950" s="6">
        <v>3</v>
      </c>
      <c r="I950" s="6" t="s">
        <v>13</v>
      </c>
      <c r="J950" s="6" t="str">
        <f>IF(Employee[[#This Row],[Attrition]]="Yes","Resigned","Active")</f>
        <v>Active</v>
      </c>
    </row>
    <row r="951" spans="1:10" x14ac:dyDescent="0.25">
      <c r="A951" s="6">
        <v>1322</v>
      </c>
      <c r="B951" s="6">
        <v>39</v>
      </c>
      <c r="C951" s="5" t="s">
        <v>11</v>
      </c>
      <c r="D951" s="5" t="s">
        <v>15</v>
      </c>
      <c r="E951" s="6">
        <v>2</v>
      </c>
      <c r="F951" s="6">
        <v>4534</v>
      </c>
      <c r="G951" s="6">
        <v>8</v>
      </c>
      <c r="H951" s="6">
        <v>3</v>
      </c>
      <c r="I951" s="6" t="s">
        <v>13</v>
      </c>
      <c r="J951" s="6" t="str">
        <f>IF(Employee[[#This Row],[Attrition]]="Yes","Resigned","Active")</f>
        <v>Active</v>
      </c>
    </row>
    <row r="952" spans="1:10" x14ac:dyDescent="0.25">
      <c r="A952" s="6">
        <v>1324</v>
      </c>
      <c r="B952" s="6">
        <v>31</v>
      </c>
      <c r="C952" s="5" t="s">
        <v>8</v>
      </c>
      <c r="D952" s="5" t="s">
        <v>9</v>
      </c>
      <c r="E952" s="6">
        <v>3</v>
      </c>
      <c r="F952" s="6">
        <v>9852</v>
      </c>
      <c r="G952" s="6">
        <v>10</v>
      </c>
      <c r="H952" s="6">
        <v>2</v>
      </c>
      <c r="I952" s="6" t="s">
        <v>13</v>
      </c>
      <c r="J952" s="6" t="str">
        <f>IF(Employee[[#This Row],[Attrition]]="Yes","Resigned","Active")</f>
        <v>Active</v>
      </c>
    </row>
    <row r="953" spans="1:10" x14ac:dyDescent="0.25">
      <c r="A953" s="6">
        <v>1329</v>
      </c>
      <c r="B953" s="6">
        <v>41</v>
      </c>
      <c r="C953" s="5" t="s">
        <v>8</v>
      </c>
      <c r="D953" s="5" t="s">
        <v>9</v>
      </c>
      <c r="E953" s="6">
        <v>2</v>
      </c>
      <c r="F953" s="6">
        <v>6151</v>
      </c>
      <c r="G953" s="6">
        <v>19</v>
      </c>
      <c r="H953" s="6">
        <v>3</v>
      </c>
      <c r="I953" s="6" t="s">
        <v>13</v>
      </c>
      <c r="J953" s="6" t="str">
        <f>IF(Employee[[#This Row],[Attrition]]="Yes","Resigned","Active")</f>
        <v>Active</v>
      </c>
    </row>
    <row r="954" spans="1:10" x14ac:dyDescent="0.25">
      <c r="A954" s="6">
        <v>1331</v>
      </c>
      <c r="B954" s="6">
        <v>31</v>
      </c>
      <c r="C954" s="5" t="s">
        <v>8</v>
      </c>
      <c r="D954" s="5" t="s">
        <v>18</v>
      </c>
      <c r="E954" s="6">
        <v>1</v>
      </c>
      <c r="F954" s="6">
        <v>2302</v>
      </c>
      <c r="G954" s="6">
        <v>3</v>
      </c>
      <c r="H954" s="6">
        <v>4</v>
      </c>
      <c r="I954" s="6" t="s">
        <v>10</v>
      </c>
      <c r="J954" s="6" t="str">
        <f>IF(Employee[[#This Row],[Attrition]]="Yes","Resigned","Active")</f>
        <v>Resigned</v>
      </c>
    </row>
    <row r="955" spans="1:10" x14ac:dyDescent="0.25">
      <c r="A955" s="6">
        <v>1333</v>
      </c>
      <c r="B955" s="6">
        <v>44</v>
      </c>
      <c r="C955" s="5" t="s">
        <v>11</v>
      </c>
      <c r="D955" s="5" t="s">
        <v>14</v>
      </c>
      <c r="E955" s="6">
        <v>1</v>
      </c>
      <c r="F955" s="6">
        <v>2362</v>
      </c>
      <c r="G955" s="6">
        <v>3</v>
      </c>
      <c r="H955" s="6">
        <v>4</v>
      </c>
      <c r="I955" s="6" t="s">
        <v>10</v>
      </c>
      <c r="J955" s="6" t="str">
        <f>IF(Employee[[#This Row],[Attrition]]="Yes","Resigned","Active")</f>
        <v>Resigned</v>
      </c>
    </row>
    <row r="956" spans="1:10" x14ac:dyDescent="0.25">
      <c r="A956" s="6">
        <v>1334</v>
      </c>
      <c r="B956" s="6">
        <v>42</v>
      </c>
      <c r="C956" s="5" t="s">
        <v>11</v>
      </c>
      <c r="D956" s="5" t="s">
        <v>17</v>
      </c>
      <c r="E956" s="6">
        <v>4</v>
      </c>
      <c r="F956" s="6">
        <v>17861</v>
      </c>
      <c r="G956" s="6">
        <v>20</v>
      </c>
      <c r="H956" s="6">
        <v>2</v>
      </c>
      <c r="I956" s="6" t="s">
        <v>13</v>
      </c>
      <c r="J956" s="6" t="str">
        <f>IF(Employee[[#This Row],[Attrition]]="Yes","Resigned","Active")</f>
        <v>Active</v>
      </c>
    </row>
    <row r="957" spans="1:10" x14ac:dyDescent="0.25">
      <c r="A957" s="6">
        <v>1336</v>
      </c>
      <c r="B957" s="6">
        <v>55</v>
      </c>
      <c r="C957" s="5" t="s">
        <v>11</v>
      </c>
      <c r="D957" s="5" t="s">
        <v>17</v>
      </c>
      <c r="E957" s="6">
        <v>5</v>
      </c>
      <c r="F957" s="6">
        <v>19187</v>
      </c>
      <c r="G957" s="6">
        <v>19</v>
      </c>
      <c r="H957" s="6">
        <v>3</v>
      </c>
      <c r="I957" s="6" t="s">
        <v>13</v>
      </c>
      <c r="J957" s="6" t="str">
        <f>IF(Employee[[#This Row],[Attrition]]="Yes","Resigned","Active")</f>
        <v>Active</v>
      </c>
    </row>
    <row r="958" spans="1:10" x14ac:dyDescent="0.25">
      <c r="A958" s="6">
        <v>1338</v>
      </c>
      <c r="B958" s="6">
        <v>56</v>
      </c>
      <c r="C958" s="5" t="s">
        <v>20</v>
      </c>
      <c r="D958" s="5" t="s">
        <v>17</v>
      </c>
      <c r="E958" s="6">
        <v>5</v>
      </c>
      <c r="F958" s="6">
        <v>19717</v>
      </c>
      <c r="G958" s="6">
        <v>7</v>
      </c>
      <c r="H958" s="6">
        <v>3</v>
      </c>
      <c r="I958" s="6" t="s">
        <v>13</v>
      </c>
      <c r="J958" s="6" t="str">
        <f>IF(Employee[[#This Row],[Attrition]]="Yes","Resigned","Active")</f>
        <v>Active</v>
      </c>
    </row>
    <row r="959" spans="1:10" x14ac:dyDescent="0.25">
      <c r="A959" s="6">
        <v>1340</v>
      </c>
      <c r="B959" s="6">
        <v>40</v>
      </c>
      <c r="C959" s="5" t="s">
        <v>11</v>
      </c>
      <c r="D959" s="5" t="s">
        <v>12</v>
      </c>
      <c r="E959" s="6">
        <v>1</v>
      </c>
      <c r="F959" s="6">
        <v>3544</v>
      </c>
      <c r="G959" s="6">
        <v>4</v>
      </c>
      <c r="H959" s="6">
        <v>3</v>
      </c>
      <c r="I959" s="6" t="s">
        <v>13</v>
      </c>
      <c r="J959" s="6" t="str">
        <f>IF(Employee[[#This Row],[Attrition]]="Yes","Resigned","Active")</f>
        <v>Active</v>
      </c>
    </row>
    <row r="960" spans="1:10" x14ac:dyDescent="0.25">
      <c r="A960" s="6">
        <v>1344</v>
      </c>
      <c r="B960" s="6">
        <v>34</v>
      </c>
      <c r="C960" s="5" t="s">
        <v>11</v>
      </c>
      <c r="D960" s="5" t="s">
        <v>16</v>
      </c>
      <c r="E960" s="6">
        <v>3</v>
      </c>
      <c r="F960" s="6">
        <v>8500</v>
      </c>
      <c r="G960" s="6">
        <v>9</v>
      </c>
      <c r="H960" s="6">
        <v>2</v>
      </c>
      <c r="I960" s="6" t="s">
        <v>13</v>
      </c>
      <c r="J960" s="6" t="str">
        <f>IF(Employee[[#This Row],[Attrition]]="Yes","Resigned","Active")</f>
        <v>Active</v>
      </c>
    </row>
    <row r="961" spans="1:10" x14ac:dyDescent="0.25">
      <c r="A961" s="6">
        <v>1346</v>
      </c>
      <c r="B961" s="6">
        <v>40</v>
      </c>
      <c r="C961" s="5" t="s">
        <v>11</v>
      </c>
      <c r="D961" s="5" t="s">
        <v>12</v>
      </c>
      <c r="E961" s="6">
        <v>2</v>
      </c>
      <c r="F961" s="6">
        <v>4661</v>
      </c>
      <c r="G961" s="6">
        <v>9</v>
      </c>
      <c r="H961" s="6">
        <v>3</v>
      </c>
      <c r="I961" s="6" t="s">
        <v>13</v>
      </c>
      <c r="J961" s="6" t="str">
        <f>IF(Employee[[#This Row],[Attrition]]="Yes","Resigned","Active")</f>
        <v>Active</v>
      </c>
    </row>
    <row r="962" spans="1:10" x14ac:dyDescent="0.25">
      <c r="A962" s="6">
        <v>1349</v>
      </c>
      <c r="B962" s="6">
        <v>41</v>
      </c>
      <c r="C962" s="5" t="s">
        <v>8</v>
      </c>
      <c r="D962" s="5" t="s">
        <v>9</v>
      </c>
      <c r="E962" s="6">
        <v>2</v>
      </c>
      <c r="F962" s="6">
        <v>4103</v>
      </c>
      <c r="G962" s="6">
        <v>9</v>
      </c>
      <c r="H962" s="6">
        <v>3</v>
      </c>
      <c r="I962" s="6" t="s">
        <v>13</v>
      </c>
      <c r="J962" s="6" t="str">
        <f>IF(Employee[[#This Row],[Attrition]]="Yes","Resigned","Active")</f>
        <v>Active</v>
      </c>
    </row>
    <row r="963" spans="1:10" x14ac:dyDescent="0.25">
      <c r="A963" s="6">
        <v>1350</v>
      </c>
      <c r="B963" s="6">
        <v>35</v>
      </c>
      <c r="C963" s="5" t="s">
        <v>11</v>
      </c>
      <c r="D963" s="5" t="s">
        <v>12</v>
      </c>
      <c r="E963" s="6">
        <v>2</v>
      </c>
      <c r="F963" s="6">
        <v>4249</v>
      </c>
      <c r="G963" s="6">
        <v>9</v>
      </c>
      <c r="H963" s="6">
        <v>3</v>
      </c>
      <c r="I963" s="6" t="s">
        <v>13</v>
      </c>
      <c r="J963" s="6" t="str">
        <f>IF(Employee[[#This Row],[Attrition]]="Yes","Resigned","Active")</f>
        <v>Active</v>
      </c>
    </row>
    <row r="964" spans="1:10" x14ac:dyDescent="0.25">
      <c r="A964" s="6">
        <v>1352</v>
      </c>
      <c r="B964" s="6">
        <v>51</v>
      </c>
      <c r="C964" s="5" t="s">
        <v>20</v>
      </c>
      <c r="D964" s="5" t="s">
        <v>17</v>
      </c>
      <c r="E964" s="6">
        <v>4</v>
      </c>
      <c r="F964" s="6">
        <v>14026</v>
      </c>
      <c r="G964" s="6">
        <v>33</v>
      </c>
      <c r="H964" s="6">
        <v>3</v>
      </c>
      <c r="I964" s="6" t="s">
        <v>13</v>
      </c>
      <c r="J964" s="6" t="str">
        <f>IF(Employee[[#This Row],[Attrition]]="Yes","Resigned","Active")</f>
        <v>Active</v>
      </c>
    </row>
    <row r="965" spans="1:10" x14ac:dyDescent="0.25">
      <c r="A965" s="6">
        <v>1355</v>
      </c>
      <c r="B965" s="6">
        <v>38</v>
      </c>
      <c r="C965" s="5" t="s">
        <v>8</v>
      </c>
      <c r="D965" s="5" t="s">
        <v>9</v>
      </c>
      <c r="E965" s="6">
        <v>2</v>
      </c>
      <c r="F965" s="6">
        <v>6893</v>
      </c>
      <c r="G965" s="6">
        <v>7</v>
      </c>
      <c r="H965" s="6">
        <v>3</v>
      </c>
      <c r="I965" s="6" t="s">
        <v>13</v>
      </c>
      <c r="J965" s="6" t="str">
        <f>IF(Employee[[#This Row],[Attrition]]="Yes","Resigned","Active")</f>
        <v>Active</v>
      </c>
    </row>
    <row r="966" spans="1:10" x14ac:dyDescent="0.25">
      <c r="A966" s="6">
        <v>1356</v>
      </c>
      <c r="B966" s="6">
        <v>34</v>
      </c>
      <c r="C966" s="5" t="s">
        <v>8</v>
      </c>
      <c r="D966" s="5" t="s">
        <v>9</v>
      </c>
      <c r="E966" s="6">
        <v>2</v>
      </c>
      <c r="F966" s="6">
        <v>6125</v>
      </c>
      <c r="G966" s="6">
        <v>10</v>
      </c>
      <c r="H966" s="6">
        <v>4</v>
      </c>
      <c r="I966" s="6" t="s">
        <v>13</v>
      </c>
      <c r="J966" s="6" t="str">
        <f>IF(Employee[[#This Row],[Attrition]]="Yes","Resigned","Active")</f>
        <v>Active</v>
      </c>
    </row>
    <row r="967" spans="1:10" x14ac:dyDescent="0.25">
      <c r="A967" s="6">
        <v>1358</v>
      </c>
      <c r="B967" s="6">
        <v>25</v>
      </c>
      <c r="C967" s="5" t="s">
        <v>11</v>
      </c>
      <c r="D967" s="5" t="s">
        <v>14</v>
      </c>
      <c r="E967" s="6">
        <v>1</v>
      </c>
      <c r="F967" s="6">
        <v>3669</v>
      </c>
      <c r="G967" s="6">
        <v>3</v>
      </c>
      <c r="H967" s="6">
        <v>2</v>
      </c>
      <c r="I967" s="6" t="s">
        <v>13</v>
      </c>
      <c r="J967" s="6" t="str">
        <f>IF(Employee[[#This Row],[Attrition]]="Yes","Resigned","Active")</f>
        <v>Active</v>
      </c>
    </row>
    <row r="968" spans="1:10" x14ac:dyDescent="0.25">
      <c r="A968" s="6">
        <v>1360</v>
      </c>
      <c r="B968" s="6">
        <v>58</v>
      </c>
      <c r="C968" s="5" t="s">
        <v>11</v>
      </c>
      <c r="D968" s="5" t="s">
        <v>15</v>
      </c>
      <c r="E968" s="6">
        <v>3</v>
      </c>
      <c r="F968" s="6">
        <v>10008</v>
      </c>
      <c r="G968" s="6">
        <v>10</v>
      </c>
      <c r="H968" s="6">
        <v>2</v>
      </c>
      <c r="I968" s="6" t="s">
        <v>10</v>
      </c>
      <c r="J968" s="6" t="str">
        <f>IF(Employee[[#This Row],[Attrition]]="Yes","Resigned","Active")</f>
        <v>Resigned</v>
      </c>
    </row>
    <row r="969" spans="1:10" x14ac:dyDescent="0.25">
      <c r="A969" s="6">
        <v>1361</v>
      </c>
      <c r="B969" s="6">
        <v>40</v>
      </c>
      <c r="C969" s="5" t="s">
        <v>11</v>
      </c>
      <c r="D969" s="5" t="s">
        <v>14</v>
      </c>
      <c r="E969" s="6">
        <v>1</v>
      </c>
      <c r="F969" s="6">
        <v>2387</v>
      </c>
      <c r="G969" s="6">
        <v>4</v>
      </c>
      <c r="H969" s="6">
        <v>3</v>
      </c>
      <c r="I969" s="6" t="s">
        <v>13</v>
      </c>
      <c r="J969" s="6" t="str">
        <f>IF(Employee[[#This Row],[Attrition]]="Yes","Resigned","Active")</f>
        <v>Active</v>
      </c>
    </row>
    <row r="970" spans="1:10" x14ac:dyDescent="0.25">
      <c r="A970" s="6">
        <v>1362</v>
      </c>
      <c r="B970" s="6">
        <v>36</v>
      </c>
      <c r="C970" s="5" t="s">
        <v>8</v>
      </c>
      <c r="D970" s="5" t="s">
        <v>9</v>
      </c>
      <c r="E970" s="6">
        <v>2</v>
      </c>
      <c r="F970" s="6">
        <v>4639</v>
      </c>
      <c r="G970" s="6">
        <v>15</v>
      </c>
      <c r="H970" s="6">
        <v>2</v>
      </c>
      <c r="I970" s="6" t="s">
        <v>13</v>
      </c>
      <c r="J970" s="6" t="str">
        <f>IF(Employee[[#This Row],[Attrition]]="Yes","Resigned","Active")</f>
        <v>Active</v>
      </c>
    </row>
    <row r="971" spans="1:10" x14ac:dyDescent="0.25">
      <c r="A971" s="6">
        <v>1363</v>
      </c>
      <c r="B971" s="6">
        <v>48</v>
      </c>
      <c r="C971" s="5" t="s">
        <v>11</v>
      </c>
      <c r="D971" s="5" t="s">
        <v>15</v>
      </c>
      <c r="E971" s="6">
        <v>3</v>
      </c>
      <c r="F971" s="6">
        <v>7898</v>
      </c>
      <c r="G971" s="6">
        <v>10</v>
      </c>
      <c r="H971" s="6">
        <v>3</v>
      </c>
      <c r="I971" s="6" t="s">
        <v>13</v>
      </c>
      <c r="J971" s="6" t="str">
        <f>IF(Employee[[#This Row],[Attrition]]="Yes","Resigned","Active")</f>
        <v>Active</v>
      </c>
    </row>
    <row r="972" spans="1:10" x14ac:dyDescent="0.25">
      <c r="A972" s="6">
        <v>1364</v>
      </c>
      <c r="B972" s="6">
        <v>27</v>
      </c>
      <c r="C972" s="5" t="s">
        <v>8</v>
      </c>
      <c r="D972" s="5" t="s">
        <v>18</v>
      </c>
      <c r="E972" s="6">
        <v>1</v>
      </c>
      <c r="F972" s="6">
        <v>2534</v>
      </c>
      <c r="G972" s="6">
        <v>1</v>
      </c>
      <c r="H972" s="6">
        <v>3</v>
      </c>
      <c r="I972" s="6" t="s">
        <v>13</v>
      </c>
      <c r="J972" s="6" t="str">
        <f>IF(Employee[[#This Row],[Attrition]]="Yes","Resigned","Active")</f>
        <v>Active</v>
      </c>
    </row>
    <row r="973" spans="1:10" x14ac:dyDescent="0.25">
      <c r="A973" s="6">
        <v>1367</v>
      </c>
      <c r="B973" s="6">
        <v>51</v>
      </c>
      <c r="C973" s="5" t="s">
        <v>11</v>
      </c>
      <c r="D973" s="5" t="s">
        <v>15</v>
      </c>
      <c r="E973" s="6">
        <v>4</v>
      </c>
      <c r="F973" s="6">
        <v>13142</v>
      </c>
      <c r="G973" s="6">
        <v>5</v>
      </c>
      <c r="H973" s="6">
        <v>2</v>
      </c>
      <c r="I973" s="6" t="s">
        <v>13</v>
      </c>
      <c r="J973" s="6" t="str">
        <f>IF(Employee[[#This Row],[Attrition]]="Yes","Resigned","Active")</f>
        <v>Active</v>
      </c>
    </row>
    <row r="974" spans="1:10" x14ac:dyDescent="0.25">
      <c r="A974" s="6">
        <v>1368</v>
      </c>
      <c r="B974" s="6">
        <v>18</v>
      </c>
      <c r="C974" s="5" t="s">
        <v>11</v>
      </c>
      <c r="D974" s="5" t="s">
        <v>14</v>
      </c>
      <c r="E974" s="6">
        <v>1</v>
      </c>
      <c r="F974" s="6">
        <v>1611</v>
      </c>
      <c r="G974" s="6">
        <v>0</v>
      </c>
      <c r="H974" s="6">
        <v>4</v>
      </c>
      <c r="I974" s="6" t="s">
        <v>13</v>
      </c>
      <c r="J974" s="6" t="str">
        <f>IF(Employee[[#This Row],[Attrition]]="Yes","Resigned","Active")</f>
        <v>Active</v>
      </c>
    </row>
    <row r="975" spans="1:10" x14ac:dyDescent="0.25">
      <c r="A975" s="6">
        <v>1369</v>
      </c>
      <c r="B975" s="6">
        <v>35</v>
      </c>
      <c r="C975" s="5" t="s">
        <v>11</v>
      </c>
      <c r="D975" s="5" t="s">
        <v>14</v>
      </c>
      <c r="E975" s="6">
        <v>2</v>
      </c>
      <c r="F975" s="6">
        <v>5363</v>
      </c>
      <c r="G975" s="6">
        <v>9</v>
      </c>
      <c r="H975" s="6">
        <v>3</v>
      </c>
      <c r="I975" s="6" t="s">
        <v>13</v>
      </c>
      <c r="J975" s="6" t="str">
        <f>IF(Employee[[#This Row],[Attrition]]="Yes","Resigned","Active")</f>
        <v>Active</v>
      </c>
    </row>
    <row r="976" spans="1:10" x14ac:dyDescent="0.25">
      <c r="A976" s="6">
        <v>1371</v>
      </c>
      <c r="B976" s="6">
        <v>27</v>
      </c>
      <c r="C976" s="5" t="s">
        <v>8</v>
      </c>
      <c r="D976" s="5" t="s">
        <v>9</v>
      </c>
      <c r="E976" s="6">
        <v>2</v>
      </c>
      <c r="F976" s="6">
        <v>5071</v>
      </c>
      <c r="G976" s="6">
        <v>6</v>
      </c>
      <c r="H976" s="6">
        <v>3</v>
      </c>
      <c r="I976" s="6" t="s">
        <v>13</v>
      </c>
      <c r="J976" s="6" t="str">
        <f>IF(Employee[[#This Row],[Attrition]]="Yes","Resigned","Active")</f>
        <v>Active</v>
      </c>
    </row>
    <row r="977" spans="1:10" x14ac:dyDescent="0.25">
      <c r="A977" s="6">
        <v>1372</v>
      </c>
      <c r="B977" s="6">
        <v>55</v>
      </c>
      <c r="C977" s="5" t="s">
        <v>8</v>
      </c>
      <c r="D977" s="5" t="s">
        <v>9</v>
      </c>
      <c r="E977" s="6">
        <v>4</v>
      </c>
      <c r="F977" s="6">
        <v>13695</v>
      </c>
      <c r="G977" s="6">
        <v>19</v>
      </c>
      <c r="H977" s="6">
        <v>2</v>
      </c>
      <c r="I977" s="6" t="s">
        <v>10</v>
      </c>
      <c r="J977" s="6" t="str">
        <f>IF(Employee[[#This Row],[Attrition]]="Yes","Resigned","Active")</f>
        <v>Resigned</v>
      </c>
    </row>
    <row r="978" spans="1:10" x14ac:dyDescent="0.25">
      <c r="A978" s="6">
        <v>1373</v>
      </c>
      <c r="B978" s="6">
        <v>56</v>
      </c>
      <c r="C978" s="5" t="s">
        <v>11</v>
      </c>
      <c r="D978" s="5" t="s">
        <v>15</v>
      </c>
      <c r="E978" s="6">
        <v>4</v>
      </c>
      <c r="F978" s="6">
        <v>13402</v>
      </c>
      <c r="G978" s="6">
        <v>19</v>
      </c>
      <c r="H978" s="6">
        <v>3</v>
      </c>
      <c r="I978" s="6" t="s">
        <v>13</v>
      </c>
      <c r="J978" s="6" t="str">
        <f>IF(Employee[[#This Row],[Attrition]]="Yes","Resigned","Active")</f>
        <v>Active</v>
      </c>
    </row>
    <row r="979" spans="1:10" x14ac:dyDescent="0.25">
      <c r="A979" s="6">
        <v>1374</v>
      </c>
      <c r="B979" s="6">
        <v>34</v>
      </c>
      <c r="C979" s="5" t="s">
        <v>11</v>
      </c>
      <c r="D979" s="5" t="s">
        <v>12</v>
      </c>
      <c r="E979" s="6">
        <v>1</v>
      </c>
      <c r="F979" s="6">
        <v>2029</v>
      </c>
      <c r="G979" s="6">
        <v>5</v>
      </c>
      <c r="H979" s="6">
        <v>3</v>
      </c>
      <c r="I979" s="6" t="s">
        <v>13</v>
      </c>
      <c r="J979" s="6" t="str">
        <f>IF(Employee[[#This Row],[Attrition]]="Yes","Resigned","Active")</f>
        <v>Active</v>
      </c>
    </row>
    <row r="980" spans="1:10" x14ac:dyDescent="0.25">
      <c r="A980" s="6">
        <v>1375</v>
      </c>
      <c r="B980" s="6">
        <v>40</v>
      </c>
      <c r="C980" s="5" t="s">
        <v>11</v>
      </c>
      <c r="D980" s="5" t="s">
        <v>16</v>
      </c>
      <c r="E980" s="6">
        <v>2</v>
      </c>
      <c r="F980" s="6">
        <v>6377</v>
      </c>
      <c r="G980" s="6">
        <v>12</v>
      </c>
      <c r="H980" s="6">
        <v>3</v>
      </c>
      <c r="I980" s="6" t="s">
        <v>13</v>
      </c>
      <c r="J980" s="6" t="str">
        <f>IF(Employee[[#This Row],[Attrition]]="Yes","Resigned","Active")</f>
        <v>Active</v>
      </c>
    </row>
    <row r="981" spans="1:10" x14ac:dyDescent="0.25">
      <c r="A981" s="6">
        <v>1377</v>
      </c>
      <c r="B981" s="6">
        <v>34</v>
      </c>
      <c r="C981" s="5" t="s">
        <v>11</v>
      </c>
      <c r="D981" s="5" t="s">
        <v>14</v>
      </c>
      <c r="E981" s="6">
        <v>2</v>
      </c>
      <c r="F981" s="6">
        <v>5429</v>
      </c>
      <c r="G981" s="6">
        <v>8</v>
      </c>
      <c r="H981" s="6">
        <v>3</v>
      </c>
      <c r="I981" s="6" t="s">
        <v>13</v>
      </c>
      <c r="J981" s="6" t="str">
        <f>IF(Employee[[#This Row],[Attrition]]="Yes","Resigned","Active")</f>
        <v>Active</v>
      </c>
    </row>
    <row r="982" spans="1:10" x14ac:dyDescent="0.25">
      <c r="A982" s="6">
        <v>1379</v>
      </c>
      <c r="B982" s="6">
        <v>31</v>
      </c>
      <c r="C982" s="5" t="s">
        <v>8</v>
      </c>
      <c r="D982" s="5" t="s">
        <v>18</v>
      </c>
      <c r="E982" s="6">
        <v>1</v>
      </c>
      <c r="F982" s="6">
        <v>2785</v>
      </c>
      <c r="G982" s="6">
        <v>1</v>
      </c>
      <c r="H982" s="6">
        <v>4</v>
      </c>
      <c r="I982" s="6" t="s">
        <v>10</v>
      </c>
      <c r="J982" s="6" t="str">
        <f>IF(Employee[[#This Row],[Attrition]]="Yes","Resigned","Active")</f>
        <v>Resigned</v>
      </c>
    </row>
    <row r="983" spans="1:10" x14ac:dyDescent="0.25">
      <c r="A983" s="6">
        <v>1380</v>
      </c>
      <c r="B983" s="6">
        <v>35</v>
      </c>
      <c r="C983" s="5" t="s">
        <v>8</v>
      </c>
      <c r="D983" s="5" t="s">
        <v>9</v>
      </c>
      <c r="E983" s="6">
        <v>2</v>
      </c>
      <c r="F983" s="6">
        <v>4614</v>
      </c>
      <c r="G983" s="6">
        <v>4</v>
      </c>
      <c r="H983" s="6">
        <v>2</v>
      </c>
      <c r="I983" s="6" t="s">
        <v>10</v>
      </c>
      <c r="J983" s="6" t="str">
        <f>IF(Employee[[#This Row],[Attrition]]="Yes","Resigned","Active")</f>
        <v>Resigned</v>
      </c>
    </row>
    <row r="984" spans="1:10" x14ac:dyDescent="0.25">
      <c r="A984" s="6">
        <v>1382</v>
      </c>
      <c r="B984" s="6">
        <v>38</v>
      </c>
      <c r="C984" s="5" t="s">
        <v>11</v>
      </c>
      <c r="D984" s="5" t="s">
        <v>12</v>
      </c>
      <c r="E984" s="6">
        <v>1</v>
      </c>
      <c r="F984" s="6">
        <v>2610</v>
      </c>
      <c r="G984" s="6">
        <v>4</v>
      </c>
      <c r="H984" s="6">
        <v>3</v>
      </c>
      <c r="I984" s="6" t="s">
        <v>13</v>
      </c>
      <c r="J984" s="6" t="str">
        <f>IF(Employee[[#This Row],[Attrition]]="Yes","Resigned","Active")</f>
        <v>Active</v>
      </c>
    </row>
    <row r="985" spans="1:10" x14ac:dyDescent="0.25">
      <c r="A985" s="6">
        <v>1383</v>
      </c>
      <c r="B985" s="6">
        <v>34</v>
      </c>
      <c r="C985" s="5" t="s">
        <v>11</v>
      </c>
      <c r="D985" s="5" t="s">
        <v>16</v>
      </c>
      <c r="E985" s="6">
        <v>2</v>
      </c>
      <c r="F985" s="6">
        <v>6687</v>
      </c>
      <c r="G985" s="6">
        <v>14</v>
      </c>
      <c r="H985" s="6">
        <v>4</v>
      </c>
      <c r="I985" s="6" t="s">
        <v>13</v>
      </c>
      <c r="J985" s="6" t="str">
        <f>IF(Employee[[#This Row],[Attrition]]="Yes","Resigned","Active")</f>
        <v>Active</v>
      </c>
    </row>
    <row r="986" spans="1:10" x14ac:dyDescent="0.25">
      <c r="A986" s="6">
        <v>1387</v>
      </c>
      <c r="B986" s="6">
        <v>28</v>
      </c>
      <c r="C986" s="5" t="s">
        <v>8</v>
      </c>
      <c r="D986" s="5" t="s">
        <v>9</v>
      </c>
      <c r="E986" s="6">
        <v>2</v>
      </c>
      <c r="F986" s="6">
        <v>4724</v>
      </c>
      <c r="G986" s="6">
        <v>5</v>
      </c>
      <c r="H986" s="6">
        <v>3</v>
      </c>
      <c r="I986" s="6" t="s">
        <v>13</v>
      </c>
      <c r="J986" s="6" t="str">
        <f>IF(Employee[[#This Row],[Attrition]]="Yes","Resigned","Active")</f>
        <v>Active</v>
      </c>
    </row>
    <row r="987" spans="1:10" x14ac:dyDescent="0.25">
      <c r="A987" s="6">
        <v>1389</v>
      </c>
      <c r="B987" s="6">
        <v>31</v>
      </c>
      <c r="C987" s="5" t="s">
        <v>11</v>
      </c>
      <c r="D987" s="5" t="s">
        <v>15</v>
      </c>
      <c r="E987" s="6">
        <v>2</v>
      </c>
      <c r="F987" s="6">
        <v>6179</v>
      </c>
      <c r="G987" s="6">
        <v>10</v>
      </c>
      <c r="H987" s="6">
        <v>2</v>
      </c>
      <c r="I987" s="6" t="s">
        <v>10</v>
      </c>
      <c r="J987" s="6" t="str">
        <f>IF(Employee[[#This Row],[Attrition]]="Yes","Resigned","Active")</f>
        <v>Resigned</v>
      </c>
    </row>
    <row r="988" spans="1:10" x14ac:dyDescent="0.25">
      <c r="A988" s="6">
        <v>1390</v>
      </c>
      <c r="B988" s="6">
        <v>39</v>
      </c>
      <c r="C988" s="5" t="s">
        <v>8</v>
      </c>
      <c r="D988" s="5" t="s">
        <v>9</v>
      </c>
      <c r="E988" s="6">
        <v>2</v>
      </c>
      <c r="F988" s="6">
        <v>6120</v>
      </c>
      <c r="G988" s="6">
        <v>5</v>
      </c>
      <c r="H988" s="6">
        <v>4</v>
      </c>
      <c r="I988" s="6" t="s">
        <v>13</v>
      </c>
      <c r="J988" s="6" t="str">
        <f>IF(Employee[[#This Row],[Attrition]]="Yes","Resigned","Active")</f>
        <v>Active</v>
      </c>
    </row>
    <row r="989" spans="1:10" x14ac:dyDescent="0.25">
      <c r="A989" s="6">
        <v>1391</v>
      </c>
      <c r="B989" s="6">
        <v>51</v>
      </c>
      <c r="C989" s="5" t="s">
        <v>8</v>
      </c>
      <c r="D989" s="5" t="s">
        <v>9</v>
      </c>
      <c r="E989" s="6">
        <v>3</v>
      </c>
      <c r="F989" s="6">
        <v>10596</v>
      </c>
      <c r="G989" s="6">
        <v>4</v>
      </c>
      <c r="H989" s="6">
        <v>3</v>
      </c>
      <c r="I989" s="6" t="s">
        <v>13</v>
      </c>
      <c r="J989" s="6" t="str">
        <f>IF(Employee[[#This Row],[Attrition]]="Yes","Resigned","Active")</f>
        <v>Active</v>
      </c>
    </row>
    <row r="990" spans="1:10" x14ac:dyDescent="0.25">
      <c r="A990" s="6">
        <v>1392</v>
      </c>
      <c r="B990" s="6">
        <v>41</v>
      </c>
      <c r="C990" s="5" t="s">
        <v>11</v>
      </c>
      <c r="D990" s="5" t="s">
        <v>12</v>
      </c>
      <c r="E990" s="6">
        <v>2</v>
      </c>
      <c r="F990" s="6">
        <v>5467</v>
      </c>
      <c r="G990" s="6">
        <v>6</v>
      </c>
      <c r="H990" s="6">
        <v>2</v>
      </c>
      <c r="I990" s="6" t="s">
        <v>13</v>
      </c>
      <c r="J990" s="6" t="str">
        <f>IF(Employee[[#This Row],[Attrition]]="Yes","Resigned","Active")</f>
        <v>Active</v>
      </c>
    </row>
    <row r="991" spans="1:10" x14ac:dyDescent="0.25">
      <c r="A991" s="6">
        <v>1394</v>
      </c>
      <c r="B991" s="6">
        <v>37</v>
      </c>
      <c r="C991" s="5" t="s">
        <v>11</v>
      </c>
      <c r="D991" s="5" t="s">
        <v>12</v>
      </c>
      <c r="E991" s="6">
        <v>1</v>
      </c>
      <c r="F991" s="6">
        <v>2996</v>
      </c>
      <c r="G991" s="6">
        <v>6</v>
      </c>
      <c r="H991" s="6">
        <v>3</v>
      </c>
      <c r="I991" s="6" t="s">
        <v>13</v>
      </c>
      <c r="J991" s="6" t="str">
        <f>IF(Employee[[#This Row],[Attrition]]="Yes","Resigned","Active")</f>
        <v>Active</v>
      </c>
    </row>
    <row r="992" spans="1:10" x14ac:dyDescent="0.25">
      <c r="A992" s="6">
        <v>1395</v>
      </c>
      <c r="B992" s="6">
        <v>33</v>
      </c>
      <c r="C992" s="5" t="s">
        <v>8</v>
      </c>
      <c r="D992" s="5" t="s">
        <v>9</v>
      </c>
      <c r="E992" s="6">
        <v>2</v>
      </c>
      <c r="F992" s="6">
        <v>9998</v>
      </c>
      <c r="G992" s="6">
        <v>5</v>
      </c>
      <c r="H992" s="6">
        <v>4</v>
      </c>
      <c r="I992" s="6" t="s">
        <v>13</v>
      </c>
      <c r="J992" s="6" t="str">
        <f>IF(Employee[[#This Row],[Attrition]]="Yes","Resigned","Active")</f>
        <v>Active</v>
      </c>
    </row>
    <row r="993" spans="1:10" x14ac:dyDescent="0.25">
      <c r="A993" s="6">
        <v>1396</v>
      </c>
      <c r="B993" s="6">
        <v>32</v>
      </c>
      <c r="C993" s="5" t="s">
        <v>8</v>
      </c>
      <c r="D993" s="5" t="s">
        <v>9</v>
      </c>
      <c r="E993" s="6">
        <v>2</v>
      </c>
      <c r="F993" s="6">
        <v>4078</v>
      </c>
      <c r="G993" s="6">
        <v>3</v>
      </c>
      <c r="H993" s="6">
        <v>2</v>
      </c>
      <c r="I993" s="6" t="s">
        <v>13</v>
      </c>
      <c r="J993" s="6" t="str">
        <f>IF(Employee[[#This Row],[Attrition]]="Yes","Resigned","Active")</f>
        <v>Active</v>
      </c>
    </row>
    <row r="994" spans="1:10" x14ac:dyDescent="0.25">
      <c r="A994" s="6">
        <v>1397</v>
      </c>
      <c r="B994" s="6">
        <v>39</v>
      </c>
      <c r="C994" s="5" t="s">
        <v>11</v>
      </c>
      <c r="D994" s="5" t="s">
        <v>16</v>
      </c>
      <c r="E994" s="6">
        <v>3</v>
      </c>
      <c r="F994" s="6">
        <v>10920</v>
      </c>
      <c r="G994" s="6">
        <v>6</v>
      </c>
      <c r="H994" s="6">
        <v>3</v>
      </c>
      <c r="I994" s="6" t="s">
        <v>13</v>
      </c>
      <c r="J994" s="6" t="str">
        <f>IF(Employee[[#This Row],[Attrition]]="Yes","Resigned","Active")</f>
        <v>Active</v>
      </c>
    </row>
    <row r="995" spans="1:10" x14ac:dyDescent="0.25">
      <c r="A995" s="6">
        <v>1399</v>
      </c>
      <c r="B995" s="6">
        <v>25</v>
      </c>
      <c r="C995" s="5" t="s">
        <v>8</v>
      </c>
      <c r="D995" s="5" t="s">
        <v>9</v>
      </c>
      <c r="E995" s="6">
        <v>2</v>
      </c>
      <c r="F995" s="6">
        <v>6232</v>
      </c>
      <c r="G995" s="6">
        <v>3</v>
      </c>
      <c r="H995" s="6">
        <v>2</v>
      </c>
      <c r="I995" s="6" t="s">
        <v>13</v>
      </c>
      <c r="J995" s="6" t="str">
        <f>IF(Employee[[#This Row],[Attrition]]="Yes","Resigned","Active")</f>
        <v>Active</v>
      </c>
    </row>
    <row r="996" spans="1:10" x14ac:dyDescent="0.25">
      <c r="A996" s="6">
        <v>1401</v>
      </c>
      <c r="B996" s="6">
        <v>52</v>
      </c>
      <c r="C996" s="5" t="s">
        <v>11</v>
      </c>
      <c r="D996" s="5" t="s">
        <v>15</v>
      </c>
      <c r="E996" s="6">
        <v>4</v>
      </c>
      <c r="F996" s="6">
        <v>13247</v>
      </c>
      <c r="G996" s="6">
        <v>5</v>
      </c>
      <c r="H996" s="6">
        <v>2</v>
      </c>
      <c r="I996" s="6" t="s">
        <v>13</v>
      </c>
      <c r="J996" s="6" t="str">
        <f>IF(Employee[[#This Row],[Attrition]]="Yes","Resigned","Active")</f>
        <v>Active</v>
      </c>
    </row>
    <row r="997" spans="1:10" x14ac:dyDescent="0.25">
      <c r="A997" s="6">
        <v>1402</v>
      </c>
      <c r="B997" s="6">
        <v>43</v>
      </c>
      <c r="C997" s="5" t="s">
        <v>11</v>
      </c>
      <c r="D997" s="5" t="s">
        <v>12</v>
      </c>
      <c r="E997" s="6">
        <v>2</v>
      </c>
      <c r="F997" s="6">
        <v>4081</v>
      </c>
      <c r="G997" s="6">
        <v>20</v>
      </c>
      <c r="H997" s="6">
        <v>1</v>
      </c>
      <c r="I997" s="6" t="s">
        <v>13</v>
      </c>
      <c r="J997" s="6" t="str">
        <f>IF(Employee[[#This Row],[Attrition]]="Yes","Resigned","Active")</f>
        <v>Active</v>
      </c>
    </row>
    <row r="998" spans="1:10" x14ac:dyDescent="0.25">
      <c r="A998" s="6">
        <v>1403</v>
      </c>
      <c r="B998" s="6">
        <v>27</v>
      </c>
      <c r="C998" s="5" t="s">
        <v>8</v>
      </c>
      <c r="D998" s="5" t="s">
        <v>9</v>
      </c>
      <c r="E998" s="6">
        <v>2</v>
      </c>
      <c r="F998" s="6">
        <v>5769</v>
      </c>
      <c r="G998" s="6">
        <v>6</v>
      </c>
      <c r="H998" s="6">
        <v>3</v>
      </c>
      <c r="I998" s="6" t="s">
        <v>13</v>
      </c>
      <c r="J998" s="6" t="str">
        <f>IF(Employee[[#This Row],[Attrition]]="Yes","Resigned","Active")</f>
        <v>Active</v>
      </c>
    </row>
    <row r="999" spans="1:10" x14ac:dyDescent="0.25">
      <c r="A999" s="6">
        <v>1405</v>
      </c>
      <c r="B999" s="6">
        <v>27</v>
      </c>
      <c r="C999" s="5" t="s">
        <v>11</v>
      </c>
      <c r="D999" s="5" t="s">
        <v>12</v>
      </c>
      <c r="E999" s="6">
        <v>1</v>
      </c>
      <c r="F999" s="6">
        <v>2394</v>
      </c>
      <c r="G999" s="6">
        <v>8</v>
      </c>
      <c r="H999" s="6">
        <v>3</v>
      </c>
      <c r="I999" s="6" t="s">
        <v>10</v>
      </c>
      <c r="J999" s="6" t="str">
        <f>IF(Employee[[#This Row],[Attrition]]="Yes","Resigned","Active")</f>
        <v>Resigned</v>
      </c>
    </row>
    <row r="1000" spans="1:10" x14ac:dyDescent="0.25">
      <c r="A1000" s="6">
        <v>1407</v>
      </c>
      <c r="B1000" s="6">
        <v>26</v>
      </c>
      <c r="C1000" s="5" t="s">
        <v>11</v>
      </c>
      <c r="D1000" s="5" t="s">
        <v>12</v>
      </c>
      <c r="E1000" s="6">
        <v>1</v>
      </c>
      <c r="F1000" s="6">
        <v>3904</v>
      </c>
      <c r="G1000" s="6">
        <v>4</v>
      </c>
      <c r="H1000" s="6">
        <v>3</v>
      </c>
      <c r="I1000" s="6" t="s">
        <v>13</v>
      </c>
      <c r="J1000" s="6" t="str">
        <f>IF(Employee[[#This Row],[Attrition]]="Yes","Resigned","Active")</f>
        <v>Active</v>
      </c>
    </row>
    <row r="1001" spans="1:10" x14ac:dyDescent="0.25">
      <c r="A1001" s="6">
        <v>1408</v>
      </c>
      <c r="B1001" s="6">
        <v>42</v>
      </c>
      <c r="C1001" s="5" t="s">
        <v>20</v>
      </c>
      <c r="D1001" s="5" t="s">
        <v>17</v>
      </c>
      <c r="E1001" s="6">
        <v>4</v>
      </c>
      <c r="F1001" s="6">
        <v>16799</v>
      </c>
      <c r="G1001" s="6">
        <v>20</v>
      </c>
      <c r="H1001" s="6">
        <v>3</v>
      </c>
      <c r="I1001" s="6" t="s">
        <v>13</v>
      </c>
      <c r="J1001" s="6" t="str">
        <f>IF(Employee[[#This Row],[Attrition]]="Yes","Resigned","Active")</f>
        <v>Active</v>
      </c>
    </row>
    <row r="1002" spans="1:10" x14ac:dyDescent="0.25">
      <c r="A1002" s="6">
        <v>1409</v>
      </c>
      <c r="B1002" s="6">
        <v>52</v>
      </c>
      <c r="C1002" s="5" t="s">
        <v>11</v>
      </c>
      <c r="D1002" s="5" t="s">
        <v>14</v>
      </c>
      <c r="E1002" s="6">
        <v>1</v>
      </c>
      <c r="F1002" s="6">
        <v>2950</v>
      </c>
      <c r="G1002" s="6">
        <v>5</v>
      </c>
      <c r="H1002" s="6">
        <v>1</v>
      </c>
      <c r="I1002" s="6" t="s">
        <v>13</v>
      </c>
      <c r="J1002" s="6" t="str">
        <f>IF(Employee[[#This Row],[Attrition]]="Yes","Resigned","Active")</f>
        <v>Active</v>
      </c>
    </row>
    <row r="1003" spans="1:10" x14ac:dyDescent="0.25">
      <c r="A1003" s="6">
        <v>1411</v>
      </c>
      <c r="B1003" s="6">
        <v>37</v>
      </c>
      <c r="C1003" s="5" t="s">
        <v>11</v>
      </c>
      <c r="D1003" s="5" t="s">
        <v>14</v>
      </c>
      <c r="E1003" s="6">
        <v>1</v>
      </c>
      <c r="F1003" s="6">
        <v>3629</v>
      </c>
      <c r="G1003" s="6">
        <v>3</v>
      </c>
      <c r="H1003" s="6">
        <v>3</v>
      </c>
      <c r="I1003" s="6" t="s">
        <v>13</v>
      </c>
      <c r="J1003" s="6" t="str">
        <f>IF(Employee[[#This Row],[Attrition]]="Yes","Resigned","Active")</f>
        <v>Active</v>
      </c>
    </row>
    <row r="1004" spans="1:10" x14ac:dyDescent="0.25">
      <c r="A1004" s="6">
        <v>1412</v>
      </c>
      <c r="B1004" s="6">
        <v>35</v>
      </c>
      <c r="C1004" s="5" t="s">
        <v>11</v>
      </c>
      <c r="D1004" s="5" t="s">
        <v>15</v>
      </c>
      <c r="E1004" s="6">
        <v>3</v>
      </c>
      <c r="F1004" s="6">
        <v>9362</v>
      </c>
      <c r="G1004" s="6">
        <v>2</v>
      </c>
      <c r="H1004" s="6">
        <v>3</v>
      </c>
      <c r="I1004" s="6" t="s">
        <v>13</v>
      </c>
      <c r="J1004" s="6" t="str">
        <f>IF(Employee[[#This Row],[Attrition]]="Yes","Resigned","Active")</f>
        <v>Active</v>
      </c>
    </row>
    <row r="1005" spans="1:10" x14ac:dyDescent="0.25">
      <c r="A1005" s="6">
        <v>1415</v>
      </c>
      <c r="B1005" s="6">
        <v>25</v>
      </c>
      <c r="C1005" s="5" t="s">
        <v>11</v>
      </c>
      <c r="D1005" s="5" t="s">
        <v>14</v>
      </c>
      <c r="E1005" s="6">
        <v>1</v>
      </c>
      <c r="F1005" s="6">
        <v>3229</v>
      </c>
      <c r="G1005" s="6">
        <v>3</v>
      </c>
      <c r="H1005" s="6">
        <v>2</v>
      </c>
      <c r="I1005" s="6" t="s">
        <v>13</v>
      </c>
      <c r="J1005" s="6" t="str">
        <f>IF(Employee[[#This Row],[Attrition]]="Yes","Resigned","Active")</f>
        <v>Active</v>
      </c>
    </row>
    <row r="1006" spans="1:10" x14ac:dyDescent="0.25">
      <c r="A1006" s="6">
        <v>1417</v>
      </c>
      <c r="B1006" s="6">
        <v>26</v>
      </c>
      <c r="C1006" s="5" t="s">
        <v>11</v>
      </c>
      <c r="D1006" s="5" t="s">
        <v>14</v>
      </c>
      <c r="E1006" s="6">
        <v>1</v>
      </c>
      <c r="F1006" s="6">
        <v>3578</v>
      </c>
      <c r="G1006" s="6">
        <v>7</v>
      </c>
      <c r="H1006" s="6">
        <v>3</v>
      </c>
      <c r="I1006" s="6" t="s">
        <v>13</v>
      </c>
      <c r="J1006" s="6" t="str">
        <f>IF(Employee[[#This Row],[Attrition]]="Yes","Resigned","Active")</f>
        <v>Active</v>
      </c>
    </row>
    <row r="1007" spans="1:10" x14ac:dyDescent="0.25">
      <c r="A1007" s="6">
        <v>1419</v>
      </c>
      <c r="B1007" s="6">
        <v>29</v>
      </c>
      <c r="C1007" s="5" t="s">
        <v>20</v>
      </c>
      <c r="D1007" s="5" t="s">
        <v>20</v>
      </c>
      <c r="E1007" s="6">
        <v>3</v>
      </c>
      <c r="F1007" s="6">
        <v>7988</v>
      </c>
      <c r="G1007" s="6">
        <v>10</v>
      </c>
      <c r="H1007" s="6">
        <v>2</v>
      </c>
      <c r="I1007" s="6" t="s">
        <v>13</v>
      </c>
      <c r="J1007" s="6" t="str">
        <f>IF(Employee[[#This Row],[Attrition]]="Yes","Resigned","Active")</f>
        <v>Active</v>
      </c>
    </row>
    <row r="1008" spans="1:10" x14ac:dyDescent="0.25">
      <c r="A1008" s="6">
        <v>1420</v>
      </c>
      <c r="B1008" s="6">
        <v>49</v>
      </c>
      <c r="C1008" s="5" t="s">
        <v>11</v>
      </c>
      <c r="D1008" s="5" t="s">
        <v>14</v>
      </c>
      <c r="E1008" s="6">
        <v>2</v>
      </c>
      <c r="F1008" s="6">
        <v>4284</v>
      </c>
      <c r="G1008" s="6">
        <v>4</v>
      </c>
      <c r="H1008" s="6">
        <v>3</v>
      </c>
      <c r="I1008" s="6" t="s">
        <v>10</v>
      </c>
      <c r="J1008" s="6" t="str">
        <f>IF(Employee[[#This Row],[Attrition]]="Yes","Resigned","Active")</f>
        <v>Resigned</v>
      </c>
    </row>
    <row r="1009" spans="1:10" x14ac:dyDescent="0.25">
      <c r="A1009" s="6">
        <v>1421</v>
      </c>
      <c r="B1009" s="6">
        <v>29</v>
      </c>
      <c r="C1009" s="5" t="s">
        <v>11</v>
      </c>
      <c r="D1009" s="5" t="s">
        <v>16</v>
      </c>
      <c r="E1009" s="6">
        <v>3</v>
      </c>
      <c r="F1009" s="6">
        <v>7553</v>
      </c>
      <c r="G1009" s="6">
        <v>8</v>
      </c>
      <c r="H1009" s="6">
        <v>3</v>
      </c>
      <c r="I1009" s="6" t="s">
        <v>10</v>
      </c>
      <c r="J1009" s="6" t="str">
        <f>IF(Employee[[#This Row],[Attrition]]="Yes","Resigned","Active")</f>
        <v>Resigned</v>
      </c>
    </row>
    <row r="1010" spans="1:10" x14ac:dyDescent="0.25">
      <c r="A1010" s="6">
        <v>1422</v>
      </c>
      <c r="B1010" s="6">
        <v>54</v>
      </c>
      <c r="C1010" s="5" t="s">
        <v>11</v>
      </c>
      <c r="D1010" s="5" t="s">
        <v>19</v>
      </c>
      <c r="E1010" s="6">
        <v>4</v>
      </c>
      <c r="F1010" s="6">
        <v>17328</v>
      </c>
      <c r="G1010" s="6">
        <v>20</v>
      </c>
      <c r="H1010" s="6">
        <v>2</v>
      </c>
      <c r="I1010" s="6" t="s">
        <v>13</v>
      </c>
      <c r="J1010" s="6" t="str">
        <f>IF(Employee[[#This Row],[Attrition]]="Yes","Resigned","Active")</f>
        <v>Active</v>
      </c>
    </row>
    <row r="1011" spans="1:10" x14ac:dyDescent="0.25">
      <c r="A1011" s="6">
        <v>1423</v>
      </c>
      <c r="B1011" s="6">
        <v>58</v>
      </c>
      <c r="C1011" s="5" t="s">
        <v>11</v>
      </c>
      <c r="D1011" s="5" t="s">
        <v>19</v>
      </c>
      <c r="E1011" s="6">
        <v>5</v>
      </c>
      <c r="F1011" s="6">
        <v>19701</v>
      </c>
      <c r="G1011" s="6">
        <v>9</v>
      </c>
      <c r="H1011" s="6">
        <v>3</v>
      </c>
      <c r="I1011" s="6" t="s">
        <v>13</v>
      </c>
      <c r="J1011" s="6" t="str">
        <f>IF(Employee[[#This Row],[Attrition]]="Yes","Resigned","Active")</f>
        <v>Active</v>
      </c>
    </row>
    <row r="1012" spans="1:10" x14ac:dyDescent="0.25">
      <c r="A1012" s="6">
        <v>1424</v>
      </c>
      <c r="B1012" s="6">
        <v>55</v>
      </c>
      <c r="C1012" s="5" t="s">
        <v>11</v>
      </c>
      <c r="D1012" s="5" t="s">
        <v>19</v>
      </c>
      <c r="E1012" s="6">
        <v>4</v>
      </c>
      <c r="F1012" s="6">
        <v>14732</v>
      </c>
      <c r="G1012" s="6">
        <v>7</v>
      </c>
      <c r="H1012" s="6">
        <v>4</v>
      </c>
      <c r="I1012" s="6" t="s">
        <v>13</v>
      </c>
      <c r="J1012" s="6" t="str">
        <f>IF(Employee[[#This Row],[Attrition]]="Yes","Resigned","Active")</f>
        <v>Active</v>
      </c>
    </row>
    <row r="1013" spans="1:10" x14ac:dyDescent="0.25">
      <c r="A1013" s="6">
        <v>1425</v>
      </c>
      <c r="B1013" s="6">
        <v>36</v>
      </c>
      <c r="C1013" s="5" t="s">
        <v>8</v>
      </c>
      <c r="D1013" s="5" t="s">
        <v>9</v>
      </c>
      <c r="E1013" s="6">
        <v>2</v>
      </c>
      <c r="F1013" s="6">
        <v>9278</v>
      </c>
      <c r="G1013" s="6">
        <v>5</v>
      </c>
      <c r="H1013" s="6">
        <v>3</v>
      </c>
      <c r="I1013" s="6" t="s">
        <v>13</v>
      </c>
      <c r="J1013" s="6" t="str">
        <f>IF(Employee[[#This Row],[Attrition]]="Yes","Resigned","Active")</f>
        <v>Active</v>
      </c>
    </row>
    <row r="1014" spans="1:10" x14ac:dyDescent="0.25">
      <c r="A1014" s="6">
        <v>1427</v>
      </c>
      <c r="B1014" s="6">
        <v>31</v>
      </c>
      <c r="C1014" s="5" t="s">
        <v>8</v>
      </c>
      <c r="D1014" s="5" t="s">
        <v>18</v>
      </c>
      <c r="E1014" s="6">
        <v>1</v>
      </c>
      <c r="F1014" s="6">
        <v>1359</v>
      </c>
      <c r="G1014" s="6">
        <v>1</v>
      </c>
      <c r="H1014" s="6">
        <v>3</v>
      </c>
      <c r="I1014" s="6" t="s">
        <v>10</v>
      </c>
      <c r="J1014" s="6" t="str">
        <f>IF(Employee[[#This Row],[Attrition]]="Yes","Resigned","Active")</f>
        <v>Resigned</v>
      </c>
    </row>
    <row r="1015" spans="1:10" x14ac:dyDescent="0.25">
      <c r="A1015" s="6">
        <v>1428</v>
      </c>
      <c r="B1015" s="6">
        <v>30</v>
      </c>
      <c r="C1015" s="5" t="s">
        <v>8</v>
      </c>
      <c r="D1015" s="5" t="s">
        <v>9</v>
      </c>
      <c r="E1015" s="6">
        <v>2</v>
      </c>
      <c r="F1015" s="6">
        <v>4779</v>
      </c>
      <c r="G1015" s="6">
        <v>3</v>
      </c>
      <c r="H1015" s="6">
        <v>3</v>
      </c>
      <c r="I1015" s="6" t="s">
        <v>13</v>
      </c>
      <c r="J1015" s="6" t="str">
        <f>IF(Employee[[#This Row],[Attrition]]="Yes","Resigned","Active")</f>
        <v>Active</v>
      </c>
    </row>
    <row r="1016" spans="1:10" x14ac:dyDescent="0.25">
      <c r="A1016" s="6">
        <v>1430</v>
      </c>
      <c r="B1016" s="6">
        <v>31</v>
      </c>
      <c r="C1016" s="5" t="s">
        <v>11</v>
      </c>
      <c r="D1016" s="5" t="s">
        <v>19</v>
      </c>
      <c r="E1016" s="6">
        <v>4</v>
      </c>
      <c r="F1016" s="6">
        <v>16422</v>
      </c>
      <c r="G1016" s="6">
        <v>3</v>
      </c>
      <c r="H1016" s="6">
        <v>4</v>
      </c>
      <c r="I1016" s="6" t="s">
        <v>13</v>
      </c>
      <c r="J1016" s="6" t="str">
        <f>IF(Employee[[#This Row],[Attrition]]="Yes","Resigned","Active")</f>
        <v>Active</v>
      </c>
    </row>
    <row r="1017" spans="1:10" x14ac:dyDescent="0.25">
      <c r="A1017" s="6">
        <v>1431</v>
      </c>
      <c r="B1017" s="6">
        <v>34</v>
      </c>
      <c r="C1017" s="5" t="s">
        <v>11</v>
      </c>
      <c r="D1017" s="5" t="s">
        <v>12</v>
      </c>
      <c r="E1017" s="6">
        <v>1</v>
      </c>
      <c r="F1017" s="6">
        <v>2996</v>
      </c>
      <c r="G1017" s="6">
        <v>4</v>
      </c>
      <c r="H1017" s="6">
        <v>3</v>
      </c>
      <c r="I1017" s="6" t="s">
        <v>13</v>
      </c>
      <c r="J1017" s="6" t="str">
        <f>IF(Employee[[#This Row],[Attrition]]="Yes","Resigned","Active")</f>
        <v>Active</v>
      </c>
    </row>
    <row r="1018" spans="1:10" x14ac:dyDescent="0.25">
      <c r="A1018" s="6">
        <v>1433</v>
      </c>
      <c r="B1018" s="6">
        <v>31</v>
      </c>
      <c r="C1018" s="5" t="s">
        <v>11</v>
      </c>
      <c r="D1018" s="5" t="s">
        <v>12</v>
      </c>
      <c r="E1018" s="6">
        <v>1</v>
      </c>
      <c r="F1018" s="6">
        <v>1261</v>
      </c>
      <c r="G1018" s="6">
        <v>1</v>
      </c>
      <c r="H1018" s="6">
        <v>4</v>
      </c>
      <c r="I1018" s="6" t="s">
        <v>10</v>
      </c>
      <c r="J1018" s="6" t="str">
        <f>IF(Employee[[#This Row],[Attrition]]="Yes","Resigned","Active")</f>
        <v>Resigned</v>
      </c>
    </row>
    <row r="1019" spans="1:10" x14ac:dyDescent="0.25">
      <c r="A1019" s="6">
        <v>1434</v>
      </c>
      <c r="B1019" s="6">
        <v>27</v>
      </c>
      <c r="C1019" s="5" t="s">
        <v>11</v>
      </c>
      <c r="D1019" s="5" t="s">
        <v>14</v>
      </c>
      <c r="E1019" s="6">
        <v>1</v>
      </c>
      <c r="F1019" s="6">
        <v>2099</v>
      </c>
      <c r="G1019" s="6">
        <v>5</v>
      </c>
      <c r="H1019" s="6">
        <v>4</v>
      </c>
      <c r="I1019" s="6" t="s">
        <v>13</v>
      </c>
      <c r="J1019" s="6" t="str">
        <f>IF(Employee[[#This Row],[Attrition]]="Yes","Resigned","Active")</f>
        <v>Active</v>
      </c>
    </row>
    <row r="1020" spans="1:10" x14ac:dyDescent="0.25">
      <c r="A1020" s="6">
        <v>1435</v>
      </c>
      <c r="B1020" s="6">
        <v>36</v>
      </c>
      <c r="C1020" s="5" t="s">
        <v>11</v>
      </c>
      <c r="D1020" s="5" t="s">
        <v>14</v>
      </c>
      <c r="E1020" s="6">
        <v>2</v>
      </c>
      <c r="F1020" s="6">
        <v>5810</v>
      </c>
      <c r="G1020" s="6">
        <v>10</v>
      </c>
      <c r="H1020" s="6">
        <v>2</v>
      </c>
      <c r="I1020" s="6" t="s">
        <v>13</v>
      </c>
      <c r="J1020" s="6" t="str">
        <f>IF(Employee[[#This Row],[Attrition]]="Yes","Resigned","Active")</f>
        <v>Active</v>
      </c>
    </row>
    <row r="1021" spans="1:10" x14ac:dyDescent="0.25">
      <c r="A1021" s="6">
        <v>1436</v>
      </c>
      <c r="B1021" s="6">
        <v>36</v>
      </c>
      <c r="C1021" s="5" t="s">
        <v>8</v>
      </c>
      <c r="D1021" s="5" t="s">
        <v>9</v>
      </c>
      <c r="E1021" s="6">
        <v>2</v>
      </c>
      <c r="F1021" s="6">
        <v>5647</v>
      </c>
      <c r="G1021" s="6">
        <v>3</v>
      </c>
      <c r="H1021" s="6">
        <v>2</v>
      </c>
      <c r="I1021" s="6" t="s">
        <v>13</v>
      </c>
      <c r="J1021" s="6" t="str">
        <f>IF(Employee[[#This Row],[Attrition]]="Yes","Resigned","Active")</f>
        <v>Active</v>
      </c>
    </row>
    <row r="1022" spans="1:10" x14ac:dyDescent="0.25">
      <c r="A1022" s="6">
        <v>1438</v>
      </c>
      <c r="B1022" s="6">
        <v>47</v>
      </c>
      <c r="C1022" s="5" t="s">
        <v>11</v>
      </c>
      <c r="D1022" s="5" t="s">
        <v>12</v>
      </c>
      <c r="E1022" s="6">
        <v>1</v>
      </c>
      <c r="F1022" s="6">
        <v>3420</v>
      </c>
      <c r="G1022" s="6">
        <v>6</v>
      </c>
      <c r="H1022" s="6">
        <v>2</v>
      </c>
      <c r="I1022" s="6" t="s">
        <v>13</v>
      </c>
      <c r="J1022" s="6" t="str">
        <f>IF(Employee[[#This Row],[Attrition]]="Yes","Resigned","Active")</f>
        <v>Active</v>
      </c>
    </row>
    <row r="1023" spans="1:10" x14ac:dyDescent="0.25">
      <c r="A1023" s="6">
        <v>1439</v>
      </c>
      <c r="B1023" s="6">
        <v>25</v>
      </c>
      <c r="C1023" s="5" t="s">
        <v>8</v>
      </c>
      <c r="D1023" s="5" t="s">
        <v>18</v>
      </c>
      <c r="E1023" s="6">
        <v>1</v>
      </c>
      <c r="F1023" s="6">
        <v>4400</v>
      </c>
      <c r="G1023" s="6">
        <v>3</v>
      </c>
      <c r="H1023" s="6">
        <v>3</v>
      </c>
      <c r="I1023" s="6" t="s">
        <v>10</v>
      </c>
      <c r="J1023" s="6" t="str">
        <f>IF(Employee[[#This Row],[Attrition]]="Yes","Resigned","Active")</f>
        <v>Resigned</v>
      </c>
    </row>
    <row r="1024" spans="1:10" x14ac:dyDescent="0.25">
      <c r="A1024" s="6">
        <v>1440</v>
      </c>
      <c r="B1024" s="6">
        <v>37</v>
      </c>
      <c r="C1024" s="5" t="s">
        <v>11</v>
      </c>
      <c r="D1024" s="5" t="s">
        <v>14</v>
      </c>
      <c r="E1024" s="6">
        <v>1</v>
      </c>
      <c r="F1024" s="6">
        <v>3500</v>
      </c>
      <c r="G1024" s="6">
        <v>6</v>
      </c>
      <c r="H1024" s="6">
        <v>1</v>
      </c>
      <c r="I1024" s="6" t="s">
        <v>13</v>
      </c>
      <c r="J1024" s="6" t="str">
        <f>IF(Employee[[#This Row],[Attrition]]="Yes","Resigned","Active")</f>
        <v>Active</v>
      </c>
    </row>
    <row r="1025" spans="1:10" x14ac:dyDescent="0.25">
      <c r="A1025" s="6">
        <v>1441</v>
      </c>
      <c r="B1025" s="6">
        <v>56</v>
      </c>
      <c r="C1025" s="5" t="s">
        <v>11</v>
      </c>
      <c r="D1025" s="5" t="s">
        <v>12</v>
      </c>
      <c r="E1025" s="6">
        <v>1</v>
      </c>
      <c r="F1025" s="6">
        <v>2066</v>
      </c>
      <c r="G1025" s="6">
        <v>3</v>
      </c>
      <c r="H1025" s="6">
        <v>4</v>
      </c>
      <c r="I1025" s="6" t="s">
        <v>13</v>
      </c>
      <c r="J1025" s="6" t="str">
        <f>IF(Employee[[#This Row],[Attrition]]="Yes","Resigned","Active")</f>
        <v>Active</v>
      </c>
    </row>
    <row r="1026" spans="1:10" x14ac:dyDescent="0.25">
      <c r="A1026" s="6">
        <v>1443</v>
      </c>
      <c r="B1026" s="6">
        <v>47</v>
      </c>
      <c r="C1026" s="5" t="s">
        <v>11</v>
      </c>
      <c r="D1026" s="5" t="s">
        <v>19</v>
      </c>
      <c r="E1026" s="6">
        <v>4</v>
      </c>
      <c r="F1026" s="6">
        <v>17169</v>
      </c>
      <c r="G1026" s="6">
        <v>20</v>
      </c>
      <c r="H1026" s="6">
        <v>4</v>
      </c>
      <c r="I1026" s="6" t="s">
        <v>13</v>
      </c>
      <c r="J1026" s="6" t="str">
        <f>IF(Employee[[#This Row],[Attrition]]="Yes","Resigned","Active")</f>
        <v>Active</v>
      </c>
    </row>
    <row r="1027" spans="1:10" x14ac:dyDescent="0.25">
      <c r="A1027" s="6">
        <v>1445</v>
      </c>
      <c r="B1027" s="6">
        <v>24</v>
      </c>
      <c r="C1027" s="5" t="s">
        <v>8</v>
      </c>
      <c r="D1027" s="5" t="s">
        <v>9</v>
      </c>
      <c r="E1027" s="6">
        <v>2</v>
      </c>
      <c r="F1027" s="6">
        <v>4162</v>
      </c>
      <c r="G1027" s="6">
        <v>5</v>
      </c>
      <c r="H1027" s="6">
        <v>3</v>
      </c>
      <c r="I1027" s="6" t="s">
        <v>13</v>
      </c>
      <c r="J1027" s="6" t="str">
        <f>IF(Employee[[#This Row],[Attrition]]="Yes","Resigned","Active")</f>
        <v>Active</v>
      </c>
    </row>
    <row r="1028" spans="1:10" x14ac:dyDescent="0.25">
      <c r="A1028" s="6">
        <v>1446</v>
      </c>
      <c r="B1028" s="6">
        <v>32</v>
      </c>
      <c r="C1028" s="5" t="s">
        <v>8</v>
      </c>
      <c r="D1028" s="5" t="s">
        <v>9</v>
      </c>
      <c r="E1028" s="6">
        <v>2</v>
      </c>
      <c r="F1028" s="6">
        <v>9204</v>
      </c>
      <c r="G1028" s="6">
        <v>4</v>
      </c>
      <c r="H1028" s="6">
        <v>2</v>
      </c>
      <c r="I1028" s="6" t="s">
        <v>13</v>
      </c>
      <c r="J1028" s="6" t="str">
        <f>IF(Employee[[#This Row],[Attrition]]="Yes","Resigned","Active")</f>
        <v>Active</v>
      </c>
    </row>
    <row r="1029" spans="1:10" x14ac:dyDescent="0.25">
      <c r="A1029" s="6">
        <v>1447</v>
      </c>
      <c r="B1029" s="6">
        <v>34</v>
      </c>
      <c r="C1029" s="5" t="s">
        <v>11</v>
      </c>
      <c r="D1029" s="5" t="s">
        <v>14</v>
      </c>
      <c r="E1029" s="6">
        <v>1</v>
      </c>
      <c r="F1029" s="6">
        <v>3294</v>
      </c>
      <c r="G1029" s="6">
        <v>5</v>
      </c>
      <c r="H1029" s="6">
        <v>2</v>
      </c>
      <c r="I1029" s="6" t="s">
        <v>13</v>
      </c>
      <c r="J1029" s="6" t="str">
        <f>IF(Employee[[#This Row],[Attrition]]="Yes","Resigned","Active")</f>
        <v>Active</v>
      </c>
    </row>
    <row r="1030" spans="1:10" x14ac:dyDescent="0.25">
      <c r="A1030" s="6">
        <v>1448</v>
      </c>
      <c r="B1030" s="6">
        <v>41</v>
      </c>
      <c r="C1030" s="5" t="s">
        <v>11</v>
      </c>
      <c r="D1030" s="5" t="s">
        <v>12</v>
      </c>
      <c r="E1030" s="6">
        <v>1</v>
      </c>
      <c r="F1030" s="6">
        <v>2127</v>
      </c>
      <c r="G1030" s="6">
        <v>4</v>
      </c>
      <c r="H1030" s="6">
        <v>2</v>
      </c>
      <c r="I1030" s="6" t="s">
        <v>13</v>
      </c>
      <c r="J1030" s="6" t="str">
        <f>IF(Employee[[#This Row],[Attrition]]="Yes","Resigned","Active")</f>
        <v>Active</v>
      </c>
    </row>
    <row r="1031" spans="1:10" x14ac:dyDescent="0.25">
      <c r="A1031" s="6">
        <v>1449</v>
      </c>
      <c r="B1031" s="6">
        <v>40</v>
      </c>
      <c r="C1031" s="5" t="s">
        <v>11</v>
      </c>
      <c r="D1031" s="5" t="s">
        <v>14</v>
      </c>
      <c r="E1031" s="6">
        <v>2</v>
      </c>
      <c r="F1031" s="6">
        <v>3975</v>
      </c>
      <c r="G1031" s="6">
        <v>8</v>
      </c>
      <c r="H1031" s="6">
        <v>4</v>
      </c>
      <c r="I1031" s="6" t="s">
        <v>13</v>
      </c>
      <c r="J1031" s="6" t="str">
        <f>IF(Employee[[#This Row],[Attrition]]="Yes","Resigned","Active")</f>
        <v>Active</v>
      </c>
    </row>
    <row r="1032" spans="1:10" x14ac:dyDescent="0.25">
      <c r="A1032" s="6">
        <v>1453</v>
      </c>
      <c r="B1032" s="6">
        <v>31</v>
      </c>
      <c r="C1032" s="5" t="s">
        <v>8</v>
      </c>
      <c r="D1032" s="5" t="s">
        <v>9</v>
      </c>
      <c r="E1032" s="6">
        <v>3</v>
      </c>
      <c r="F1032" s="6">
        <v>10793</v>
      </c>
      <c r="G1032" s="6">
        <v>13</v>
      </c>
      <c r="H1032" s="6">
        <v>3</v>
      </c>
      <c r="I1032" s="6" t="s">
        <v>13</v>
      </c>
      <c r="J1032" s="6" t="str">
        <f>IF(Employee[[#This Row],[Attrition]]="Yes","Resigned","Active")</f>
        <v>Active</v>
      </c>
    </row>
    <row r="1033" spans="1:10" x14ac:dyDescent="0.25">
      <c r="A1033" s="6">
        <v>1457</v>
      </c>
      <c r="B1033" s="6">
        <v>46</v>
      </c>
      <c r="C1033" s="5" t="s">
        <v>8</v>
      </c>
      <c r="D1033" s="5" t="s">
        <v>9</v>
      </c>
      <c r="E1033" s="6">
        <v>3</v>
      </c>
      <c r="F1033" s="6">
        <v>10096</v>
      </c>
      <c r="G1033" s="6">
        <v>7</v>
      </c>
      <c r="H1033" s="6">
        <v>4</v>
      </c>
      <c r="I1033" s="6" t="s">
        <v>10</v>
      </c>
      <c r="J1033" s="6" t="str">
        <f>IF(Employee[[#This Row],[Attrition]]="Yes","Resigned","Active")</f>
        <v>Resigned</v>
      </c>
    </row>
    <row r="1034" spans="1:10" x14ac:dyDescent="0.25">
      <c r="A1034" s="6">
        <v>1458</v>
      </c>
      <c r="B1034" s="6">
        <v>39</v>
      </c>
      <c r="C1034" s="5" t="s">
        <v>11</v>
      </c>
      <c r="D1034" s="5" t="s">
        <v>14</v>
      </c>
      <c r="E1034" s="6">
        <v>1</v>
      </c>
      <c r="F1034" s="6">
        <v>3646</v>
      </c>
      <c r="G1034" s="6">
        <v>1</v>
      </c>
      <c r="H1034" s="6">
        <v>4</v>
      </c>
      <c r="I1034" s="6" t="s">
        <v>10</v>
      </c>
      <c r="J1034" s="6" t="str">
        <f>IF(Employee[[#This Row],[Attrition]]="Yes","Resigned","Active")</f>
        <v>Resigned</v>
      </c>
    </row>
    <row r="1035" spans="1:10" x14ac:dyDescent="0.25">
      <c r="A1035" s="6">
        <v>1459</v>
      </c>
      <c r="B1035" s="6">
        <v>31</v>
      </c>
      <c r="C1035" s="5" t="s">
        <v>11</v>
      </c>
      <c r="D1035" s="5" t="s">
        <v>15</v>
      </c>
      <c r="E1035" s="6">
        <v>3</v>
      </c>
      <c r="F1035" s="6">
        <v>7446</v>
      </c>
      <c r="G1035" s="6">
        <v>10</v>
      </c>
      <c r="H1035" s="6">
        <v>3</v>
      </c>
      <c r="I1035" s="6" t="s">
        <v>10</v>
      </c>
      <c r="J1035" s="6" t="str">
        <f>IF(Employee[[#This Row],[Attrition]]="Yes","Resigned","Active")</f>
        <v>Resigned</v>
      </c>
    </row>
    <row r="1036" spans="1:10" x14ac:dyDescent="0.25">
      <c r="A1036" s="6">
        <v>1460</v>
      </c>
      <c r="B1036" s="6">
        <v>45</v>
      </c>
      <c r="C1036" s="5" t="s">
        <v>11</v>
      </c>
      <c r="D1036" s="5" t="s">
        <v>16</v>
      </c>
      <c r="E1036" s="6">
        <v>3</v>
      </c>
      <c r="F1036" s="6">
        <v>10851</v>
      </c>
      <c r="G1036" s="6">
        <v>7</v>
      </c>
      <c r="H1036" s="6">
        <v>3</v>
      </c>
      <c r="I1036" s="6" t="s">
        <v>13</v>
      </c>
      <c r="J1036" s="6" t="str">
        <f>IF(Employee[[#This Row],[Attrition]]="Yes","Resigned","Active")</f>
        <v>Active</v>
      </c>
    </row>
    <row r="1037" spans="1:10" x14ac:dyDescent="0.25">
      <c r="A1037" s="6">
        <v>1461</v>
      </c>
      <c r="B1037" s="6">
        <v>31</v>
      </c>
      <c r="C1037" s="5" t="s">
        <v>20</v>
      </c>
      <c r="D1037" s="5" t="s">
        <v>20</v>
      </c>
      <c r="E1037" s="6">
        <v>1</v>
      </c>
      <c r="F1037" s="6">
        <v>2109</v>
      </c>
      <c r="G1037" s="6">
        <v>3</v>
      </c>
      <c r="H1037" s="6">
        <v>3</v>
      </c>
      <c r="I1037" s="6" t="s">
        <v>13</v>
      </c>
      <c r="J1037" s="6" t="str">
        <f>IF(Employee[[#This Row],[Attrition]]="Yes","Resigned","Active")</f>
        <v>Active</v>
      </c>
    </row>
    <row r="1038" spans="1:10" x14ac:dyDescent="0.25">
      <c r="A1038" s="6">
        <v>1464</v>
      </c>
      <c r="B1038" s="6">
        <v>31</v>
      </c>
      <c r="C1038" s="5" t="s">
        <v>11</v>
      </c>
      <c r="D1038" s="5" t="s">
        <v>14</v>
      </c>
      <c r="E1038" s="6">
        <v>1</v>
      </c>
      <c r="F1038" s="6">
        <v>3722</v>
      </c>
      <c r="G1038" s="6">
        <v>2</v>
      </c>
      <c r="H1038" s="6">
        <v>1</v>
      </c>
      <c r="I1038" s="6" t="s">
        <v>10</v>
      </c>
      <c r="J1038" s="6" t="str">
        <f>IF(Employee[[#This Row],[Attrition]]="Yes","Resigned","Active")</f>
        <v>Resigned</v>
      </c>
    </row>
    <row r="1039" spans="1:10" x14ac:dyDescent="0.25">
      <c r="A1039" s="6">
        <v>1465</v>
      </c>
      <c r="B1039" s="6">
        <v>45</v>
      </c>
      <c r="C1039" s="5" t="s">
        <v>11</v>
      </c>
      <c r="D1039" s="5" t="s">
        <v>15</v>
      </c>
      <c r="E1039" s="6">
        <v>3</v>
      </c>
      <c r="F1039" s="6">
        <v>9380</v>
      </c>
      <c r="G1039" s="6">
        <v>3</v>
      </c>
      <c r="H1039" s="6">
        <v>4</v>
      </c>
      <c r="I1039" s="6" t="s">
        <v>13</v>
      </c>
      <c r="J1039" s="6" t="str">
        <f>IF(Employee[[#This Row],[Attrition]]="Yes","Resigned","Active")</f>
        <v>Active</v>
      </c>
    </row>
    <row r="1040" spans="1:10" x14ac:dyDescent="0.25">
      <c r="A1040" s="6">
        <v>1466</v>
      </c>
      <c r="B1040" s="6">
        <v>48</v>
      </c>
      <c r="C1040" s="5" t="s">
        <v>8</v>
      </c>
      <c r="D1040" s="5" t="s">
        <v>9</v>
      </c>
      <c r="E1040" s="6">
        <v>2</v>
      </c>
      <c r="F1040" s="6">
        <v>5486</v>
      </c>
      <c r="G1040" s="6">
        <v>2</v>
      </c>
      <c r="H1040" s="6">
        <v>3</v>
      </c>
      <c r="I1040" s="6" t="s">
        <v>13</v>
      </c>
      <c r="J1040" s="6" t="str">
        <f>IF(Employee[[#This Row],[Attrition]]="Yes","Resigned","Active")</f>
        <v>Active</v>
      </c>
    </row>
    <row r="1041" spans="1:10" x14ac:dyDescent="0.25">
      <c r="A1041" s="6">
        <v>1467</v>
      </c>
      <c r="B1041" s="6">
        <v>34</v>
      </c>
      <c r="C1041" s="5" t="s">
        <v>20</v>
      </c>
      <c r="D1041" s="5" t="s">
        <v>20</v>
      </c>
      <c r="E1041" s="6">
        <v>1</v>
      </c>
      <c r="F1041" s="6">
        <v>2742</v>
      </c>
      <c r="G1041" s="6">
        <v>2</v>
      </c>
      <c r="H1041" s="6">
        <v>3</v>
      </c>
      <c r="I1041" s="6" t="s">
        <v>10</v>
      </c>
      <c r="J1041" s="6" t="str">
        <f>IF(Employee[[#This Row],[Attrition]]="Yes","Resigned","Active")</f>
        <v>Resigned</v>
      </c>
    </row>
    <row r="1042" spans="1:10" x14ac:dyDescent="0.25">
      <c r="A1042" s="6">
        <v>1468</v>
      </c>
      <c r="B1042" s="6">
        <v>40</v>
      </c>
      <c r="C1042" s="5" t="s">
        <v>11</v>
      </c>
      <c r="D1042" s="5" t="s">
        <v>19</v>
      </c>
      <c r="E1042" s="6">
        <v>3</v>
      </c>
      <c r="F1042" s="6">
        <v>13757</v>
      </c>
      <c r="G1042" s="6">
        <v>9</v>
      </c>
      <c r="H1042" s="6">
        <v>3</v>
      </c>
      <c r="I1042" s="6" t="s">
        <v>13</v>
      </c>
      <c r="J1042" s="6" t="str">
        <f>IF(Employee[[#This Row],[Attrition]]="Yes","Resigned","Active")</f>
        <v>Active</v>
      </c>
    </row>
    <row r="1043" spans="1:10" x14ac:dyDescent="0.25">
      <c r="A1043" s="6">
        <v>1469</v>
      </c>
      <c r="B1043" s="6">
        <v>28</v>
      </c>
      <c r="C1043" s="5" t="s">
        <v>8</v>
      </c>
      <c r="D1043" s="5" t="s">
        <v>9</v>
      </c>
      <c r="E1043" s="6">
        <v>2</v>
      </c>
      <c r="F1043" s="6">
        <v>8463</v>
      </c>
      <c r="G1043" s="6">
        <v>5</v>
      </c>
      <c r="H1043" s="6">
        <v>3</v>
      </c>
      <c r="I1043" s="6" t="s">
        <v>13</v>
      </c>
      <c r="J1043" s="6" t="str">
        <f>IF(Employee[[#This Row],[Attrition]]="Yes","Resigned","Active")</f>
        <v>Active</v>
      </c>
    </row>
    <row r="1044" spans="1:10" x14ac:dyDescent="0.25">
      <c r="A1044" s="6">
        <v>1471</v>
      </c>
      <c r="B1044" s="6">
        <v>44</v>
      </c>
      <c r="C1044" s="5" t="s">
        <v>11</v>
      </c>
      <c r="D1044" s="5" t="s">
        <v>14</v>
      </c>
      <c r="E1044" s="6">
        <v>1</v>
      </c>
      <c r="F1044" s="6">
        <v>3162</v>
      </c>
      <c r="G1044" s="6">
        <v>5</v>
      </c>
      <c r="H1044" s="6">
        <v>3</v>
      </c>
      <c r="I1044" s="6" t="s">
        <v>13</v>
      </c>
      <c r="J1044" s="6" t="str">
        <f>IF(Employee[[#This Row],[Attrition]]="Yes","Resigned","Active")</f>
        <v>Active</v>
      </c>
    </row>
    <row r="1045" spans="1:10" x14ac:dyDescent="0.25">
      <c r="A1045" s="6">
        <v>1472</v>
      </c>
      <c r="B1045" s="6">
        <v>53</v>
      </c>
      <c r="C1045" s="5" t="s">
        <v>11</v>
      </c>
      <c r="D1045" s="5" t="s">
        <v>19</v>
      </c>
      <c r="E1045" s="6">
        <v>4</v>
      </c>
      <c r="F1045" s="6">
        <v>16598</v>
      </c>
      <c r="G1045" s="6">
        <v>9</v>
      </c>
      <c r="H1045" s="6">
        <v>2</v>
      </c>
      <c r="I1045" s="6" t="s">
        <v>13</v>
      </c>
      <c r="J1045" s="6" t="str">
        <f>IF(Employee[[#This Row],[Attrition]]="Yes","Resigned","Active")</f>
        <v>Active</v>
      </c>
    </row>
    <row r="1046" spans="1:10" x14ac:dyDescent="0.25">
      <c r="A1046" s="6">
        <v>1473</v>
      </c>
      <c r="B1046" s="6">
        <v>49</v>
      </c>
      <c r="C1046" s="5" t="s">
        <v>11</v>
      </c>
      <c r="D1046" s="5" t="s">
        <v>16</v>
      </c>
      <c r="E1046" s="6">
        <v>2</v>
      </c>
      <c r="F1046" s="6">
        <v>6651</v>
      </c>
      <c r="G1046" s="6">
        <v>3</v>
      </c>
      <c r="H1046" s="6">
        <v>2</v>
      </c>
      <c r="I1046" s="6" t="s">
        <v>13</v>
      </c>
      <c r="J1046" s="6" t="str">
        <f>IF(Employee[[#This Row],[Attrition]]="Yes","Resigned","Active")</f>
        <v>Active</v>
      </c>
    </row>
    <row r="1047" spans="1:10" x14ac:dyDescent="0.25">
      <c r="A1047" s="6">
        <v>1474</v>
      </c>
      <c r="B1047" s="6">
        <v>40</v>
      </c>
      <c r="C1047" s="5" t="s">
        <v>11</v>
      </c>
      <c r="D1047" s="5" t="s">
        <v>12</v>
      </c>
      <c r="E1047" s="6">
        <v>1</v>
      </c>
      <c r="F1047" s="6">
        <v>2345</v>
      </c>
      <c r="G1047" s="6">
        <v>3</v>
      </c>
      <c r="H1047" s="6">
        <v>4</v>
      </c>
      <c r="I1047" s="6" t="s">
        <v>13</v>
      </c>
      <c r="J1047" s="6" t="str">
        <f>IF(Employee[[#This Row],[Attrition]]="Yes","Resigned","Active")</f>
        <v>Active</v>
      </c>
    </row>
    <row r="1048" spans="1:10" x14ac:dyDescent="0.25">
      <c r="A1048" s="6">
        <v>1475</v>
      </c>
      <c r="B1048" s="6">
        <v>44</v>
      </c>
      <c r="C1048" s="5" t="s">
        <v>11</v>
      </c>
      <c r="D1048" s="5" t="s">
        <v>12</v>
      </c>
      <c r="E1048" s="6">
        <v>1</v>
      </c>
      <c r="F1048" s="6">
        <v>3420</v>
      </c>
      <c r="G1048" s="6">
        <v>5</v>
      </c>
      <c r="H1048" s="6">
        <v>2</v>
      </c>
      <c r="I1048" s="6" t="s">
        <v>13</v>
      </c>
      <c r="J1048" s="6" t="str">
        <f>IF(Employee[[#This Row],[Attrition]]="Yes","Resigned","Active")</f>
        <v>Active</v>
      </c>
    </row>
    <row r="1049" spans="1:10" x14ac:dyDescent="0.25">
      <c r="A1049" s="6">
        <v>1477</v>
      </c>
      <c r="B1049" s="6">
        <v>33</v>
      </c>
      <c r="C1049" s="5" t="s">
        <v>8</v>
      </c>
      <c r="D1049" s="5" t="s">
        <v>9</v>
      </c>
      <c r="E1049" s="6">
        <v>2</v>
      </c>
      <c r="F1049" s="6">
        <v>4373</v>
      </c>
      <c r="G1049" s="6">
        <v>4</v>
      </c>
      <c r="H1049" s="6">
        <v>3</v>
      </c>
      <c r="I1049" s="6" t="s">
        <v>13</v>
      </c>
      <c r="J1049" s="6" t="str">
        <f>IF(Employee[[#This Row],[Attrition]]="Yes","Resigned","Active")</f>
        <v>Active</v>
      </c>
    </row>
    <row r="1050" spans="1:10" x14ac:dyDescent="0.25">
      <c r="A1050" s="6">
        <v>1478</v>
      </c>
      <c r="B1050" s="6">
        <v>34</v>
      </c>
      <c r="C1050" s="5" t="s">
        <v>8</v>
      </c>
      <c r="D1050" s="5" t="s">
        <v>9</v>
      </c>
      <c r="E1050" s="6">
        <v>2</v>
      </c>
      <c r="F1050" s="6">
        <v>4759</v>
      </c>
      <c r="G1050" s="6">
        <v>13</v>
      </c>
      <c r="H1050" s="6">
        <v>3</v>
      </c>
      <c r="I1050" s="6" t="s">
        <v>13</v>
      </c>
      <c r="J1050" s="6" t="str">
        <f>IF(Employee[[#This Row],[Attrition]]="Yes","Resigned","Active")</f>
        <v>Active</v>
      </c>
    </row>
    <row r="1051" spans="1:10" x14ac:dyDescent="0.25">
      <c r="A1051" s="6">
        <v>1479</v>
      </c>
      <c r="B1051" s="6">
        <v>30</v>
      </c>
      <c r="C1051" s="5" t="s">
        <v>8</v>
      </c>
      <c r="D1051" s="5" t="s">
        <v>9</v>
      </c>
      <c r="E1051" s="6">
        <v>2</v>
      </c>
      <c r="F1051" s="6">
        <v>5301</v>
      </c>
      <c r="G1051" s="6">
        <v>2</v>
      </c>
      <c r="H1051" s="6">
        <v>2</v>
      </c>
      <c r="I1051" s="6" t="s">
        <v>13</v>
      </c>
      <c r="J1051" s="6" t="str">
        <f>IF(Employee[[#This Row],[Attrition]]="Yes","Resigned","Active")</f>
        <v>Active</v>
      </c>
    </row>
    <row r="1052" spans="1:10" x14ac:dyDescent="0.25">
      <c r="A1052" s="6">
        <v>1480</v>
      </c>
      <c r="B1052" s="6">
        <v>42</v>
      </c>
      <c r="C1052" s="5" t="s">
        <v>11</v>
      </c>
      <c r="D1052" s="5" t="s">
        <v>14</v>
      </c>
      <c r="E1052" s="6">
        <v>1</v>
      </c>
      <c r="F1052" s="6">
        <v>3673</v>
      </c>
      <c r="G1052" s="6">
        <v>12</v>
      </c>
      <c r="H1052" s="6">
        <v>3</v>
      </c>
      <c r="I1052" s="6" t="s">
        <v>13</v>
      </c>
      <c r="J1052" s="6" t="str">
        <f>IF(Employee[[#This Row],[Attrition]]="Yes","Resigned","Active")</f>
        <v>Active</v>
      </c>
    </row>
    <row r="1053" spans="1:10" x14ac:dyDescent="0.25">
      <c r="A1053" s="6">
        <v>1481</v>
      </c>
      <c r="B1053" s="6">
        <v>44</v>
      </c>
      <c r="C1053" s="5" t="s">
        <v>8</v>
      </c>
      <c r="D1053" s="5" t="s">
        <v>9</v>
      </c>
      <c r="E1053" s="6">
        <v>2</v>
      </c>
      <c r="F1053" s="6">
        <v>4768</v>
      </c>
      <c r="G1053" s="6">
        <v>1</v>
      </c>
      <c r="H1053" s="6">
        <v>2</v>
      </c>
      <c r="I1053" s="6" t="s">
        <v>13</v>
      </c>
      <c r="J1053" s="6" t="str">
        <f>IF(Employee[[#This Row],[Attrition]]="Yes","Resigned","Active")</f>
        <v>Active</v>
      </c>
    </row>
    <row r="1054" spans="1:10" x14ac:dyDescent="0.25">
      <c r="A1054" s="6">
        <v>1482</v>
      </c>
      <c r="B1054" s="6">
        <v>30</v>
      </c>
      <c r="C1054" s="5" t="s">
        <v>11</v>
      </c>
      <c r="D1054" s="5" t="s">
        <v>12</v>
      </c>
      <c r="E1054" s="6">
        <v>1</v>
      </c>
      <c r="F1054" s="6">
        <v>1274</v>
      </c>
      <c r="G1054" s="6">
        <v>1</v>
      </c>
      <c r="H1054" s="6">
        <v>2</v>
      </c>
      <c r="I1054" s="6" t="s">
        <v>13</v>
      </c>
      <c r="J1054" s="6" t="str">
        <f>IF(Employee[[#This Row],[Attrition]]="Yes","Resigned","Active")</f>
        <v>Active</v>
      </c>
    </row>
    <row r="1055" spans="1:10" x14ac:dyDescent="0.25">
      <c r="A1055" s="6">
        <v>1483</v>
      </c>
      <c r="B1055" s="6">
        <v>57</v>
      </c>
      <c r="C1055" s="5" t="s">
        <v>11</v>
      </c>
      <c r="D1055" s="5" t="s">
        <v>12</v>
      </c>
      <c r="E1055" s="6">
        <v>2</v>
      </c>
      <c r="F1055" s="6">
        <v>4900</v>
      </c>
      <c r="G1055" s="6">
        <v>12</v>
      </c>
      <c r="H1055" s="6">
        <v>2</v>
      </c>
      <c r="I1055" s="6" t="s">
        <v>13</v>
      </c>
      <c r="J1055" s="6" t="str">
        <f>IF(Employee[[#This Row],[Attrition]]="Yes","Resigned","Active")</f>
        <v>Active</v>
      </c>
    </row>
    <row r="1056" spans="1:10" x14ac:dyDescent="0.25">
      <c r="A1056" s="6">
        <v>1484</v>
      </c>
      <c r="B1056" s="6">
        <v>49</v>
      </c>
      <c r="C1056" s="5" t="s">
        <v>11</v>
      </c>
      <c r="D1056" s="5" t="s">
        <v>16</v>
      </c>
      <c r="E1056" s="6">
        <v>3</v>
      </c>
      <c r="F1056" s="6">
        <v>10466</v>
      </c>
      <c r="G1056" s="6">
        <v>8</v>
      </c>
      <c r="H1056" s="6">
        <v>3</v>
      </c>
      <c r="I1056" s="6" t="s">
        <v>13</v>
      </c>
      <c r="J1056" s="6" t="str">
        <f>IF(Employee[[#This Row],[Attrition]]="Yes","Resigned","Active")</f>
        <v>Active</v>
      </c>
    </row>
    <row r="1057" spans="1:10" x14ac:dyDescent="0.25">
      <c r="A1057" s="6">
        <v>1485</v>
      </c>
      <c r="B1057" s="6">
        <v>34</v>
      </c>
      <c r="C1057" s="5" t="s">
        <v>11</v>
      </c>
      <c r="D1057" s="5" t="s">
        <v>19</v>
      </c>
      <c r="E1057" s="6">
        <v>4</v>
      </c>
      <c r="F1057" s="6">
        <v>17007</v>
      </c>
      <c r="G1057" s="6">
        <v>14</v>
      </c>
      <c r="H1057" s="6">
        <v>2</v>
      </c>
      <c r="I1057" s="6" t="s">
        <v>13</v>
      </c>
      <c r="J1057" s="6" t="str">
        <f>IF(Employee[[#This Row],[Attrition]]="Yes","Resigned","Active")</f>
        <v>Active</v>
      </c>
    </row>
    <row r="1058" spans="1:10" x14ac:dyDescent="0.25">
      <c r="A1058" s="6">
        <v>1486</v>
      </c>
      <c r="B1058" s="6">
        <v>28</v>
      </c>
      <c r="C1058" s="5" t="s">
        <v>8</v>
      </c>
      <c r="D1058" s="5" t="s">
        <v>18</v>
      </c>
      <c r="E1058" s="6">
        <v>1</v>
      </c>
      <c r="F1058" s="6">
        <v>2909</v>
      </c>
      <c r="G1058" s="6">
        <v>3</v>
      </c>
      <c r="H1058" s="6">
        <v>4</v>
      </c>
      <c r="I1058" s="6" t="s">
        <v>10</v>
      </c>
      <c r="J1058" s="6" t="str">
        <f>IF(Employee[[#This Row],[Attrition]]="Yes","Resigned","Active")</f>
        <v>Resigned</v>
      </c>
    </row>
    <row r="1059" spans="1:10" x14ac:dyDescent="0.25">
      <c r="A1059" s="6">
        <v>1487</v>
      </c>
      <c r="B1059" s="6">
        <v>29</v>
      </c>
      <c r="C1059" s="5" t="s">
        <v>8</v>
      </c>
      <c r="D1059" s="5" t="s">
        <v>9</v>
      </c>
      <c r="E1059" s="6">
        <v>2</v>
      </c>
      <c r="F1059" s="6">
        <v>5765</v>
      </c>
      <c r="G1059" s="6">
        <v>5</v>
      </c>
      <c r="H1059" s="6">
        <v>1</v>
      </c>
      <c r="I1059" s="6" t="s">
        <v>10</v>
      </c>
      <c r="J1059" s="6" t="str">
        <f>IF(Employee[[#This Row],[Attrition]]="Yes","Resigned","Active")</f>
        <v>Resigned</v>
      </c>
    </row>
    <row r="1060" spans="1:10" x14ac:dyDescent="0.25">
      <c r="A1060" s="6">
        <v>1489</v>
      </c>
      <c r="B1060" s="6">
        <v>34</v>
      </c>
      <c r="C1060" s="5" t="s">
        <v>8</v>
      </c>
      <c r="D1060" s="5" t="s">
        <v>9</v>
      </c>
      <c r="E1060" s="6">
        <v>2</v>
      </c>
      <c r="F1060" s="6">
        <v>4599</v>
      </c>
      <c r="G1060" s="6">
        <v>15</v>
      </c>
      <c r="H1060" s="6">
        <v>4</v>
      </c>
      <c r="I1060" s="6" t="s">
        <v>10</v>
      </c>
      <c r="J1060" s="6" t="str">
        <f>IF(Employee[[#This Row],[Attrition]]="Yes","Resigned","Active")</f>
        <v>Resigned</v>
      </c>
    </row>
    <row r="1061" spans="1:10" x14ac:dyDescent="0.25">
      <c r="A1061" s="6">
        <v>1492</v>
      </c>
      <c r="B1061" s="6">
        <v>35</v>
      </c>
      <c r="C1061" s="5" t="s">
        <v>8</v>
      </c>
      <c r="D1061" s="5" t="s">
        <v>18</v>
      </c>
      <c r="E1061" s="6">
        <v>1</v>
      </c>
      <c r="F1061" s="6">
        <v>2404</v>
      </c>
      <c r="G1061" s="6">
        <v>1</v>
      </c>
      <c r="H1061" s="6">
        <v>3</v>
      </c>
      <c r="I1061" s="6" t="s">
        <v>13</v>
      </c>
      <c r="J1061" s="6" t="str">
        <f>IF(Employee[[#This Row],[Attrition]]="Yes","Resigned","Active")</f>
        <v>Active</v>
      </c>
    </row>
    <row r="1062" spans="1:10" x14ac:dyDescent="0.25">
      <c r="A1062" s="6">
        <v>1494</v>
      </c>
      <c r="B1062" s="6">
        <v>24</v>
      </c>
      <c r="C1062" s="5" t="s">
        <v>11</v>
      </c>
      <c r="D1062" s="5" t="s">
        <v>14</v>
      </c>
      <c r="E1062" s="6">
        <v>1</v>
      </c>
      <c r="F1062" s="6">
        <v>3172</v>
      </c>
      <c r="G1062" s="6">
        <v>0</v>
      </c>
      <c r="H1062" s="6">
        <v>2</v>
      </c>
      <c r="I1062" s="6" t="s">
        <v>10</v>
      </c>
      <c r="J1062" s="6" t="str">
        <f>IF(Employee[[#This Row],[Attrition]]="Yes","Resigned","Active")</f>
        <v>Resigned</v>
      </c>
    </row>
    <row r="1063" spans="1:10" x14ac:dyDescent="0.25">
      <c r="A1063" s="6">
        <v>1495</v>
      </c>
      <c r="B1063" s="6">
        <v>24</v>
      </c>
      <c r="C1063" s="5" t="s">
        <v>8</v>
      </c>
      <c r="D1063" s="5" t="s">
        <v>18</v>
      </c>
      <c r="E1063" s="6">
        <v>1</v>
      </c>
      <c r="F1063" s="6">
        <v>2033</v>
      </c>
      <c r="G1063" s="6">
        <v>1</v>
      </c>
      <c r="H1063" s="6">
        <v>3</v>
      </c>
      <c r="I1063" s="6" t="s">
        <v>13</v>
      </c>
      <c r="J1063" s="6" t="str">
        <f>IF(Employee[[#This Row],[Attrition]]="Yes","Resigned","Active")</f>
        <v>Active</v>
      </c>
    </row>
    <row r="1064" spans="1:10" x14ac:dyDescent="0.25">
      <c r="A1064" s="6">
        <v>1496</v>
      </c>
      <c r="B1064" s="6">
        <v>44</v>
      </c>
      <c r="C1064" s="5" t="s">
        <v>11</v>
      </c>
      <c r="D1064" s="5" t="s">
        <v>15</v>
      </c>
      <c r="E1064" s="6">
        <v>3</v>
      </c>
      <c r="F1064" s="6">
        <v>10209</v>
      </c>
      <c r="G1064" s="6">
        <v>2</v>
      </c>
      <c r="H1064" s="6">
        <v>2</v>
      </c>
      <c r="I1064" s="6" t="s">
        <v>13</v>
      </c>
      <c r="J1064" s="6" t="str">
        <f>IF(Employee[[#This Row],[Attrition]]="Yes","Resigned","Active")</f>
        <v>Active</v>
      </c>
    </row>
    <row r="1065" spans="1:10" x14ac:dyDescent="0.25">
      <c r="A1065" s="6">
        <v>1497</v>
      </c>
      <c r="B1065" s="6">
        <v>29</v>
      </c>
      <c r="C1065" s="5" t="s">
        <v>8</v>
      </c>
      <c r="D1065" s="5" t="s">
        <v>9</v>
      </c>
      <c r="E1065" s="6">
        <v>2</v>
      </c>
      <c r="F1065" s="6">
        <v>8620</v>
      </c>
      <c r="G1065" s="6">
        <v>10</v>
      </c>
      <c r="H1065" s="6">
        <v>3</v>
      </c>
      <c r="I1065" s="6" t="s">
        <v>13</v>
      </c>
      <c r="J1065" s="6" t="str">
        <f>IF(Employee[[#This Row],[Attrition]]="Yes","Resigned","Active")</f>
        <v>Active</v>
      </c>
    </row>
    <row r="1066" spans="1:10" x14ac:dyDescent="0.25">
      <c r="A1066" s="6">
        <v>1499</v>
      </c>
      <c r="B1066" s="6">
        <v>30</v>
      </c>
      <c r="C1066" s="5" t="s">
        <v>20</v>
      </c>
      <c r="D1066" s="5" t="s">
        <v>20</v>
      </c>
      <c r="E1066" s="6">
        <v>1</v>
      </c>
      <c r="F1066" s="6">
        <v>2064</v>
      </c>
      <c r="G1066" s="6">
        <v>5</v>
      </c>
      <c r="H1066" s="6">
        <v>4</v>
      </c>
      <c r="I1066" s="6" t="s">
        <v>13</v>
      </c>
      <c r="J1066" s="6" t="str">
        <f>IF(Employee[[#This Row],[Attrition]]="Yes","Resigned","Active")</f>
        <v>Active</v>
      </c>
    </row>
    <row r="1067" spans="1:10" x14ac:dyDescent="0.25">
      <c r="A1067" s="6">
        <v>1501</v>
      </c>
      <c r="B1067" s="6">
        <v>55</v>
      </c>
      <c r="C1067" s="5" t="s">
        <v>11</v>
      </c>
      <c r="D1067" s="5" t="s">
        <v>16</v>
      </c>
      <c r="E1067" s="6">
        <v>2</v>
      </c>
      <c r="F1067" s="6">
        <v>4035</v>
      </c>
      <c r="G1067" s="6">
        <v>3</v>
      </c>
      <c r="H1067" s="6">
        <v>3</v>
      </c>
      <c r="I1067" s="6" t="s">
        <v>13</v>
      </c>
      <c r="J1067" s="6" t="str">
        <f>IF(Employee[[#This Row],[Attrition]]="Yes","Resigned","Active")</f>
        <v>Active</v>
      </c>
    </row>
    <row r="1068" spans="1:10" x14ac:dyDescent="0.25">
      <c r="A1068" s="6">
        <v>1502</v>
      </c>
      <c r="B1068" s="6">
        <v>33</v>
      </c>
      <c r="C1068" s="5" t="s">
        <v>11</v>
      </c>
      <c r="D1068" s="5" t="s">
        <v>14</v>
      </c>
      <c r="E1068" s="6">
        <v>1</v>
      </c>
      <c r="F1068" s="6">
        <v>3838</v>
      </c>
      <c r="G1068" s="6">
        <v>5</v>
      </c>
      <c r="H1068" s="6">
        <v>3</v>
      </c>
      <c r="I1068" s="6" t="s">
        <v>13</v>
      </c>
      <c r="J1068" s="6" t="str">
        <f>IF(Employee[[#This Row],[Attrition]]="Yes","Resigned","Active")</f>
        <v>Active</v>
      </c>
    </row>
    <row r="1069" spans="1:10" x14ac:dyDescent="0.25">
      <c r="A1069" s="6">
        <v>1503</v>
      </c>
      <c r="B1069" s="6">
        <v>47</v>
      </c>
      <c r="C1069" s="5" t="s">
        <v>8</v>
      </c>
      <c r="D1069" s="5" t="s">
        <v>9</v>
      </c>
      <c r="E1069" s="6">
        <v>2</v>
      </c>
      <c r="F1069" s="6">
        <v>4591</v>
      </c>
      <c r="G1069" s="6">
        <v>5</v>
      </c>
      <c r="H1069" s="6">
        <v>2</v>
      </c>
      <c r="I1069" s="6" t="s">
        <v>13</v>
      </c>
      <c r="J1069" s="6" t="str">
        <f>IF(Employee[[#This Row],[Attrition]]="Yes","Resigned","Active")</f>
        <v>Active</v>
      </c>
    </row>
    <row r="1070" spans="1:10" x14ac:dyDescent="0.25">
      <c r="A1070" s="6">
        <v>1504</v>
      </c>
      <c r="B1070" s="6">
        <v>28</v>
      </c>
      <c r="C1070" s="5" t="s">
        <v>11</v>
      </c>
      <c r="D1070" s="5" t="s">
        <v>14</v>
      </c>
      <c r="E1070" s="6">
        <v>1</v>
      </c>
      <c r="F1070" s="6">
        <v>2561</v>
      </c>
      <c r="G1070" s="6">
        <v>0</v>
      </c>
      <c r="H1070" s="6">
        <v>2</v>
      </c>
      <c r="I1070" s="6" t="s">
        <v>10</v>
      </c>
      <c r="J1070" s="6" t="str">
        <f>IF(Employee[[#This Row],[Attrition]]="Yes","Resigned","Active")</f>
        <v>Resigned</v>
      </c>
    </row>
    <row r="1071" spans="1:10" x14ac:dyDescent="0.25">
      <c r="A1071" s="6">
        <v>1506</v>
      </c>
      <c r="B1071" s="6">
        <v>28</v>
      </c>
      <c r="C1071" s="5" t="s">
        <v>11</v>
      </c>
      <c r="D1071" s="5" t="s">
        <v>12</v>
      </c>
      <c r="E1071" s="6">
        <v>1</v>
      </c>
      <c r="F1071" s="6">
        <v>1563</v>
      </c>
      <c r="G1071" s="6">
        <v>1</v>
      </c>
      <c r="H1071" s="6">
        <v>1</v>
      </c>
      <c r="I1071" s="6" t="s">
        <v>13</v>
      </c>
      <c r="J1071" s="6" t="str">
        <f>IF(Employee[[#This Row],[Attrition]]="Yes","Resigned","Active")</f>
        <v>Active</v>
      </c>
    </row>
    <row r="1072" spans="1:10" x14ac:dyDescent="0.25">
      <c r="A1072" s="6">
        <v>1507</v>
      </c>
      <c r="B1072" s="6">
        <v>28</v>
      </c>
      <c r="C1072" s="5" t="s">
        <v>8</v>
      </c>
      <c r="D1072" s="5" t="s">
        <v>9</v>
      </c>
      <c r="E1072" s="6">
        <v>2</v>
      </c>
      <c r="F1072" s="6">
        <v>4898</v>
      </c>
      <c r="G1072" s="6">
        <v>4</v>
      </c>
      <c r="H1072" s="6">
        <v>3</v>
      </c>
      <c r="I1072" s="6" t="s">
        <v>13</v>
      </c>
      <c r="J1072" s="6" t="str">
        <f>IF(Employee[[#This Row],[Attrition]]="Yes","Resigned","Active")</f>
        <v>Active</v>
      </c>
    </row>
    <row r="1073" spans="1:10" x14ac:dyDescent="0.25">
      <c r="A1073" s="6">
        <v>1509</v>
      </c>
      <c r="B1073" s="6">
        <v>49</v>
      </c>
      <c r="C1073" s="5" t="s">
        <v>11</v>
      </c>
      <c r="D1073" s="5" t="s">
        <v>14</v>
      </c>
      <c r="E1073" s="6">
        <v>2</v>
      </c>
      <c r="F1073" s="6">
        <v>4789</v>
      </c>
      <c r="G1073" s="6">
        <v>3</v>
      </c>
      <c r="H1073" s="6">
        <v>3</v>
      </c>
      <c r="I1073" s="6" t="s">
        <v>13</v>
      </c>
      <c r="J1073" s="6" t="str">
        <f>IF(Employee[[#This Row],[Attrition]]="Yes","Resigned","Active")</f>
        <v>Active</v>
      </c>
    </row>
    <row r="1074" spans="1:10" x14ac:dyDescent="0.25">
      <c r="A1074" s="6">
        <v>1513</v>
      </c>
      <c r="B1074" s="6">
        <v>29</v>
      </c>
      <c r="C1074" s="5" t="s">
        <v>11</v>
      </c>
      <c r="D1074" s="5" t="s">
        <v>14</v>
      </c>
      <c r="E1074" s="6">
        <v>1</v>
      </c>
      <c r="F1074" s="6">
        <v>3180</v>
      </c>
      <c r="G1074" s="6">
        <v>3</v>
      </c>
      <c r="H1074" s="6">
        <v>3</v>
      </c>
      <c r="I1074" s="6" t="s">
        <v>13</v>
      </c>
      <c r="J1074" s="6" t="str">
        <f>IF(Employee[[#This Row],[Attrition]]="Yes","Resigned","Active")</f>
        <v>Active</v>
      </c>
    </row>
    <row r="1075" spans="1:10" x14ac:dyDescent="0.25">
      <c r="A1075" s="6">
        <v>1514</v>
      </c>
      <c r="B1075" s="6">
        <v>28</v>
      </c>
      <c r="C1075" s="5" t="s">
        <v>11</v>
      </c>
      <c r="D1075" s="5" t="s">
        <v>15</v>
      </c>
      <c r="E1075" s="6">
        <v>2</v>
      </c>
      <c r="F1075" s="6">
        <v>6549</v>
      </c>
      <c r="G1075" s="6">
        <v>8</v>
      </c>
      <c r="H1075" s="6">
        <v>2</v>
      </c>
      <c r="I1075" s="6" t="s">
        <v>13</v>
      </c>
      <c r="J1075" s="6" t="str">
        <f>IF(Employee[[#This Row],[Attrition]]="Yes","Resigned","Active")</f>
        <v>Active</v>
      </c>
    </row>
    <row r="1076" spans="1:10" x14ac:dyDescent="0.25">
      <c r="A1076" s="6">
        <v>1515</v>
      </c>
      <c r="B1076" s="6">
        <v>33</v>
      </c>
      <c r="C1076" s="5" t="s">
        <v>11</v>
      </c>
      <c r="D1076" s="5" t="s">
        <v>16</v>
      </c>
      <c r="E1076" s="6">
        <v>2</v>
      </c>
      <c r="F1076" s="6">
        <v>6388</v>
      </c>
      <c r="G1076" s="6">
        <v>0</v>
      </c>
      <c r="H1076" s="6">
        <v>3</v>
      </c>
      <c r="I1076" s="6" t="s">
        <v>13</v>
      </c>
      <c r="J1076" s="6" t="str">
        <f>IF(Employee[[#This Row],[Attrition]]="Yes","Resigned","Active")</f>
        <v>Active</v>
      </c>
    </row>
    <row r="1077" spans="1:10" x14ac:dyDescent="0.25">
      <c r="A1077" s="6">
        <v>1516</v>
      </c>
      <c r="B1077" s="6">
        <v>32</v>
      </c>
      <c r="C1077" s="5" t="s">
        <v>11</v>
      </c>
      <c r="D1077" s="5" t="s">
        <v>17</v>
      </c>
      <c r="E1077" s="6">
        <v>3</v>
      </c>
      <c r="F1077" s="6">
        <v>11244</v>
      </c>
      <c r="G1077" s="6">
        <v>5</v>
      </c>
      <c r="H1077" s="6">
        <v>4</v>
      </c>
      <c r="I1077" s="6" t="s">
        <v>13</v>
      </c>
      <c r="J1077" s="6" t="str">
        <f>IF(Employee[[#This Row],[Attrition]]="Yes","Resigned","Active")</f>
        <v>Active</v>
      </c>
    </row>
    <row r="1078" spans="1:10" x14ac:dyDescent="0.25">
      <c r="A1078" s="6">
        <v>1520</v>
      </c>
      <c r="B1078" s="6">
        <v>54</v>
      </c>
      <c r="C1078" s="5" t="s">
        <v>11</v>
      </c>
      <c r="D1078" s="5" t="s">
        <v>17</v>
      </c>
      <c r="E1078" s="6">
        <v>4</v>
      </c>
      <c r="F1078" s="6">
        <v>16032</v>
      </c>
      <c r="G1078" s="6">
        <v>14</v>
      </c>
      <c r="H1078" s="6">
        <v>3</v>
      </c>
      <c r="I1078" s="6" t="s">
        <v>13</v>
      </c>
      <c r="J1078" s="6" t="str">
        <f>IF(Employee[[#This Row],[Attrition]]="Yes","Resigned","Active")</f>
        <v>Active</v>
      </c>
    </row>
    <row r="1079" spans="1:10" x14ac:dyDescent="0.25">
      <c r="A1079" s="6">
        <v>1522</v>
      </c>
      <c r="B1079" s="6">
        <v>29</v>
      </c>
      <c r="C1079" s="5" t="s">
        <v>11</v>
      </c>
      <c r="D1079" s="5" t="s">
        <v>12</v>
      </c>
      <c r="E1079" s="6">
        <v>1</v>
      </c>
      <c r="F1079" s="6">
        <v>2362</v>
      </c>
      <c r="G1079" s="6">
        <v>9</v>
      </c>
      <c r="H1079" s="6">
        <v>1</v>
      </c>
      <c r="I1079" s="6" t="s">
        <v>10</v>
      </c>
      <c r="J1079" s="6" t="str">
        <f>IF(Employee[[#This Row],[Attrition]]="Yes","Resigned","Active")</f>
        <v>Resigned</v>
      </c>
    </row>
    <row r="1080" spans="1:10" x14ac:dyDescent="0.25">
      <c r="A1080" s="6">
        <v>1523</v>
      </c>
      <c r="B1080" s="6">
        <v>44</v>
      </c>
      <c r="C1080" s="5" t="s">
        <v>11</v>
      </c>
      <c r="D1080" s="5" t="s">
        <v>19</v>
      </c>
      <c r="E1080" s="6">
        <v>4</v>
      </c>
      <c r="F1080" s="6">
        <v>16328</v>
      </c>
      <c r="G1080" s="6">
        <v>20</v>
      </c>
      <c r="H1080" s="6">
        <v>4</v>
      </c>
      <c r="I1080" s="6" t="s">
        <v>13</v>
      </c>
      <c r="J1080" s="6" t="str">
        <f>IF(Employee[[#This Row],[Attrition]]="Yes","Resigned","Active")</f>
        <v>Active</v>
      </c>
    </row>
    <row r="1081" spans="1:10" x14ac:dyDescent="0.25">
      <c r="A1081" s="6">
        <v>1525</v>
      </c>
      <c r="B1081" s="6">
        <v>39</v>
      </c>
      <c r="C1081" s="5" t="s">
        <v>11</v>
      </c>
      <c r="D1081" s="5" t="s">
        <v>15</v>
      </c>
      <c r="E1081" s="6">
        <v>3</v>
      </c>
      <c r="F1081" s="6">
        <v>8376</v>
      </c>
      <c r="G1081" s="6">
        <v>2</v>
      </c>
      <c r="H1081" s="6">
        <v>3</v>
      </c>
      <c r="I1081" s="6" t="s">
        <v>13</v>
      </c>
      <c r="J1081" s="6" t="str">
        <f>IF(Employee[[#This Row],[Attrition]]="Yes","Resigned","Active")</f>
        <v>Active</v>
      </c>
    </row>
    <row r="1082" spans="1:10" x14ac:dyDescent="0.25">
      <c r="A1082" s="6">
        <v>1527</v>
      </c>
      <c r="B1082" s="6">
        <v>46</v>
      </c>
      <c r="C1082" s="5" t="s">
        <v>8</v>
      </c>
      <c r="D1082" s="5" t="s">
        <v>17</v>
      </c>
      <c r="E1082" s="6">
        <v>4</v>
      </c>
      <c r="F1082" s="6">
        <v>16606</v>
      </c>
      <c r="G1082" s="6">
        <v>13</v>
      </c>
      <c r="H1082" s="6">
        <v>4</v>
      </c>
      <c r="I1082" s="6" t="s">
        <v>13</v>
      </c>
      <c r="J1082" s="6" t="str">
        <f>IF(Employee[[#This Row],[Attrition]]="Yes","Resigned","Active")</f>
        <v>Active</v>
      </c>
    </row>
    <row r="1083" spans="1:10" x14ac:dyDescent="0.25">
      <c r="A1083" s="6">
        <v>1529</v>
      </c>
      <c r="B1083" s="6">
        <v>35</v>
      </c>
      <c r="C1083" s="5" t="s">
        <v>11</v>
      </c>
      <c r="D1083" s="5" t="s">
        <v>16</v>
      </c>
      <c r="E1083" s="6">
        <v>3</v>
      </c>
      <c r="F1083" s="6">
        <v>8606</v>
      </c>
      <c r="G1083" s="6">
        <v>11</v>
      </c>
      <c r="H1083" s="6">
        <v>1</v>
      </c>
      <c r="I1083" s="6" t="s">
        <v>13</v>
      </c>
      <c r="J1083" s="6" t="str">
        <f>IF(Employee[[#This Row],[Attrition]]="Yes","Resigned","Active")</f>
        <v>Active</v>
      </c>
    </row>
    <row r="1084" spans="1:10" x14ac:dyDescent="0.25">
      <c r="A1084" s="6">
        <v>1533</v>
      </c>
      <c r="B1084" s="6">
        <v>23</v>
      </c>
      <c r="C1084" s="5" t="s">
        <v>11</v>
      </c>
      <c r="D1084" s="5" t="s">
        <v>14</v>
      </c>
      <c r="E1084" s="6">
        <v>2</v>
      </c>
      <c r="F1084" s="6">
        <v>2272</v>
      </c>
      <c r="G1084" s="6">
        <v>4</v>
      </c>
      <c r="H1084" s="6">
        <v>3</v>
      </c>
      <c r="I1084" s="6" t="s">
        <v>13</v>
      </c>
      <c r="J1084" s="6" t="str">
        <f>IF(Employee[[#This Row],[Attrition]]="Yes","Resigned","Active")</f>
        <v>Active</v>
      </c>
    </row>
    <row r="1085" spans="1:10" x14ac:dyDescent="0.25">
      <c r="A1085" s="6">
        <v>1534</v>
      </c>
      <c r="B1085" s="6">
        <v>40</v>
      </c>
      <c r="C1085" s="5" t="s">
        <v>11</v>
      </c>
      <c r="D1085" s="5" t="s">
        <v>14</v>
      </c>
      <c r="E1085" s="6">
        <v>1</v>
      </c>
      <c r="F1085" s="6">
        <v>2018</v>
      </c>
      <c r="G1085" s="6">
        <v>5</v>
      </c>
      <c r="H1085" s="6">
        <v>1</v>
      </c>
      <c r="I1085" s="6" t="s">
        <v>10</v>
      </c>
      <c r="J1085" s="6" t="str">
        <f>IF(Employee[[#This Row],[Attrition]]="Yes","Resigned","Active")</f>
        <v>Resigned</v>
      </c>
    </row>
    <row r="1086" spans="1:10" x14ac:dyDescent="0.25">
      <c r="A1086" s="6">
        <v>1535</v>
      </c>
      <c r="B1086" s="6">
        <v>34</v>
      </c>
      <c r="C1086" s="5" t="s">
        <v>8</v>
      </c>
      <c r="D1086" s="5" t="s">
        <v>9</v>
      </c>
      <c r="E1086" s="6">
        <v>3</v>
      </c>
      <c r="F1086" s="6">
        <v>7083</v>
      </c>
      <c r="G1086" s="6">
        <v>10</v>
      </c>
      <c r="H1086" s="6">
        <v>3</v>
      </c>
      <c r="I1086" s="6" t="s">
        <v>13</v>
      </c>
      <c r="J1086" s="6" t="str">
        <f>IF(Employee[[#This Row],[Attrition]]="Yes","Resigned","Active")</f>
        <v>Active</v>
      </c>
    </row>
    <row r="1087" spans="1:10" x14ac:dyDescent="0.25">
      <c r="A1087" s="6">
        <v>1537</v>
      </c>
      <c r="B1087" s="6">
        <v>31</v>
      </c>
      <c r="C1087" s="5" t="s">
        <v>11</v>
      </c>
      <c r="D1087" s="5" t="s">
        <v>12</v>
      </c>
      <c r="E1087" s="6">
        <v>1</v>
      </c>
      <c r="F1087" s="6">
        <v>4084</v>
      </c>
      <c r="G1087" s="6">
        <v>7</v>
      </c>
      <c r="H1087" s="6">
        <v>1</v>
      </c>
      <c r="I1087" s="6" t="s">
        <v>10</v>
      </c>
      <c r="J1087" s="6" t="str">
        <f>IF(Employee[[#This Row],[Attrition]]="Yes","Resigned","Active")</f>
        <v>Resigned</v>
      </c>
    </row>
    <row r="1088" spans="1:10" x14ac:dyDescent="0.25">
      <c r="A1088" s="6">
        <v>1539</v>
      </c>
      <c r="B1088" s="6">
        <v>50</v>
      </c>
      <c r="C1088" s="5" t="s">
        <v>11</v>
      </c>
      <c r="D1088" s="5" t="s">
        <v>19</v>
      </c>
      <c r="E1088" s="6">
        <v>4</v>
      </c>
      <c r="F1088" s="6">
        <v>14411</v>
      </c>
      <c r="G1088" s="6">
        <v>32</v>
      </c>
      <c r="H1088" s="6">
        <v>3</v>
      </c>
      <c r="I1088" s="6" t="s">
        <v>13</v>
      </c>
      <c r="J1088" s="6" t="str">
        <f>IF(Employee[[#This Row],[Attrition]]="Yes","Resigned","Active")</f>
        <v>Active</v>
      </c>
    </row>
    <row r="1089" spans="1:10" x14ac:dyDescent="0.25">
      <c r="A1089" s="6">
        <v>1541</v>
      </c>
      <c r="B1089" s="6">
        <v>34</v>
      </c>
      <c r="C1089" s="5" t="s">
        <v>8</v>
      </c>
      <c r="D1089" s="5" t="s">
        <v>18</v>
      </c>
      <c r="E1089" s="6">
        <v>1</v>
      </c>
      <c r="F1089" s="6">
        <v>2308</v>
      </c>
      <c r="G1089" s="6">
        <v>11</v>
      </c>
      <c r="H1089" s="6">
        <v>3</v>
      </c>
      <c r="I1089" s="6" t="s">
        <v>13</v>
      </c>
      <c r="J1089" s="6" t="str">
        <f>IF(Employee[[#This Row],[Attrition]]="Yes","Resigned","Active")</f>
        <v>Active</v>
      </c>
    </row>
    <row r="1090" spans="1:10" x14ac:dyDescent="0.25">
      <c r="A1090" s="6">
        <v>1542</v>
      </c>
      <c r="B1090" s="6">
        <v>42</v>
      </c>
      <c r="C1090" s="5" t="s">
        <v>11</v>
      </c>
      <c r="D1090" s="5" t="s">
        <v>14</v>
      </c>
      <c r="E1090" s="6">
        <v>1</v>
      </c>
      <c r="F1090" s="6">
        <v>4841</v>
      </c>
      <c r="G1090" s="6">
        <v>1</v>
      </c>
      <c r="H1090" s="6">
        <v>3</v>
      </c>
      <c r="I1090" s="6" t="s">
        <v>13</v>
      </c>
      <c r="J1090" s="6" t="str">
        <f>IF(Employee[[#This Row],[Attrition]]="Yes","Resigned","Active")</f>
        <v>Active</v>
      </c>
    </row>
    <row r="1091" spans="1:10" x14ac:dyDescent="0.25">
      <c r="A1091" s="6">
        <v>1543</v>
      </c>
      <c r="B1091" s="6">
        <v>37</v>
      </c>
      <c r="C1091" s="5" t="s">
        <v>11</v>
      </c>
      <c r="D1091" s="5" t="s">
        <v>12</v>
      </c>
      <c r="E1091" s="6">
        <v>2</v>
      </c>
      <c r="F1091" s="6">
        <v>4285</v>
      </c>
      <c r="G1091" s="6">
        <v>10</v>
      </c>
      <c r="H1091" s="6">
        <v>3</v>
      </c>
      <c r="I1091" s="6" t="s">
        <v>13</v>
      </c>
      <c r="J1091" s="6" t="str">
        <f>IF(Employee[[#This Row],[Attrition]]="Yes","Resigned","Active")</f>
        <v>Active</v>
      </c>
    </row>
    <row r="1092" spans="1:10" x14ac:dyDescent="0.25">
      <c r="A1092" s="6">
        <v>1544</v>
      </c>
      <c r="B1092" s="6">
        <v>29</v>
      </c>
      <c r="C1092" s="5" t="s">
        <v>11</v>
      </c>
      <c r="D1092" s="5" t="s">
        <v>16</v>
      </c>
      <c r="E1092" s="6">
        <v>2</v>
      </c>
      <c r="F1092" s="6">
        <v>9715</v>
      </c>
      <c r="G1092" s="6">
        <v>7</v>
      </c>
      <c r="H1092" s="6">
        <v>3</v>
      </c>
      <c r="I1092" s="6" t="s">
        <v>13</v>
      </c>
      <c r="J1092" s="6" t="str">
        <f>IF(Employee[[#This Row],[Attrition]]="Yes","Resigned","Active")</f>
        <v>Active</v>
      </c>
    </row>
    <row r="1093" spans="1:10" x14ac:dyDescent="0.25">
      <c r="A1093" s="6">
        <v>1545</v>
      </c>
      <c r="B1093" s="6">
        <v>33</v>
      </c>
      <c r="C1093" s="5" t="s">
        <v>11</v>
      </c>
      <c r="D1093" s="5" t="s">
        <v>15</v>
      </c>
      <c r="E1093" s="6">
        <v>2</v>
      </c>
      <c r="F1093" s="6">
        <v>4320</v>
      </c>
      <c r="G1093" s="6">
        <v>5</v>
      </c>
      <c r="H1093" s="6">
        <v>3</v>
      </c>
      <c r="I1093" s="6" t="s">
        <v>13</v>
      </c>
      <c r="J1093" s="6" t="str">
        <f>IF(Employee[[#This Row],[Attrition]]="Yes","Resigned","Active")</f>
        <v>Active</v>
      </c>
    </row>
    <row r="1094" spans="1:10" x14ac:dyDescent="0.25">
      <c r="A1094" s="6">
        <v>1546</v>
      </c>
      <c r="B1094" s="6">
        <v>45</v>
      </c>
      <c r="C1094" s="5" t="s">
        <v>11</v>
      </c>
      <c r="D1094" s="5" t="s">
        <v>12</v>
      </c>
      <c r="E1094" s="6">
        <v>1</v>
      </c>
      <c r="F1094" s="6">
        <v>2132</v>
      </c>
      <c r="G1094" s="6">
        <v>5</v>
      </c>
      <c r="H1094" s="6">
        <v>3</v>
      </c>
      <c r="I1094" s="6" t="s">
        <v>13</v>
      </c>
      <c r="J1094" s="6" t="str">
        <f>IF(Employee[[#This Row],[Attrition]]="Yes","Resigned","Active")</f>
        <v>Active</v>
      </c>
    </row>
    <row r="1095" spans="1:10" x14ac:dyDescent="0.25">
      <c r="A1095" s="6">
        <v>1547</v>
      </c>
      <c r="B1095" s="6">
        <v>42</v>
      </c>
      <c r="C1095" s="5" t="s">
        <v>11</v>
      </c>
      <c r="D1095" s="5" t="s">
        <v>16</v>
      </c>
      <c r="E1095" s="6">
        <v>3</v>
      </c>
      <c r="F1095" s="6">
        <v>10124</v>
      </c>
      <c r="G1095" s="6">
        <v>20</v>
      </c>
      <c r="H1095" s="6">
        <v>1</v>
      </c>
      <c r="I1095" s="6" t="s">
        <v>13</v>
      </c>
      <c r="J1095" s="6" t="str">
        <f>IF(Employee[[#This Row],[Attrition]]="Yes","Resigned","Active")</f>
        <v>Active</v>
      </c>
    </row>
    <row r="1096" spans="1:10" x14ac:dyDescent="0.25">
      <c r="A1096" s="6">
        <v>1548</v>
      </c>
      <c r="B1096" s="6">
        <v>40</v>
      </c>
      <c r="C1096" s="5" t="s">
        <v>8</v>
      </c>
      <c r="D1096" s="5" t="s">
        <v>9</v>
      </c>
      <c r="E1096" s="6">
        <v>2</v>
      </c>
      <c r="F1096" s="6">
        <v>5473</v>
      </c>
      <c r="G1096" s="6">
        <v>8</v>
      </c>
      <c r="H1096" s="6">
        <v>4</v>
      </c>
      <c r="I1096" s="6" t="s">
        <v>13</v>
      </c>
      <c r="J1096" s="6" t="str">
        <f>IF(Employee[[#This Row],[Attrition]]="Yes","Resigned","Active")</f>
        <v>Active</v>
      </c>
    </row>
    <row r="1097" spans="1:10" x14ac:dyDescent="0.25">
      <c r="A1097" s="6">
        <v>1549</v>
      </c>
      <c r="B1097" s="6">
        <v>33</v>
      </c>
      <c r="C1097" s="5" t="s">
        <v>11</v>
      </c>
      <c r="D1097" s="5" t="s">
        <v>14</v>
      </c>
      <c r="E1097" s="6">
        <v>2</v>
      </c>
      <c r="F1097" s="6">
        <v>5207</v>
      </c>
      <c r="G1097" s="6">
        <v>15</v>
      </c>
      <c r="H1097" s="6">
        <v>3</v>
      </c>
      <c r="I1097" s="6" t="s">
        <v>13</v>
      </c>
      <c r="J1097" s="6" t="str">
        <f>IF(Employee[[#This Row],[Attrition]]="Yes","Resigned","Active")</f>
        <v>Active</v>
      </c>
    </row>
    <row r="1098" spans="1:10" x14ac:dyDescent="0.25">
      <c r="A1098" s="6">
        <v>1550</v>
      </c>
      <c r="B1098" s="6">
        <v>40</v>
      </c>
      <c r="C1098" s="5" t="s">
        <v>20</v>
      </c>
      <c r="D1098" s="5" t="s">
        <v>17</v>
      </c>
      <c r="E1098" s="6">
        <v>4</v>
      </c>
      <c r="F1098" s="6">
        <v>16437</v>
      </c>
      <c r="G1098" s="6">
        <v>21</v>
      </c>
      <c r="H1098" s="6">
        <v>3</v>
      </c>
      <c r="I1098" s="6" t="s">
        <v>13</v>
      </c>
      <c r="J1098" s="6" t="str">
        <f>IF(Employee[[#This Row],[Attrition]]="Yes","Resigned","Active")</f>
        <v>Active</v>
      </c>
    </row>
    <row r="1099" spans="1:10" x14ac:dyDescent="0.25">
      <c r="A1099" s="6">
        <v>1551</v>
      </c>
      <c r="B1099" s="6">
        <v>24</v>
      </c>
      <c r="C1099" s="5" t="s">
        <v>11</v>
      </c>
      <c r="D1099" s="5" t="s">
        <v>14</v>
      </c>
      <c r="E1099" s="6">
        <v>1</v>
      </c>
      <c r="F1099" s="6">
        <v>2296</v>
      </c>
      <c r="G1099" s="6">
        <v>1</v>
      </c>
      <c r="H1099" s="6">
        <v>3</v>
      </c>
      <c r="I1099" s="6" t="s">
        <v>13</v>
      </c>
      <c r="J1099" s="6" t="str">
        <f>IF(Employee[[#This Row],[Attrition]]="Yes","Resigned","Active")</f>
        <v>Active</v>
      </c>
    </row>
    <row r="1100" spans="1:10" x14ac:dyDescent="0.25">
      <c r="A1100" s="6">
        <v>1552</v>
      </c>
      <c r="B1100" s="6">
        <v>40</v>
      </c>
      <c r="C1100" s="5" t="s">
        <v>11</v>
      </c>
      <c r="D1100" s="5" t="s">
        <v>16</v>
      </c>
      <c r="E1100" s="6">
        <v>2</v>
      </c>
      <c r="F1100" s="6">
        <v>4069</v>
      </c>
      <c r="G1100" s="6">
        <v>2</v>
      </c>
      <c r="H1100" s="6">
        <v>3</v>
      </c>
      <c r="I1100" s="6" t="s">
        <v>13</v>
      </c>
      <c r="J1100" s="6" t="str">
        <f>IF(Employee[[#This Row],[Attrition]]="Yes","Resigned","Active")</f>
        <v>Active</v>
      </c>
    </row>
    <row r="1101" spans="1:10" x14ac:dyDescent="0.25">
      <c r="A1101" s="6">
        <v>1553</v>
      </c>
      <c r="B1101" s="6">
        <v>45</v>
      </c>
      <c r="C1101" s="5" t="s">
        <v>11</v>
      </c>
      <c r="D1101" s="5" t="s">
        <v>16</v>
      </c>
      <c r="E1101" s="6">
        <v>3</v>
      </c>
      <c r="F1101" s="6">
        <v>7441</v>
      </c>
      <c r="G1101" s="6">
        <v>10</v>
      </c>
      <c r="H1101" s="6">
        <v>3</v>
      </c>
      <c r="I1101" s="6" t="s">
        <v>13</v>
      </c>
      <c r="J1101" s="6" t="str">
        <f>IF(Employee[[#This Row],[Attrition]]="Yes","Resigned","Active")</f>
        <v>Active</v>
      </c>
    </row>
    <row r="1102" spans="1:10" x14ac:dyDescent="0.25">
      <c r="A1102" s="6">
        <v>1554</v>
      </c>
      <c r="B1102" s="6">
        <v>35</v>
      </c>
      <c r="C1102" s="5" t="s">
        <v>8</v>
      </c>
      <c r="D1102" s="5" t="s">
        <v>18</v>
      </c>
      <c r="E1102" s="6">
        <v>1</v>
      </c>
      <c r="F1102" s="6">
        <v>2430</v>
      </c>
      <c r="G1102" s="6">
        <v>5</v>
      </c>
      <c r="H1102" s="6">
        <v>3</v>
      </c>
      <c r="I1102" s="6" t="s">
        <v>13</v>
      </c>
      <c r="J1102" s="6" t="str">
        <f>IF(Employee[[#This Row],[Attrition]]="Yes","Resigned","Active")</f>
        <v>Active</v>
      </c>
    </row>
    <row r="1103" spans="1:10" x14ac:dyDescent="0.25">
      <c r="A1103" s="6">
        <v>1555</v>
      </c>
      <c r="B1103" s="6">
        <v>32</v>
      </c>
      <c r="C1103" s="5" t="s">
        <v>11</v>
      </c>
      <c r="D1103" s="5" t="s">
        <v>12</v>
      </c>
      <c r="E1103" s="6">
        <v>2</v>
      </c>
      <c r="F1103" s="6">
        <v>5878</v>
      </c>
      <c r="G1103" s="6">
        <v>7</v>
      </c>
      <c r="H1103" s="6">
        <v>3</v>
      </c>
      <c r="I1103" s="6" t="s">
        <v>13</v>
      </c>
      <c r="J1103" s="6" t="str">
        <f>IF(Employee[[#This Row],[Attrition]]="Yes","Resigned","Active")</f>
        <v>Active</v>
      </c>
    </row>
    <row r="1104" spans="1:10" x14ac:dyDescent="0.25">
      <c r="A1104" s="6">
        <v>1556</v>
      </c>
      <c r="B1104" s="6">
        <v>36</v>
      </c>
      <c r="C1104" s="5" t="s">
        <v>8</v>
      </c>
      <c r="D1104" s="5" t="s">
        <v>18</v>
      </c>
      <c r="E1104" s="6">
        <v>1</v>
      </c>
      <c r="F1104" s="6">
        <v>2644</v>
      </c>
      <c r="G1104" s="6">
        <v>3</v>
      </c>
      <c r="H1104" s="6">
        <v>2</v>
      </c>
      <c r="I1104" s="6" t="s">
        <v>13</v>
      </c>
      <c r="J1104" s="6" t="str">
        <f>IF(Employee[[#This Row],[Attrition]]="Yes","Resigned","Active")</f>
        <v>Active</v>
      </c>
    </row>
    <row r="1105" spans="1:10" x14ac:dyDescent="0.25">
      <c r="A1105" s="6">
        <v>1557</v>
      </c>
      <c r="B1105" s="6">
        <v>48</v>
      </c>
      <c r="C1105" s="5" t="s">
        <v>8</v>
      </c>
      <c r="D1105" s="5" t="s">
        <v>9</v>
      </c>
      <c r="E1105" s="6">
        <v>2</v>
      </c>
      <c r="F1105" s="6">
        <v>6439</v>
      </c>
      <c r="G1105" s="6">
        <v>8</v>
      </c>
      <c r="H1105" s="6">
        <v>3</v>
      </c>
      <c r="I1105" s="6" t="s">
        <v>13</v>
      </c>
      <c r="J1105" s="6" t="str">
        <f>IF(Employee[[#This Row],[Attrition]]="Yes","Resigned","Active")</f>
        <v>Active</v>
      </c>
    </row>
    <row r="1106" spans="1:10" x14ac:dyDescent="0.25">
      <c r="A1106" s="6">
        <v>1558</v>
      </c>
      <c r="B1106" s="6">
        <v>29</v>
      </c>
      <c r="C1106" s="5" t="s">
        <v>11</v>
      </c>
      <c r="D1106" s="5" t="s">
        <v>12</v>
      </c>
      <c r="E1106" s="6">
        <v>1</v>
      </c>
      <c r="F1106" s="6">
        <v>2451</v>
      </c>
      <c r="G1106" s="6">
        <v>1</v>
      </c>
      <c r="H1106" s="6">
        <v>2</v>
      </c>
      <c r="I1106" s="6" t="s">
        <v>13</v>
      </c>
      <c r="J1106" s="6" t="str">
        <f>IF(Employee[[#This Row],[Attrition]]="Yes","Resigned","Active")</f>
        <v>Active</v>
      </c>
    </row>
    <row r="1107" spans="1:10" x14ac:dyDescent="0.25">
      <c r="A1107" s="6">
        <v>1560</v>
      </c>
      <c r="B1107" s="6">
        <v>33</v>
      </c>
      <c r="C1107" s="5" t="s">
        <v>8</v>
      </c>
      <c r="D1107" s="5" t="s">
        <v>9</v>
      </c>
      <c r="E1107" s="6">
        <v>2</v>
      </c>
      <c r="F1107" s="6">
        <v>6392</v>
      </c>
      <c r="G1107" s="6">
        <v>2</v>
      </c>
      <c r="H1107" s="6">
        <v>1</v>
      </c>
      <c r="I1107" s="6" t="s">
        <v>13</v>
      </c>
      <c r="J1107" s="6" t="str">
        <f>IF(Employee[[#This Row],[Attrition]]="Yes","Resigned","Active")</f>
        <v>Active</v>
      </c>
    </row>
    <row r="1108" spans="1:10" x14ac:dyDescent="0.25">
      <c r="A1108" s="6">
        <v>1562</v>
      </c>
      <c r="B1108" s="6">
        <v>30</v>
      </c>
      <c r="C1108" s="5" t="s">
        <v>8</v>
      </c>
      <c r="D1108" s="5" t="s">
        <v>9</v>
      </c>
      <c r="E1108" s="6">
        <v>2</v>
      </c>
      <c r="F1108" s="6">
        <v>9714</v>
      </c>
      <c r="G1108" s="6">
        <v>10</v>
      </c>
      <c r="H1108" s="6">
        <v>3</v>
      </c>
      <c r="I1108" s="6" t="s">
        <v>10</v>
      </c>
      <c r="J1108" s="6" t="str">
        <f>IF(Employee[[#This Row],[Attrition]]="Yes","Resigned","Active")</f>
        <v>Resigned</v>
      </c>
    </row>
    <row r="1109" spans="1:10" x14ac:dyDescent="0.25">
      <c r="A1109" s="6">
        <v>1563</v>
      </c>
      <c r="B1109" s="6">
        <v>38</v>
      </c>
      <c r="C1109" s="5" t="s">
        <v>20</v>
      </c>
      <c r="D1109" s="5" t="s">
        <v>20</v>
      </c>
      <c r="E1109" s="6">
        <v>2</v>
      </c>
      <c r="F1109" s="6">
        <v>6077</v>
      </c>
      <c r="G1109" s="6">
        <v>6</v>
      </c>
      <c r="H1109" s="6">
        <v>3</v>
      </c>
      <c r="I1109" s="6" t="s">
        <v>13</v>
      </c>
      <c r="J1109" s="6" t="str">
        <f>IF(Employee[[#This Row],[Attrition]]="Yes","Resigned","Active")</f>
        <v>Active</v>
      </c>
    </row>
    <row r="1110" spans="1:10" x14ac:dyDescent="0.25">
      <c r="A1110" s="6">
        <v>1564</v>
      </c>
      <c r="B1110" s="6">
        <v>35</v>
      </c>
      <c r="C1110" s="5" t="s">
        <v>11</v>
      </c>
      <c r="D1110" s="5" t="s">
        <v>14</v>
      </c>
      <c r="E1110" s="6">
        <v>1</v>
      </c>
      <c r="F1110" s="6">
        <v>2450</v>
      </c>
      <c r="G1110" s="6">
        <v>3</v>
      </c>
      <c r="H1110" s="6">
        <v>3</v>
      </c>
      <c r="I1110" s="6" t="s">
        <v>13</v>
      </c>
      <c r="J1110" s="6" t="str">
        <f>IF(Employee[[#This Row],[Attrition]]="Yes","Resigned","Active")</f>
        <v>Active</v>
      </c>
    </row>
    <row r="1111" spans="1:10" x14ac:dyDescent="0.25">
      <c r="A1111" s="6">
        <v>1568</v>
      </c>
      <c r="B1111" s="6">
        <v>30</v>
      </c>
      <c r="C1111" s="5" t="s">
        <v>8</v>
      </c>
      <c r="D1111" s="5" t="s">
        <v>9</v>
      </c>
      <c r="E1111" s="6">
        <v>3</v>
      </c>
      <c r="F1111" s="6">
        <v>9250</v>
      </c>
      <c r="G1111" s="6">
        <v>4</v>
      </c>
      <c r="H1111" s="6">
        <v>3</v>
      </c>
      <c r="I1111" s="6" t="s">
        <v>13</v>
      </c>
      <c r="J1111" s="6" t="str">
        <f>IF(Employee[[#This Row],[Attrition]]="Yes","Resigned","Active")</f>
        <v>Active</v>
      </c>
    </row>
    <row r="1112" spans="1:10" x14ac:dyDescent="0.25">
      <c r="A1112" s="6">
        <v>1569</v>
      </c>
      <c r="B1112" s="6">
        <v>35</v>
      </c>
      <c r="C1112" s="5" t="s">
        <v>11</v>
      </c>
      <c r="D1112" s="5" t="s">
        <v>14</v>
      </c>
      <c r="E1112" s="6">
        <v>1</v>
      </c>
      <c r="F1112" s="6">
        <v>2074</v>
      </c>
      <c r="G1112" s="6">
        <v>1</v>
      </c>
      <c r="H1112" s="6">
        <v>3</v>
      </c>
      <c r="I1112" s="6" t="s">
        <v>10</v>
      </c>
      <c r="J1112" s="6" t="str">
        <f>IF(Employee[[#This Row],[Attrition]]="Yes","Resigned","Active")</f>
        <v>Resigned</v>
      </c>
    </row>
    <row r="1113" spans="1:10" x14ac:dyDescent="0.25">
      <c r="A1113" s="6">
        <v>1572</v>
      </c>
      <c r="B1113" s="6">
        <v>53</v>
      </c>
      <c r="C1113" s="5" t="s">
        <v>11</v>
      </c>
      <c r="D1113" s="5" t="s">
        <v>15</v>
      </c>
      <c r="E1113" s="6">
        <v>3</v>
      </c>
      <c r="F1113" s="6">
        <v>10169</v>
      </c>
      <c r="G1113" s="6">
        <v>33</v>
      </c>
      <c r="H1113" s="6">
        <v>3</v>
      </c>
      <c r="I1113" s="6" t="s">
        <v>10</v>
      </c>
      <c r="J1113" s="6" t="str">
        <f>IF(Employee[[#This Row],[Attrition]]="Yes","Resigned","Active")</f>
        <v>Resigned</v>
      </c>
    </row>
    <row r="1114" spans="1:10" x14ac:dyDescent="0.25">
      <c r="A1114" s="6">
        <v>1573</v>
      </c>
      <c r="B1114" s="6">
        <v>38</v>
      </c>
      <c r="C1114" s="5" t="s">
        <v>11</v>
      </c>
      <c r="D1114" s="5" t="s">
        <v>15</v>
      </c>
      <c r="E1114" s="6">
        <v>2</v>
      </c>
      <c r="F1114" s="6">
        <v>4855</v>
      </c>
      <c r="G1114" s="6">
        <v>5</v>
      </c>
      <c r="H1114" s="6">
        <v>3</v>
      </c>
      <c r="I1114" s="6" t="s">
        <v>10</v>
      </c>
      <c r="J1114" s="6" t="str">
        <f>IF(Employee[[#This Row],[Attrition]]="Yes","Resigned","Active")</f>
        <v>Resigned</v>
      </c>
    </row>
    <row r="1115" spans="1:10" x14ac:dyDescent="0.25">
      <c r="A1115" s="6">
        <v>1574</v>
      </c>
      <c r="B1115" s="6">
        <v>32</v>
      </c>
      <c r="C1115" s="5" t="s">
        <v>11</v>
      </c>
      <c r="D1115" s="5" t="s">
        <v>12</v>
      </c>
      <c r="E1115" s="6">
        <v>2</v>
      </c>
      <c r="F1115" s="6">
        <v>4087</v>
      </c>
      <c r="G1115" s="6">
        <v>6</v>
      </c>
      <c r="H1115" s="6">
        <v>2</v>
      </c>
      <c r="I1115" s="6" t="s">
        <v>13</v>
      </c>
      <c r="J1115" s="6" t="str">
        <f>IF(Employee[[#This Row],[Attrition]]="Yes","Resigned","Active")</f>
        <v>Active</v>
      </c>
    </row>
    <row r="1116" spans="1:10" x14ac:dyDescent="0.25">
      <c r="A1116" s="6">
        <v>1576</v>
      </c>
      <c r="B1116" s="6">
        <v>48</v>
      </c>
      <c r="C1116" s="5" t="s">
        <v>11</v>
      </c>
      <c r="D1116" s="5" t="s">
        <v>12</v>
      </c>
      <c r="E1116" s="6">
        <v>1</v>
      </c>
      <c r="F1116" s="6">
        <v>2367</v>
      </c>
      <c r="G1116" s="6">
        <v>8</v>
      </c>
      <c r="H1116" s="6">
        <v>2</v>
      </c>
      <c r="I1116" s="6" t="s">
        <v>13</v>
      </c>
      <c r="J1116" s="6" t="str">
        <f>IF(Employee[[#This Row],[Attrition]]="Yes","Resigned","Active")</f>
        <v>Active</v>
      </c>
    </row>
    <row r="1117" spans="1:10" x14ac:dyDescent="0.25">
      <c r="A1117" s="6">
        <v>1577</v>
      </c>
      <c r="B1117" s="6">
        <v>34</v>
      </c>
      <c r="C1117" s="5" t="s">
        <v>11</v>
      </c>
      <c r="D1117" s="5" t="s">
        <v>12</v>
      </c>
      <c r="E1117" s="6">
        <v>1</v>
      </c>
      <c r="F1117" s="6">
        <v>2972</v>
      </c>
      <c r="G1117" s="6">
        <v>1</v>
      </c>
      <c r="H1117" s="6">
        <v>1</v>
      </c>
      <c r="I1117" s="6" t="s">
        <v>13</v>
      </c>
      <c r="J1117" s="6" t="str">
        <f>IF(Employee[[#This Row],[Attrition]]="Yes","Resigned","Active")</f>
        <v>Active</v>
      </c>
    </row>
    <row r="1118" spans="1:10" x14ac:dyDescent="0.25">
      <c r="A1118" s="6">
        <v>1578</v>
      </c>
      <c r="B1118" s="6">
        <v>55</v>
      </c>
      <c r="C1118" s="5" t="s">
        <v>8</v>
      </c>
      <c r="D1118" s="5" t="s">
        <v>17</v>
      </c>
      <c r="E1118" s="6">
        <v>5</v>
      </c>
      <c r="F1118" s="6">
        <v>19586</v>
      </c>
      <c r="G1118" s="6">
        <v>36</v>
      </c>
      <c r="H1118" s="6">
        <v>3</v>
      </c>
      <c r="I1118" s="6" t="s">
        <v>13</v>
      </c>
      <c r="J1118" s="6" t="str">
        <f>IF(Employee[[#This Row],[Attrition]]="Yes","Resigned","Active")</f>
        <v>Active</v>
      </c>
    </row>
    <row r="1119" spans="1:10" x14ac:dyDescent="0.25">
      <c r="A1119" s="6">
        <v>1580</v>
      </c>
      <c r="B1119" s="6">
        <v>34</v>
      </c>
      <c r="C1119" s="5" t="s">
        <v>11</v>
      </c>
      <c r="D1119" s="5" t="s">
        <v>12</v>
      </c>
      <c r="E1119" s="6">
        <v>2</v>
      </c>
      <c r="F1119" s="6">
        <v>5484</v>
      </c>
      <c r="G1119" s="6">
        <v>2</v>
      </c>
      <c r="H1119" s="6">
        <v>2</v>
      </c>
      <c r="I1119" s="6" t="s">
        <v>13</v>
      </c>
      <c r="J1119" s="6" t="str">
        <f>IF(Employee[[#This Row],[Attrition]]="Yes","Resigned","Active")</f>
        <v>Active</v>
      </c>
    </row>
    <row r="1120" spans="1:10" x14ac:dyDescent="0.25">
      <c r="A1120" s="6">
        <v>1581</v>
      </c>
      <c r="B1120" s="6">
        <v>26</v>
      </c>
      <c r="C1120" s="5" t="s">
        <v>11</v>
      </c>
      <c r="D1120" s="5" t="s">
        <v>12</v>
      </c>
      <c r="E1120" s="6">
        <v>1</v>
      </c>
      <c r="F1120" s="6">
        <v>2061</v>
      </c>
      <c r="G1120" s="6">
        <v>1</v>
      </c>
      <c r="H1120" s="6">
        <v>3</v>
      </c>
      <c r="I1120" s="6" t="s">
        <v>13</v>
      </c>
      <c r="J1120" s="6" t="str">
        <f>IF(Employee[[#This Row],[Attrition]]="Yes","Resigned","Active")</f>
        <v>Active</v>
      </c>
    </row>
    <row r="1121" spans="1:10" x14ac:dyDescent="0.25">
      <c r="A1121" s="6">
        <v>1582</v>
      </c>
      <c r="B1121" s="6">
        <v>38</v>
      </c>
      <c r="C1121" s="5" t="s">
        <v>8</v>
      </c>
      <c r="D1121" s="5" t="s">
        <v>9</v>
      </c>
      <c r="E1121" s="6">
        <v>2</v>
      </c>
      <c r="F1121" s="6">
        <v>9924</v>
      </c>
      <c r="G1121" s="6">
        <v>9</v>
      </c>
      <c r="H1121" s="6">
        <v>3</v>
      </c>
      <c r="I1121" s="6" t="s">
        <v>13</v>
      </c>
      <c r="J1121" s="6" t="str">
        <f>IF(Employee[[#This Row],[Attrition]]="Yes","Resigned","Active")</f>
        <v>Active</v>
      </c>
    </row>
    <row r="1122" spans="1:10" x14ac:dyDescent="0.25">
      <c r="A1122" s="6">
        <v>1583</v>
      </c>
      <c r="B1122" s="6">
        <v>38</v>
      </c>
      <c r="C1122" s="5" t="s">
        <v>8</v>
      </c>
      <c r="D1122" s="5" t="s">
        <v>9</v>
      </c>
      <c r="E1122" s="6">
        <v>2</v>
      </c>
      <c r="F1122" s="6">
        <v>4198</v>
      </c>
      <c r="G1122" s="6">
        <v>3</v>
      </c>
      <c r="H1122" s="6">
        <v>4</v>
      </c>
      <c r="I1122" s="6" t="s">
        <v>13</v>
      </c>
      <c r="J1122" s="6" t="str">
        <f>IF(Employee[[#This Row],[Attrition]]="Yes","Resigned","Active")</f>
        <v>Active</v>
      </c>
    </row>
    <row r="1123" spans="1:10" x14ac:dyDescent="0.25">
      <c r="A1123" s="6">
        <v>1585</v>
      </c>
      <c r="B1123" s="6">
        <v>36</v>
      </c>
      <c r="C1123" s="5" t="s">
        <v>8</v>
      </c>
      <c r="D1123" s="5" t="s">
        <v>9</v>
      </c>
      <c r="E1123" s="6">
        <v>2</v>
      </c>
      <c r="F1123" s="6">
        <v>6815</v>
      </c>
      <c r="G1123" s="6">
        <v>1</v>
      </c>
      <c r="H1123" s="6">
        <v>3</v>
      </c>
      <c r="I1123" s="6" t="s">
        <v>13</v>
      </c>
      <c r="J1123" s="6" t="str">
        <f>IF(Employee[[#This Row],[Attrition]]="Yes","Resigned","Active")</f>
        <v>Active</v>
      </c>
    </row>
    <row r="1124" spans="1:10" x14ac:dyDescent="0.25">
      <c r="A1124" s="6">
        <v>1586</v>
      </c>
      <c r="B1124" s="6">
        <v>29</v>
      </c>
      <c r="C1124" s="5" t="s">
        <v>11</v>
      </c>
      <c r="D1124" s="5" t="s">
        <v>14</v>
      </c>
      <c r="E1124" s="6">
        <v>1</v>
      </c>
      <c r="F1124" s="6">
        <v>4723</v>
      </c>
      <c r="G1124" s="6">
        <v>10</v>
      </c>
      <c r="H1124" s="6">
        <v>3</v>
      </c>
      <c r="I1124" s="6" t="s">
        <v>13</v>
      </c>
      <c r="J1124" s="6" t="str">
        <f>IF(Employee[[#This Row],[Attrition]]="Yes","Resigned","Active")</f>
        <v>Active</v>
      </c>
    </row>
    <row r="1125" spans="1:10" x14ac:dyDescent="0.25">
      <c r="A1125" s="6">
        <v>1587</v>
      </c>
      <c r="B1125" s="6">
        <v>35</v>
      </c>
      <c r="C1125" s="5" t="s">
        <v>11</v>
      </c>
      <c r="D1125" s="5" t="s">
        <v>16</v>
      </c>
      <c r="E1125" s="6">
        <v>2</v>
      </c>
      <c r="F1125" s="6">
        <v>6142</v>
      </c>
      <c r="G1125" s="6">
        <v>5</v>
      </c>
      <c r="H1125" s="6">
        <v>3</v>
      </c>
      <c r="I1125" s="6" t="s">
        <v>13</v>
      </c>
      <c r="J1125" s="6" t="str">
        <f>IF(Employee[[#This Row],[Attrition]]="Yes","Resigned","Active")</f>
        <v>Active</v>
      </c>
    </row>
    <row r="1126" spans="1:10" x14ac:dyDescent="0.25">
      <c r="A1126" s="6">
        <v>1588</v>
      </c>
      <c r="B1126" s="6">
        <v>39</v>
      </c>
      <c r="C1126" s="5" t="s">
        <v>8</v>
      </c>
      <c r="D1126" s="5" t="s">
        <v>9</v>
      </c>
      <c r="E1126" s="6">
        <v>3</v>
      </c>
      <c r="F1126" s="6">
        <v>8237</v>
      </c>
      <c r="G1126" s="6">
        <v>7</v>
      </c>
      <c r="H1126" s="6">
        <v>3</v>
      </c>
      <c r="I1126" s="6" t="s">
        <v>13</v>
      </c>
      <c r="J1126" s="6" t="str">
        <f>IF(Employee[[#This Row],[Attrition]]="Yes","Resigned","Active")</f>
        <v>Active</v>
      </c>
    </row>
    <row r="1127" spans="1:10" x14ac:dyDescent="0.25">
      <c r="A1127" s="6">
        <v>1590</v>
      </c>
      <c r="B1127" s="6">
        <v>29</v>
      </c>
      <c r="C1127" s="5" t="s">
        <v>11</v>
      </c>
      <c r="D1127" s="5" t="s">
        <v>16</v>
      </c>
      <c r="E1127" s="6">
        <v>2</v>
      </c>
      <c r="F1127" s="6">
        <v>8853</v>
      </c>
      <c r="G1127" s="6">
        <v>6</v>
      </c>
      <c r="H1127" s="6">
        <v>4</v>
      </c>
      <c r="I1127" s="6" t="s">
        <v>13</v>
      </c>
      <c r="J1127" s="6" t="str">
        <f>IF(Employee[[#This Row],[Attrition]]="Yes","Resigned","Active")</f>
        <v>Active</v>
      </c>
    </row>
    <row r="1128" spans="1:10" x14ac:dyDescent="0.25">
      <c r="A1128" s="6">
        <v>1591</v>
      </c>
      <c r="B1128" s="6">
        <v>50</v>
      </c>
      <c r="C1128" s="5" t="s">
        <v>8</v>
      </c>
      <c r="D1128" s="5" t="s">
        <v>17</v>
      </c>
      <c r="E1128" s="6">
        <v>5</v>
      </c>
      <c r="F1128" s="6">
        <v>19331</v>
      </c>
      <c r="G1128" s="6">
        <v>1</v>
      </c>
      <c r="H1128" s="6">
        <v>3</v>
      </c>
      <c r="I1128" s="6" t="s">
        <v>13</v>
      </c>
      <c r="J1128" s="6" t="str">
        <f>IF(Employee[[#This Row],[Attrition]]="Yes","Resigned","Active")</f>
        <v>Active</v>
      </c>
    </row>
    <row r="1129" spans="1:10" x14ac:dyDescent="0.25">
      <c r="A1129" s="6">
        <v>1592</v>
      </c>
      <c r="B1129" s="6">
        <v>23</v>
      </c>
      <c r="C1129" s="5" t="s">
        <v>11</v>
      </c>
      <c r="D1129" s="5" t="s">
        <v>12</v>
      </c>
      <c r="E1129" s="6">
        <v>1</v>
      </c>
      <c r="F1129" s="6">
        <v>2073</v>
      </c>
      <c r="G1129" s="6">
        <v>2</v>
      </c>
      <c r="H1129" s="6">
        <v>3</v>
      </c>
      <c r="I1129" s="6" t="s">
        <v>13</v>
      </c>
      <c r="J1129" s="6" t="str">
        <f>IF(Employee[[#This Row],[Attrition]]="Yes","Resigned","Active")</f>
        <v>Active</v>
      </c>
    </row>
    <row r="1130" spans="1:10" x14ac:dyDescent="0.25">
      <c r="A1130" s="6">
        <v>1594</v>
      </c>
      <c r="B1130" s="6">
        <v>36</v>
      </c>
      <c r="C1130" s="5" t="s">
        <v>11</v>
      </c>
      <c r="D1130" s="5" t="s">
        <v>14</v>
      </c>
      <c r="E1130" s="6">
        <v>2</v>
      </c>
      <c r="F1130" s="6">
        <v>5562</v>
      </c>
      <c r="G1130" s="6">
        <v>3</v>
      </c>
      <c r="H1130" s="6">
        <v>3</v>
      </c>
      <c r="I1130" s="6" t="s">
        <v>13</v>
      </c>
      <c r="J1130" s="6" t="str">
        <f>IF(Employee[[#This Row],[Attrition]]="Yes","Resigned","Active")</f>
        <v>Active</v>
      </c>
    </row>
    <row r="1131" spans="1:10" x14ac:dyDescent="0.25">
      <c r="A1131" s="6">
        <v>1595</v>
      </c>
      <c r="B1131" s="6">
        <v>42</v>
      </c>
      <c r="C1131" s="5" t="s">
        <v>11</v>
      </c>
      <c r="D1131" s="5" t="s">
        <v>17</v>
      </c>
      <c r="E1131" s="6">
        <v>5</v>
      </c>
      <c r="F1131" s="6">
        <v>19613</v>
      </c>
      <c r="G1131" s="6">
        <v>1</v>
      </c>
      <c r="H1131" s="6">
        <v>3</v>
      </c>
      <c r="I1131" s="6" t="s">
        <v>13</v>
      </c>
      <c r="J1131" s="6" t="str">
        <f>IF(Employee[[#This Row],[Attrition]]="Yes","Resigned","Active")</f>
        <v>Active</v>
      </c>
    </row>
    <row r="1132" spans="1:10" x14ac:dyDescent="0.25">
      <c r="A1132" s="6">
        <v>1596</v>
      </c>
      <c r="B1132" s="6">
        <v>35</v>
      </c>
      <c r="C1132" s="5" t="s">
        <v>11</v>
      </c>
      <c r="D1132" s="5" t="s">
        <v>14</v>
      </c>
      <c r="E1132" s="6">
        <v>2</v>
      </c>
      <c r="F1132" s="6">
        <v>3407</v>
      </c>
      <c r="G1132" s="6">
        <v>10</v>
      </c>
      <c r="H1132" s="6">
        <v>2</v>
      </c>
      <c r="I1132" s="6" t="s">
        <v>13</v>
      </c>
      <c r="J1132" s="6" t="str">
        <f>IF(Employee[[#This Row],[Attrition]]="Yes","Resigned","Active")</f>
        <v>Active</v>
      </c>
    </row>
    <row r="1133" spans="1:10" x14ac:dyDescent="0.25">
      <c r="A1133" s="6">
        <v>1597</v>
      </c>
      <c r="B1133" s="6">
        <v>34</v>
      </c>
      <c r="C1133" s="5" t="s">
        <v>11</v>
      </c>
      <c r="D1133" s="5" t="s">
        <v>16</v>
      </c>
      <c r="E1133" s="6">
        <v>2</v>
      </c>
      <c r="F1133" s="6">
        <v>5063</v>
      </c>
      <c r="G1133" s="6">
        <v>8</v>
      </c>
      <c r="H1133" s="6">
        <v>2</v>
      </c>
      <c r="I1133" s="6" t="s">
        <v>13</v>
      </c>
      <c r="J1133" s="6" t="str">
        <f>IF(Employee[[#This Row],[Attrition]]="Yes","Resigned","Active")</f>
        <v>Active</v>
      </c>
    </row>
    <row r="1134" spans="1:10" x14ac:dyDescent="0.25">
      <c r="A1134" s="6">
        <v>1598</v>
      </c>
      <c r="B1134" s="6">
        <v>40</v>
      </c>
      <c r="C1134" s="5" t="s">
        <v>8</v>
      </c>
      <c r="D1134" s="5" t="s">
        <v>9</v>
      </c>
      <c r="E1134" s="6">
        <v>2</v>
      </c>
      <c r="F1134" s="6">
        <v>4639</v>
      </c>
      <c r="G1134" s="6">
        <v>5</v>
      </c>
      <c r="H1134" s="6">
        <v>3</v>
      </c>
      <c r="I1134" s="6" t="s">
        <v>13</v>
      </c>
      <c r="J1134" s="6" t="str">
        <f>IF(Employee[[#This Row],[Attrition]]="Yes","Resigned","Active")</f>
        <v>Active</v>
      </c>
    </row>
    <row r="1135" spans="1:10" x14ac:dyDescent="0.25">
      <c r="A1135" s="6">
        <v>1599</v>
      </c>
      <c r="B1135" s="6">
        <v>43</v>
      </c>
      <c r="C1135" s="5" t="s">
        <v>11</v>
      </c>
      <c r="D1135" s="5" t="s">
        <v>14</v>
      </c>
      <c r="E1135" s="6">
        <v>1</v>
      </c>
      <c r="F1135" s="6">
        <v>4876</v>
      </c>
      <c r="G1135" s="6">
        <v>6</v>
      </c>
      <c r="H1135" s="6">
        <v>3</v>
      </c>
      <c r="I1135" s="6" t="s">
        <v>13</v>
      </c>
      <c r="J1135" s="6" t="str">
        <f>IF(Employee[[#This Row],[Attrition]]="Yes","Resigned","Active")</f>
        <v>Active</v>
      </c>
    </row>
    <row r="1136" spans="1:10" x14ac:dyDescent="0.25">
      <c r="A1136" s="6">
        <v>1601</v>
      </c>
      <c r="B1136" s="6">
        <v>35</v>
      </c>
      <c r="C1136" s="5" t="s">
        <v>11</v>
      </c>
      <c r="D1136" s="5" t="s">
        <v>14</v>
      </c>
      <c r="E1136" s="6">
        <v>1</v>
      </c>
      <c r="F1136" s="6">
        <v>2690</v>
      </c>
      <c r="G1136" s="6">
        <v>1</v>
      </c>
      <c r="H1136" s="6">
        <v>2</v>
      </c>
      <c r="I1136" s="6" t="s">
        <v>13</v>
      </c>
      <c r="J1136" s="6" t="str">
        <f>IF(Employee[[#This Row],[Attrition]]="Yes","Resigned","Active")</f>
        <v>Active</v>
      </c>
    </row>
    <row r="1137" spans="1:10" x14ac:dyDescent="0.25">
      <c r="A1137" s="6">
        <v>1602</v>
      </c>
      <c r="B1137" s="6">
        <v>46</v>
      </c>
      <c r="C1137" s="5" t="s">
        <v>8</v>
      </c>
      <c r="D1137" s="5" t="s">
        <v>17</v>
      </c>
      <c r="E1137" s="6">
        <v>4</v>
      </c>
      <c r="F1137" s="6">
        <v>17567</v>
      </c>
      <c r="G1137" s="6">
        <v>26</v>
      </c>
      <c r="H1137" s="6">
        <v>1</v>
      </c>
      <c r="I1137" s="6" t="s">
        <v>13</v>
      </c>
      <c r="J1137" s="6" t="str">
        <f>IF(Employee[[#This Row],[Attrition]]="Yes","Resigned","Active")</f>
        <v>Active</v>
      </c>
    </row>
    <row r="1138" spans="1:10" x14ac:dyDescent="0.25">
      <c r="A1138" s="6">
        <v>1604</v>
      </c>
      <c r="B1138" s="6">
        <v>28</v>
      </c>
      <c r="C1138" s="5" t="s">
        <v>11</v>
      </c>
      <c r="D1138" s="5" t="s">
        <v>14</v>
      </c>
      <c r="E1138" s="6">
        <v>1</v>
      </c>
      <c r="F1138" s="6">
        <v>2408</v>
      </c>
      <c r="G1138" s="6">
        <v>1</v>
      </c>
      <c r="H1138" s="6">
        <v>3</v>
      </c>
      <c r="I1138" s="6" t="s">
        <v>10</v>
      </c>
      <c r="J1138" s="6" t="str">
        <f>IF(Employee[[#This Row],[Attrition]]="Yes","Resigned","Active")</f>
        <v>Resigned</v>
      </c>
    </row>
    <row r="1139" spans="1:10" x14ac:dyDescent="0.25">
      <c r="A1139" s="6">
        <v>1605</v>
      </c>
      <c r="B1139" s="6">
        <v>22</v>
      </c>
      <c r="C1139" s="5" t="s">
        <v>11</v>
      </c>
      <c r="D1139" s="5" t="s">
        <v>12</v>
      </c>
      <c r="E1139" s="6">
        <v>1</v>
      </c>
      <c r="F1139" s="6">
        <v>2814</v>
      </c>
      <c r="G1139" s="6">
        <v>4</v>
      </c>
      <c r="H1139" s="6">
        <v>2</v>
      </c>
      <c r="I1139" s="6" t="s">
        <v>13</v>
      </c>
      <c r="J1139" s="6" t="str">
        <f>IF(Employee[[#This Row],[Attrition]]="Yes","Resigned","Active")</f>
        <v>Active</v>
      </c>
    </row>
    <row r="1140" spans="1:10" x14ac:dyDescent="0.25">
      <c r="A1140" s="6">
        <v>1606</v>
      </c>
      <c r="B1140" s="6">
        <v>50</v>
      </c>
      <c r="C1140" s="5" t="s">
        <v>11</v>
      </c>
      <c r="D1140" s="5" t="s">
        <v>16</v>
      </c>
      <c r="E1140" s="6">
        <v>4</v>
      </c>
      <c r="F1140" s="6">
        <v>11245</v>
      </c>
      <c r="G1140" s="6">
        <v>30</v>
      </c>
      <c r="H1140" s="6">
        <v>3</v>
      </c>
      <c r="I1140" s="6" t="s">
        <v>13</v>
      </c>
      <c r="J1140" s="6" t="str">
        <f>IF(Employee[[#This Row],[Attrition]]="Yes","Resigned","Active")</f>
        <v>Active</v>
      </c>
    </row>
    <row r="1141" spans="1:10" x14ac:dyDescent="0.25">
      <c r="A1141" s="6">
        <v>1607</v>
      </c>
      <c r="B1141" s="6">
        <v>32</v>
      </c>
      <c r="C1141" s="5" t="s">
        <v>11</v>
      </c>
      <c r="D1141" s="5" t="s">
        <v>12</v>
      </c>
      <c r="E1141" s="6">
        <v>1</v>
      </c>
      <c r="F1141" s="6">
        <v>3312</v>
      </c>
      <c r="G1141" s="6">
        <v>3</v>
      </c>
      <c r="H1141" s="6">
        <v>3</v>
      </c>
      <c r="I1141" s="6" t="s">
        <v>13</v>
      </c>
      <c r="J1141" s="6" t="str">
        <f>IF(Employee[[#This Row],[Attrition]]="Yes","Resigned","Active")</f>
        <v>Active</v>
      </c>
    </row>
    <row r="1142" spans="1:10" x14ac:dyDescent="0.25">
      <c r="A1142" s="6">
        <v>1608</v>
      </c>
      <c r="B1142" s="6">
        <v>44</v>
      </c>
      <c r="C1142" s="5" t="s">
        <v>11</v>
      </c>
      <c r="D1142" s="5" t="s">
        <v>19</v>
      </c>
      <c r="E1142" s="6">
        <v>5</v>
      </c>
      <c r="F1142" s="6">
        <v>19049</v>
      </c>
      <c r="G1142" s="6">
        <v>22</v>
      </c>
      <c r="H1142" s="6">
        <v>2</v>
      </c>
      <c r="I1142" s="6" t="s">
        <v>13</v>
      </c>
      <c r="J1142" s="6" t="str">
        <f>IF(Employee[[#This Row],[Attrition]]="Yes","Resigned","Active")</f>
        <v>Active</v>
      </c>
    </row>
    <row r="1143" spans="1:10" x14ac:dyDescent="0.25">
      <c r="A1143" s="6">
        <v>1609</v>
      </c>
      <c r="B1143" s="6">
        <v>30</v>
      </c>
      <c r="C1143" s="5" t="s">
        <v>11</v>
      </c>
      <c r="D1143" s="5" t="s">
        <v>12</v>
      </c>
      <c r="E1143" s="6">
        <v>1</v>
      </c>
      <c r="F1143" s="6">
        <v>2141</v>
      </c>
      <c r="G1143" s="6">
        <v>6</v>
      </c>
      <c r="H1143" s="6">
        <v>2</v>
      </c>
      <c r="I1143" s="6" t="s">
        <v>13</v>
      </c>
      <c r="J1143" s="6" t="str">
        <f>IF(Employee[[#This Row],[Attrition]]="Yes","Resigned","Active")</f>
        <v>Active</v>
      </c>
    </row>
    <row r="1144" spans="1:10" x14ac:dyDescent="0.25">
      <c r="A1144" s="6">
        <v>1611</v>
      </c>
      <c r="B1144" s="6">
        <v>45</v>
      </c>
      <c r="C1144" s="5" t="s">
        <v>11</v>
      </c>
      <c r="D1144" s="5" t="s">
        <v>14</v>
      </c>
      <c r="E1144" s="6">
        <v>2</v>
      </c>
      <c r="F1144" s="6">
        <v>5769</v>
      </c>
      <c r="G1144" s="6">
        <v>10</v>
      </c>
      <c r="H1144" s="6">
        <v>3</v>
      </c>
      <c r="I1144" s="6" t="s">
        <v>13</v>
      </c>
      <c r="J1144" s="6" t="str">
        <f>IF(Employee[[#This Row],[Attrition]]="Yes","Resigned","Active")</f>
        <v>Active</v>
      </c>
    </row>
    <row r="1145" spans="1:10" x14ac:dyDescent="0.25">
      <c r="A1145" s="6">
        <v>1612</v>
      </c>
      <c r="B1145" s="6">
        <v>45</v>
      </c>
      <c r="C1145" s="5" t="s">
        <v>8</v>
      </c>
      <c r="D1145" s="5" t="s">
        <v>9</v>
      </c>
      <c r="E1145" s="6">
        <v>2</v>
      </c>
      <c r="F1145" s="6">
        <v>4385</v>
      </c>
      <c r="G1145" s="6">
        <v>10</v>
      </c>
      <c r="H1145" s="6">
        <v>3</v>
      </c>
      <c r="I1145" s="6" t="s">
        <v>13</v>
      </c>
      <c r="J1145" s="6" t="str">
        <f>IF(Employee[[#This Row],[Attrition]]="Yes","Resigned","Active")</f>
        <v>Active</v>
      </c>
    </row>
    <row r="1146" spans="1:10" x14ac:dyDescent="0.25">
      <c r="A1146" s="6">
        <v>1613</v>
      </c>
      <c r="B1146" s="6">
        <v>31</v>
      </c>
      <c r="C1146" s="5" t="s">
        <v>8</v>
      </c>
      <c r="D1146" s="5" t="s">
        <v>9</v>
      </c>
      <c r="E1146" s="6">
        <v>2</v>
      </c>
      <c r="F1146" s="6">
        <v>5332</v>
      </c>
      <c r="G1146" s="6">
        <v>5</v>
      </c>
      <c r="H1146" s="6">
        <v>3</v>
      </c>
      <c r="I1146" s="6" t="s">
        <v>13</v>
      </c>
      <c r="J1146" s="6" t="str">
        <f>IF(Employee[[#This Row],[Attrition]]="Yes","Resigned","Active")</f>
        <v>Active</v>
      </c>
    </row>
    <row r="1147" spans="1:10" x14ac:dyDescent="0.25">
      <c r="A1147" s="6">
        <v>1614</v>
      </c>
      <c r="B1147" s="6">
        <v>36</v>
      </c>
      <c r="C1147" s="5" t="s">
        <v>11</v>
      </c>
      <c r="D1147" s="5" t="s">
        <v>15</v>
      </c>
      <c r="E1147" s="6">
        <v>2</v>
      </c>
      <c r="F1147" s="6">
        <v>4663</v>
      </c>
      <c r="G1147" s="6">
        <v>3</v>
      </c>
      <c r="H1147" s="6">
        <v>3</v>
      </c>
      <c r="I1147" s="6" t="s">
        <v>13</v>
      </c>
      <c r="J1147" s="6" t="str">
        <f>IF(Employee[[#This Row],[Attrition]]="Yes","Resigned","Active")</f>
        <v>Active</v>
      </c>
    </row>
    <row r="1148" spans="1:10" x14ac:dyDescent="0.25">
      <c r="A1148" s="6">
        <v>1615</v>
      </c>
      <c r="B1148" s="6">
        <v>34</v>
      </c>
      <c r="C1148" s="5" t="s">
        <v>11</v>
      </c>
      <c r="D1148" s="5" t="s">
        <v>15</v>
      </c>
      <c r="E1148" s="6">
        <v>2</v>
      </c>
      <c r="F1148" s="6">
        <v>4724</v>
      </c>
      <c r="G1148" s="6">
        <v>9</v>
      </c>
      <c r="H1148" s="6">
        <v>3</v>
      </c>
      <c r="I1148" s="6" t="s">
        <v>13</v>
      </c>
      <c r="J1148" s="6" t="str">
        <f>IF(Employee[[#This Row],[Attrition]]="Yes","Resigned","Active")</f>
        <v>Active</v>
      </c>
    </row>
    <row r="1149" spans="1:10" x14ac:dyDescent="0.25">
      <c r="A1149" s="6">
        <v>1617</v>
      </c>
      <c r="B1149" s="6">
        <v>49</v>
      </c>
      <c r="C1149" s="5" t="s">
        <v>11</v>
      </c>
      <c r="D1149" s="5" t="s">
        <v>14</v>
      </c>
      <c r="E1149" s="6">
        <v>1</v>
      </c>
      <c r="F1149" s="6">
        <v>3211</v>
      </c>
      <c r="G1149" s="6">
        <v>9</v>
      </c>
      <c r="H1149" s="6">
        <v>2</v>
      </c>
      <c r="I1149" s="6" t="s">
        <v>13</v>
      </c>
      <c r="J1149" s="6" t="str">
        <f>IF(Employee[[#This Row],[Attrition]]="Yes","Resigned","Active")</f>
        <v>Active</v>
      </c>
    </row>
    <row r="1150" spans="1:10" x14ac:dyDescent="0.25">
      <c r="A1150" s="6">
        <v>1618</v>
      </c>
      <c r="B1150" s="6">
        <v>39</v>
      </c>
      <c r="C1150" s="5" t="s">
        <v>11</v>
      </c>
      <c r="D1150" s="5" t="s">
        <v>15</v>
      </c>
      <c r="E1150" s="6">
        <v>2</v>
      </c>
      <c r="F1150" s="6">
        <v>5377</v>
      </c>
      <c r="G1150" s="6">
        <v>7</v>
      </c>
      <c r="H1150" s="6">
        <v>3</v>
      </c>
      <c r="I1150" s="6" t="s">
        <v>13</v>
      </c>
      <c r="J1150" s="6" t="str">
        <f>IF(Employee[[#This Row],[Attrition]]="Yes","Resigned","Active")</f>
        <v>Active</v>
      </c>
    </row>
    <row r="1151" spans="1:10" x14ac:dyDescent="0.25">
      <c r="A1151" s="6">
        <v>1619</v>
      </c>
      <c r="B1151" s="6">
        <v>27</v>
      </c>
      <c r="C1151" s="5" t="s">
        <v>11</v>
      </c>
      <c r="D1151" s="5" t="s">
        <v>14</v>
      </c>
      <c r="E1151" s="6">
        <v>1</v>
      </c>
      <c r="F1151" s="6">
        <v>4066</v>
      </c>
      <c r="G1151" s="6">
        <v>7</v>
      </c>
      <c r="H1151" s="6">
        <v>3</v>
      </c>
      <c r="I1151" s="6" t="s">
        <v>13</v>
      </c>
      <c r="J1151" s="6" t="str">
        <f>IF(Employee[[#This Row],[Attrition]]="Yes","Resigned","Active")</f>
        <v>Active</v>
      </c>
    </row>
    <row r="1152" spans="1:10" x14ac:dyDescent="0.25">
      <c r="A1152" s="6">
        <v>1621</v>
      </c>
      <c r="B1152" s="6">
        <v>35</v>
      </c>
      <c r="C1152" s="5" t="s">
        <v>11</v>
      </c>
      <c r="D1152" s="5" t="s">
        <v>12</v>
      </c>
      <c r="E1152" s="6">
        <v>2</v>
      </c>
      <c r="F1152" s="6">
        <v>5208</v>
      </c>
      <c r="G1152" s="6">
        <v>16</v>
      </c>
      <c r="H1152" s="6">
        <v>3</v>
      </c>
      <c r="I1152" s="6" t="s">
        <v>13</v>
      </c>
      <c r="J1152" s="6" t="str">
        <f>IF(Employee[[#This Row],[Attrition]]="Yes","Resigned","Active")</f>
        <v>Active</v>
      </c>
    </row>
    <row r="1153" spans="1:10" x14ac:dyDescent="0.25">
      <c r="A1153" s="6">
        <v>1622</v>
      </c>
      <c r="B1153" s="6">
        <v>28</v>
      </c>
      <c r="C1153" s="5" t="s">
        <v>11</v>
      </c>
      <c r="D1153" s="5" t="s">
        <v>15</v>
      </c>
      <c r="E1153" s="6">
        <v>2</v>
      </c>
      <c r="F1153" s="6">
        <v>4877</v>
      </c>
      <c r="G1153" s="6">
        <v>5</v>
      </c>
      <c r="H1153" s="6">
        <v>2</v>
      </c>
      <c r="I1153" s="6" t="s">
        <v>13</v>
      </c>
      <c r="J1153" s="6" t="str">
        <f>IF(Employee[[#This Row],[Attrition]]="Yes","Resigned","Active")</f>
        <v>Active</v>
      </c>
    </row>
    <row r="1154" spans="1:10" x14ac:dyDescent="0.25">
      <c r="A1154" s="6">
        <v>1623</v>
      </c>
      <c r="B1154" s="6">
        <v>21</v>
      </c>
      <c r="C1154" s="5" t="s">
        <v>11</v>
      </c>
      <c r="D1154" s="5" t="s">
        <v>12</v>
      </c>
      <c r="E1154" s="6">
        <v>1</v>
      </c>
      <c r="F1154" s="6">
        <v>3117</v>
      </c>
      <c r="G1154" s="6">
        <v>2</v>
      </c>
      <c r="H1154" s="6">
        <v>3</v>
      </c>
      <c r="I1154" s="6" t="s">
        <v>13</v>
      </c>
      <c r="J1154" s="6" t="str">
        <f>IF(Employee[[#This Row],[Attrition]]="Yes","Resigned","Active")</f>
        <v>Active</v>
      </c>
    </row>
    <row r="1155" spans="1:10" x14ac:dyDescent="0.25">
      <c r="A1155" s="6">
        <v>1624</v>
      </c>
      <c r="B1155" s="6">
        <v>18</v>
      </c>
      <c r="C1155" s="5" t="s">
        <v>8</v>
      </c>
      <c r="D1155" s="5" t="s">
        <v>18</v>
      </c>
      <c r="E1155" s="6">
        <v>1</v>
      </c>
      <c r="F1155" s="6">
        <v>1569</v>
      </c>
      <c r="G1155" s="6">
        <v>0</v>
      </c>
      <c r="H1155" s="6">
        <v>4</v>
      </c>
      <c r="I1155" s="6" t="s">
        <v>10</v>
      </c>
      <c r="J1155" s="6" t="str">
        <f>IF(Employee[[#This Row],[Attrition]]="Yes","Resigned","Active")</f>
        <v>Resigned</v>
      </c>
    </row>
    <row r="1156" spans="1:10" x14ac:dyDescent="0.25">
      <c r="A1156" s="6">
        <v>1625</v>
      </c>
      <c r="B1156" s="6">
        <v>47</v>
      </c>
      <c r="C1156" s="5" t="s">
        <v>20</v>
      </c>
      <c r="D1156" s="5" t="s">
        <v>17</v>
      </c>
      <c r="E1156" s="6">
        <v>5</v>
      </c>
      <c r="F1156" s="6">
        <v>19658</v>
      </c>
      <c r="G1156" s="6">
        <v>5</v>
      </c>
      <c r="H1156" s="6">
        <v>3</v>
      </c>
      <c r="I1156" s="6" t="s">
        <v>13</v>
      </c>
      <c r="J1156" s="6" t="str">
        <f>IF(Employee[[#This Row],[Attrition]]="Yes","Resigned","Active")</f>
        <v>Active</v>
      </c>
    </row>
    <row r="1157" spans="1:10" x14ac:dyDescent="0.25">
      <c r="A1157" s="6">
        <v>1627</v>
      </c>
      <c r="B1157" s="6">
        <v>39</v>
      </c>
      <c r="C1157" s="5" t="s">
        <v>11</v>
      </c>
      <c r="D1157" s="5" t="s">
        <v>14</v>
      </c>
      <c r="E1157" s="6">
        <v>2</v>
      </c>
      <c r="F1157" s="6">
        <v>3069</v>
      </c>
      <c r="G1157" s="6">
        <v>10</v>
      </c>
      <c r="H1157" s="6">
        <v>3</v>
      </c>
      <c r="I1157" s="6" t="s">
        <v>13</v>
      </c>
      <c r="J1157" s="6" t="str">
        <f>IF(Employee[[#This Row],[Attrition]]="Yes","Resigned","Active")</f>
        <v>Active</v>
      </c>
    </row>
    <row r="1158" spans="1:10" x14ac:dyDescent="0.25">
      <c r="A1158" s="6">
        <v>1628</v>
      </c>
      <c r="B1158" s="6">
        <v>40</v>
      </c>
      <c r="C1158" s="5" t="s">
        <v>11</v>
      </c>
      <c r="D1158" s="5" t="s">
        <v>15</v>
      </c>
      <c r="E1158" s="6">
        <v>3</v>
      </c>
      <c r="F1158" s="6">
        <v>10435</v>
      </c>
      <c r="G1158" s="6">
        <v>18</v>
      </c>
      <c r="H1158" s="6">
        <v>3</v>
      </c>
      <c r="I1158" s="6" t="s">
        <v>13</v>
      </c>
      <c r="J1158" s="6" t="str">
        <f>IF(Employee[[#This Row],[Attrition]]="Yes","Resigned","Active")</f>
        <v>Active</v>
      </c>
    </row>
    <row r="1159" spans="1:10" x14ac:dyDescent="0.25">
      <c r="A1159" s="6">
        <v>1630</v>
      </c>
      <c r="B1159" s="6">
        <v>35</v>
      </c>
      <c r="C1159" s="5" t="s">
        <v>11</v>
      </c>
      <c r="D1159" s="5" t="s">
        <v>16</v>
      </c>
      <c r="E1159" s="6">
        <v>2</v>
      </c>
      <c r="F1159" s="6">
        <v>4148</v>
      </c>
      <c r="G1159" s="6">
        <v>14</v>
      </c>
      <c r="H1159" s="6">
        <v>3</v>
      </c>
      <c r="I1159" s="6" t="s">
        <v>13</v>
      </c>
      <c r="J1159" s="6" t="str">
        <f>IF(Employee[[#This Row],[Attrition]]="Yes","Resigned","Active")</f>
        <v>Active</v>
      </c>
    </row>
    <row r="1160" spans="1:10" x14ac:dyDescent="0.25">
      <c r="A1160" s="6">
        <v>1631</v>
      </c>
      <c r="B1160" s="6">
        <v>37</v>
      </c>
      <c r="C1160" s="5" t="s">
        <v>11</v>
      </c>
      <c r="D1160" s="5" t="s">
        <v>15</v>
      </c>
      <c r="E1160" s="6">
        <v>2</v>
      </c>
      <c r="F1160" s="6">
        <v>5768</v>
      </c>
      <c r="G1160" s="6">
        <v>4</v>
      </c>
      <c r="H1160" s="6">
        <v>2</v>
      </c>
      <c r="I1160" s="6" t="s">
        <v>13</v>
      </c>
      <c r="J1160" s="6" t="str">
        <f>IF(Employee[[#This Row],[Attrition]]="Yes","Resigned","Active")</f>
        <v>Active</v>
      </c>
    </row>
    <row r="1161" spans="1:10" x14ac:dyDescent="0.25">
      <c r="A1161" s="6">
        <v>1633</v>
      </c>
      <c r="B1161" s="6">
        <v>39</v>
      </c>
      <c r="C1161" s="5" t="s">
        <v>11</v>
      </c>
      <c r="D1161" s="5" t="s">
        <v>15</v>
      </c>
      <c r="E1161" s="6">
        <v>2</v>
      </c>
      <c r="F1161" s="6">
        <v>5042</v>
      </c>
      <c r="G1161" s="6">
        <v>9</v>
      </c>
      <c r="H1161" s="6">
        <v>1</v>
      </c>
      <c r="I1161" s="6" t="s">
        <v>13</v>
      </c>
      <c r="J1161" s="6" t="str">
        <f>IF(Employee[[#This Row],[Attrition]]="Yes","Resigned","Active")</f>
        <v>Active</v>
      </c>
    </row>
    <row r="1162" spans="1:10" x14ac:dyDescent="0.25">
      <c r="A1162" s="6">
        <v>1635</v>
      </c>
      <c r="B1162" s="6">
        <v>45</v>
      </c>
      <c r="C1162" s="5" t="s">
        <v>11</v>
      </c>
      <c r="D1162" s="5" t="s">
        <v>15</v>
      </c>
      <c r="E1162" s="6">
        <v>2</v>
      </c>
      <c r="F1162" s="6">
        <v>5770</v>
      </c>
      <c r="G1162" s="6">
        <v>10</v>
      </c>
      <c r="H1162" s="6">
        <v>3</v>
      </c>
      <c r="I1162" s="6" t="s">
        <v>13</v>
      </c>
      <c r="J1162" s="6" t="str">
        <f>IF(Employee[[#This Row],[Attrition]]="Yes","Resigned","Active")</f>
        <v>Active</v>
      </c>
    </row>
    <row r="1163" spans="1:10" x14ac:dyDescent="0.25">
      <c r="A1163" s="6">
        <v>1638</v>
      </c>
      <c r="B1163" s="6">
        <v>38</v>
      </c>
      <c r="C1163" s="5" t="s">
        <v>11</v>
      </c>
      <c r="D1163" s="5" t="s">
        <v>15</v>
      </c>
      <c r="E1163" s="6">
        <v>3</v>
      </c>
      <c r="F1163" s="6">
        <v>7756</v>
      </c>
      <c r="G1163" s="6">
        <v>5</v>
      </c>
      <c r="H1163" s="6">
        <v>4</v>
      </c>
      <c r="I1163" s="6" t="s">
        <v>13</v>
      </c>
      <c r="J1163" s="6" t="str">
        <f>IF(Employee[[#This Row],[Attrition]]="Yes","Resigned","Active")</f>
        <v>Active</v>
      </c>
    </row>
    <row r="1164" spans="1:10" x14ac:dyDescent="0.25">
      <c r="A1164" s="6">
        <v>1639</v>
      </c>
      <c r="B1164" s="6">
        <v>35</v>
      </c>
      <c r="C1164" s="5" t="s">
        <v>8</v>
      </c>
      <c r="D1164" s="5" t="s">
        <v>9</v>
      </c>
      <c r="E1164" s="6">
        <v>3</v>
      </c>
      <c r="F1164" s="6">
        <v>10306</v>
      </c>
      <c r="G1164" s="6">
        <v>13</v>
      </c>
      <c r="H1164" s="6">
        <v>3</v>
      </c>
      <c r="I1164" s="6" t="s">
        <v>10</v>
      </c>
      <c r="J1164" s="6" t="str">
        <f>IF(Employee[[#This Row],[Attrition]]="Yes","Resigned","Active")</f>
        <v>Resigned</v>
      </c>
    </row>
    <row r="1165" spans="1:10" x14ac:dyDescent="0.25">
      <c r="A1165" s="6">
        <v>1640</v>
      </c>
      <c r="B1165" s="6">
        <v>37</v>
      </c>
      <c r="C1165" s="5" t="s">
        <v>11</v>
      </c>
      <c r="D1165" s="5" t="s">
        <v>12</v>
      </c>
      <c r="E1165" s="6">
        <v>1</v>
      </c>
      <c r="F1165" s="6">
        <v>3936</v>
      </c>
      <c r="G1165" s="6">
        <v>8</v>
      </c>
      <c r="H1165" s="6">
        <v>1</v>
      </c>
      <c r="I1165" s="6" t="s">
        <v>13</v>
      </c>
      <c r="J1165" s="6" t="str">
        <f>IF(Employee[[#This Row],[Attrition]]="Yes","Resigned","Active")</f>
        <v>Active</v>
      </c>
    </row>
    <row r="1166" spans="1:10" x14ac:dyDescent="0.25">
      <c r="A1166" s="6">
        <v>1641</v>
      </c>
      <c r="B1166" s="6">
        <v>40</v>
      </c>
      <c r="C1166" s="5" t="s">
        <v>11</v>
      </c>
      <c r="D1166" s="5" t="s">
        <v>15</v>
      </c>
      <c r="E1166" s="6">
        <v>3</v>
      </c>
      <c r="F1166" s="6">
        <v>7945</v>
      </c>
      <c r="G1166" s="6">
        <v>4</v>
      </c>
      <c r="H1166" s="6">
        <v>2</v>
      </c>
      <c r="I1166" s="6" t="s">
        <v>13</v>
      </c>
      <c r="J1166" s="6" t="str">
        <f>IF(Employee[[#This Row],[Attrition]]="Yes","Resigned","Active")</f>
        <v>Active</v>
      </c>
    </row>
    <row r="1167" spans="1:10" x14ac:dyDescent="0.25">
      <c r="A1167" s="6">
        <v>1642</v>
      </c>
      <c r="B1167" s="6">
        <v>44</v>
      </c>
      <c r="C1167" s="5" t="s">
        <v>20</v>
      </c>
      <c r="D1167" s="5" t="s">
        <v>20</v>
      </c>
      <c r="E1167" s="6">
        <v>2</v>
      </c>
      <c r="F1167" s="6">
        <v>5743</v>
      </c>
      <c r="G1167" s="6">
        <v>10</v>
      </c>
      <c r="H1167" s="6">
        <v>3</v>
      </c>
      <c r="I1167" s="6" t="s">
        <v>13</v>
      </c>
      <c r="J1167" s="6" t="str">
        <f>IF(Employee[[#This Row],[Attrition]]="Yes","Resigned","Active")</f>
        <v>Active</v>
      </c>
    </row>
    <row r="1168" spans="1:10" x14ac:dyDescent="0.25">
      <c r="A1168" s="6">
        <v>1644</v>
      </c>
      <c r="B1168" s="6">
        <v>48</v>
      </c>
      <c r="C1168" s="5" t="s">
        <v>11</v>
      </c>
      <c r="D1168" s="5" t="s">
        <v>17</v>
      </c>
      <c r="E1168" s="6">
        <v>4</v>
      </c>
      <c r="F1168" s="6">
        <v>15202</v>
      </c>
      <c r="G1168" s="6">
        <v>2</v>
      </c>
      <c r="H1168" s="6">
        <v>3</v>
      </c>
      <c r="I1168" s="6" t="s">
        <v>13</v>
      </c>
      <c r="J1168" s="6" t="str">
        <f>IF(Employee[[#This Row],[Attrition]]="Yes","Resigned","Active")</f>
        <v>Active</v>
      </c>
    </row>
    <row r="1169" spans="1:10" x14ac:dyDescent="0.25">
      <c r="A1169" s="6">
        <v>1645</v>
      </c>
      <c r="B1169" s="6">
        <v>35</v>
      </c>
      <c r="C1169" s="5" t="s">
        <v>8</v>
      </c>
      <c r="D1169" s="5" t="s">
        <v>9</v>
      </c>
      <c r="E1169" s="6">
        <v>2</v>
      </c>
      <c r="F1169" s="6">
        <v>5440</v>
      </c>
      <c r="G1169" s="6">
        <v>2</v>
      </c>
      <c r="H1169" s="6">
        <v>2</v>
      </c>
      <c r="I1169" s="6" t="s">
        <v>10</v>
      </c>
      <c r="J1169" s="6" t="str">
        <f>IF(Employee[[#This Row],[Attrition]]="Yes","Resigned","Active")</f>
        <v>Resigned</v>
      </c>
    </row>
    <row r="1170" spans="1:10" x14ac:dyDescent="0.25">
      <c r="A1170" s="6">
        <v>1646</v>
      </c>
      <c r="B1170" s="6">
        <v>24</v>
      </c>
      <c r="C1170" s="5" t="s">
        <v>11</v>
      </c>
      <c r="D1170" s="5" t="s">
        <v>12</v>
      </c>
      <c r="E1170" s="6">
        <v>1</v>
      </c>
      <c r="F1170" s="6">
        <v>3760</v>
      </c>
      <c r="G1170" s="6">
        <v>6</v>
      </c>
      <c r="H1170" s="6">
        <v>3</v>
      </c>
      <c r="I1170" s="6" t="s">
        <v>13</v>
      </c>
      <c r="J1170" s="6" t="str">
        <f>IF(Employee[[#This Row],[Attrition]]="Yes","Resigned","Active")</f>
        <v>Active</v>
      </c>
    </row>
    <row r="1171" spans="1:10" x14ac:dyDescent="0.25">
      <c r="A1171" s="6">
        <v>1647</v>
      </c>
      <c r="B1171" s="6">
        <v>27</v>
      </c>
      <c r="C1171" s="5" t="s">
        <v>11</v>
      </c>
      <c r="D1171" s="5" t="s">
        <v>12</v>
      </c>
      <c r="E1171" s="6">
        <v>1</v>
      </c>
      <c r="F1171" s="6">
        <v>3517</v>
      </c>
      <c r="G1171" s="6">
        <v>3</v>
      </c>
      <c r="H1171" s="6">
        <v>3</v>
      </c>
      <c r="I1171" s="6" t="s">
        <v>13</v>
      </c>
      <c r="J1171" s="6" t="str">
        <f>IF(Employee[[#This Row],[Attrition]]="Yes","Resigned","Active")</f>
        <v>Active</v>
      </c>
    </row>
    <row r="1172" spans="1:10" x14ac:dyDescent="0.25">
      <c r="A1172" s="6">
        <v>1648</v>
      </c>
      <c r="B1172" s="6">
        <v>27</v>
      </c>
      <c r="C1172" s="5" t="s">
        <v>11</v>
      </c>
      <c r="D1172" s="5" t="s">
        <v>12</v>
      </c>
      <c r="E1172" s="6">
        <v>1</v>
      </c>
      <c r="F1172" s="6">
        <v>2580</v>
      </c>
      <c r="G1172" s="6">
        <v>4</v>
      </c>
      <c r="H1172" s="6">
        <v>2</v>
      </c>
      <c r="I1172" s="6" t="s">
        <v>13</v>
      </c>
      <c r="J1172" s="6" t="str">
        <f>IF(Employee[[#This Row],[Attrition]]="Yes","Resigned","Active")</f>
        <v>Active</v>
      </c>
    </row>
    <row r="1173" spans="1:10" x14ac:dyDescent="0.25">
      <c r="A1173" s="6">
        <v>1649</v>
      </c>
      <c r="B1173" s="6">
        <v>40</v>
      </c>
      <c r="C1173" s="5" t="s">
        <v>11</v>
      </c>
      <c r="D1173" s="5" t="s">
        <v>14</v>
      </c>
      <c r="E1173" s="6">
        <v>1</v>
      </c>
      <c r="F1173" s="6">
        <v>2166</v>
      </c>
      <c r="G1173" s="6">
        <v>4</v>
      </c>
      <c r="H1173" s="6">
        <v>1</v>
      </c>
      <c r="I1173" s="6" t="s">
        <v>10</v>
      </c>
      <c r="J1173" s="6" t="str">
        <f>IF(Employee[[#This Row],[Attrition]]="Yes","Resigned","Active")</f>
        <v>Resigned</v>
      </c>
    </row>
    <row r="1174" spans="1:10" x14ac:dyDescent="0.25">
      <c r="A1174" s="6">
        <v>1650</v>
      </c>
      <c r="B1174" s="6">
        <v>29</v>
      </c>
      <c r="C1174" s="5" t="s">
        <v>8</v>
      </c>
      <c r="D1174" s="5" t="s">
        <v>9</v>
      </c>
      <c r="E1174" s="6">
        <v>2</v>
      </c>
      <c r="F1174" s="6">
        <v>5869</v>
      </c>
      <c r="G1174" s="6">
        <v>5</v>
      </c>
      <c r="H1174" s="6">
        <v>3</v>
      </c>
      <c r="I1174" s="6" t="s">
        <v>13</v>
      </c>
      <c r="J1174" s="6" t="str">
        <f>IF(Employee[[#This Row],[Attrition]]="Yes","Resigned","Active")</f>
        <v>Active</v>
      </c>
    </row>
    <row r="1175" spans="1:10" x14ac:dyDescent="0.25">
      <c r="A1175" s="6">
        <v>1651</v>
      </c>
      <c r="B1175" s="6">
        <v>36</v>
      </c>
      <c r="C1175" s="5" t="s">
        <v>11</v>
      </c>
      <c r="D1175" s="5" t="s">
        <v>16</v>
      </c>
      <c r="E1175" s="6">
        <v>3</v>
      </c>
      <c r="F1175" s="6">
        <v>8008</v>
      </c>
      <c r="G1175" s="6">
        <v>3</v>
      </c>
      <c r="H1175" s="6">
        <v>3</v>
      </c>
      <c r="I1175" s="6" t="s">
        <v>13</v>
      </c>
      <c r="J1175" s="6" t="str">
        <f>IF(Employee[[#This Row],[Attrition]]="Yes","Resigned","Active")</f>
        <v>Active</v>
      </c>
    </row>
    <row r="1176" spans="1:10" x14ac:dyDescent="0.25">
      <c r="A1176" s="6">
        <v>1653</v>
      </c>
      <c r="B1176" s="6">
        <v>25</v>
      </c>
      <c r="C1176" s="5" t="s">
        <v>11</v>
      </c>
      <c r="D1176" s="5" t="s">
        <v>15</v>
      </c>
      <c r="E1176" s="6">
        <v>2</v>
      </c>
      <c r="F1176" s="6">
        <v>5206</v>
      </c>
      <c r="G1176" s="6">
        <v>7</v>
      </c>
      <c r="H1176" s="6">
        <v>3</v>
      </c>
      <c r="I1176" s="6" t="s">
        <v>13</v>
      </c>
      <c r="J1176" s="6" t="str">
        <f>IF(Employee[[#This Row],[Attrition]]="Yes","Resigned","Active")</f>
        <v>Active</v>
      </c>
    </row>
    <row r="1177" spans="1:10" x14ac:dyDescent="0.25">
      <c r="A1177" s="6">
        <v>1654</v>
      </c>
      <c r="B1177" s="6">
        <v>39</v>
      </c>
      <c r="C1177" s="5" t="s">
        <v>11</v>
      </c>
      <c r="D1177" s="5" t="s">
        <v>15</v>
      </c>
      <c r="E1177" s="6">
        <v>2</v>
      </c>
      <c r="F1177" s="6">
        <v>5295</v>
      </c>
      <c r="G1177" s="6">
        <v>5</v>
      </c>
      <c r="H1177" s="6">
        <v>3</v>
      </c>
      <c r="I1177" s="6" t="s">
        <v>13</v>
      </c>
      <c r="J1177" s="6" t="str">
        <f>IF(Employee[[#This Row],[Attrition]]="Yes","Resigned","Active")</f>
        <v>Active</v>
      </c>
    </row>
    <row r="1178" spans="1:10" x14ac:dyDescent="0.25">
      <c r="A1178" s="6">
        <v>1655</v>
      </c>
      <c r="B1178" s="6">
        <v>49</v>
      </c>
      <c r="C1178" s="5" t="s">
        <v>11</v>
      </c>
      <c r="D1178" s="5" t="s">
        <v>19</v>
      </c>
      <c r="E1178" s="6">
        <v>4</v>
      </c>
      <c r="F1178" s="6">
        <v>16413</v>
      </c>
      <c r="G1178" s="6">
        <v>4</v>
      </c>
      <c r="H1178" s="6">
        <v>3</v>
      </c>
      <c r="I1178" s="6" t="s">
        <v>13</v>
      </c>
      <c r="J1178" s="6" t="str">
        <f>IF(Employee[[#This Row],[Attrition]]="Yes","Resigned","Active")</f>
        <v>Active</v>
      </c>
    </row>
    <row r="1179" spans="1:10" x14ac:dyDescent="0.25">
      <c r="A1179" s="6">
        <v>1656</v>
      </c>
      <c r="B1179" s="6">
        <v>50</v>
      </c>
      <c r="C1179" s="5" t="s">
        <v>11</v>
      </c>
      <c r="D1179" s="5" t="s">
        <v>19</v>
      </c>
      <c r="E1179" s="6">
        <v>3</v>
      </c>
      <c r="F1179" s="6">
        <v>13269</v>
      </c>
      <c r="G1179" s="6">
        <v>14</v>
      </c>
      <c r="H1179" s="6">
        <v>3</v>
      </c>
      <c r="I1179" s="6" t="s">
        <v>13</v>
      </c>
      <c r="J1179" s="6" t="str">
        <f>IF(Employee[[#This Row],[Attrition]]="Yes","Resigned","Active")</f>
        <v>Active</v>
      </c>
    </row>
    <row r="1180" spans="1:10" x14ac:dyDescent="0.25">
      <c r="A1180" s="6">
        <v>1657</v>
      </c>
      <c r="B1180" s="6">
        <v>20</v>
      </c>
      <c r="C1180" s="5" t="s">
        <v>8</v>
      </c>
      <c r="D1180" s="5" t="s">
        <v>18</v>
      </c>
      <c r="E1180" s="6">
        <v>1</v>
      </c>
      <c r="F1180" s="6">
        <v>2783</v>
      </c>
      <c r="G1180" s="6">
        <v>2</v>
      </c>
      <c r="H1180" s="6">
        <v>3</v>
      </c>
      <c r="I1180" s="6" t="s">
        <v>13</v>
      </c>
      <c r="J1180" s="6" t="str">
        <f>IF(Employee[[#This Row],[Attrition]]="Yes","Resigned","Active")</f>
        <v>Active</v>
      </c>
    </row>
    <row r="1181" spans="1:10" x14ac:dyDescent="0.25">
      <c r="A1181" s="6">
        <v>1658</v>
      </c>
      <c r="B1181" s="6">
        <v>34</v>
      </c>
      <c r="C1181" s="5" t="s">
        <v>11</v>
      </c>
      <c r="D1181" s="5" t="s">
        <v>12</v>
      </c>
      <c r="E1181" s="6">
        <v>2</v>
      </c>
      <c r="F1181" s="6">
        <v>5433</v>
      </c>
      <c r="G1181" s="6">
        <v>11</v>
      </c>
      <c r="H1181" s="6">
        <v>3</v>
      </c>
      <c r="I1181" s="6" t="s">
        <v>13</v>
      </c>
      <c r="J1181" s="6" t="str">
        <f>IF(Employee[[#This Row],[Attrition]]="Yes","Resigned","Active")</f>
        <v>Active</v>
      </c>
    </row>
    <row r="1182" spans="1:10" x14ac:dyDescent="0.25">
      <c r="A1182" s="6">
        <v>1659</v>
      </c>
      <c r="B1182" s="6">
        <v>36</v>
      </c>
      <c r="C1182" s="5" t="s">
        <v>11</v>
      </c>
      <c r="D1182" s="5" t="s">
        <v>14</v>
      </c>
      <c r="E1182" s="6">
        <v>1</v>
      </c>
      <c r="F1182" s="6">
        <v>2013</v>
      </c>
      <c r="G1182" s="6">
        <v>4</v>
      </c>
      <c r="H1182" s="6">
        <v>3</v>
      </c>
      <c r="I1182" s="6" t="s">
        <v>13</v>
      </c>
      <c r="J1182" s="6" t="str">
        <f>IF(Employee[[#This Row],[Attrition]]="Yes","Resigned","Active")</f>
        <v>Active</v>
      </c>
    </row>
    <row r="1183" spans="1:10" x14ac:dyDescent="0.25">
      <c r="A1183" s="6">
        <v>1661</v>
      </c>
      <c r="B1183" s="6">
        <v>49</v>
      </c>
      <c r="C1183" s="5" t="s">
        <v>11</v>
      </c>
      <c r="D1183" s="5" t="s">
        <v>16</v>
      </c>
      <c r="E1183" s="6">
        <v>4</v>
      </c>
      <c r="F1183" s="6">
        <v>13966</v>
      </c>
      <c r="G1183" s="6">
        <v>15</v>
      </c>
      <c r="H1183" s="6">
        <v>3</v>
      </c>
      <c r="I1183" s="6" t="s">
        <v>13</v>
      </c>
      <c r="J1183" s="6" t="str">
        <f>IF(Employee[[#This Row],[Attrition]]="Yes","Resigned","Active")</f>
        <v>Active</v>
      </c>
    </row>
    <row r="1184" spans="1:10" x14ac:dyDescent="0.25">
      <c r="A1184" s="6">
        <v>1662</v>
      </c>
      <c r="B1184" s="6">
        <v>36</v>
      </c>
      <c r="C1184" s="5" t="s">
        <v>11</v>
      </c>
      <c r="D1184" s="5" t="s">
        <v>15</v>
      </c>
      <c r="E1184" s="6">
        <v>2</v>
      </c>
      <c r="F1184" s="6">
        <v>4374</v>
      </c>
      <c r="G1184" s="6">
        <v>3</v>
      </c>
      <c r="H1184" s="6">
        <v>3</v>
      </c>
      <c r="I1184" s="6" t="s">
        <v>13</v>
      </c>
      <c r="J1184" s="6" t="str">
        <f>IF(Employee[[#This Row],[Attrition]]="Yes","Resigned","Active")</f>
        <v>Active</v>
      </c>
    </row>
    <row r="1185" spans="1:10" x14ac:dyDescent="0.25">
      <c r="A1185" s="6">
        <v>1664</v>
      </c>
      <c r="B1185" s="6">
        <v>36</v>
      </c>
      <c r="C1185" s="5" t="s">
        <v>11</v>
      </c>
      <c r="D1185" s="5" t="s">
        <v>16</v>
      </c>
      <c r="E1185" s="6">
        <v>2</v>
      </c>
      <c r="F1185" s="6">
        <v>6842</v>
      </c>
      <c r="G1185" s="6">
        <v>5</v>
      </c>
      <c r="H1185" s="6">
        <v>3</v>
      </c>
      <c r="I1185" s="6" t="s">
        <v>13</v>
      </c>
      <c r="J1185" s="6" t="str">
        <f>IF(Employee[[#This Row],[Attrition]]="Yes","Resigned","Active")</f>
        <v>Active</v>
      </c>
    </row>
    <row r="1186" spans="1:10" x14ac:dyDescent="0.25">
      <c r="A1186" s="6">
        <v>1665</v>
      </c>
      <c r="B1186" s="6">
        <v>54</v>
      </c>
      <c r="C1186" s="5" t="s">
        <v>11</v>
      </c>
      <c r="D1186" s="5" t="s">
        <v>17</v>
      </c>
      <c r="E1186" s="6">
        <v>4</v>
      </c>
      <c r="F1186" s="6">
        <v>17426</v>
      </c>
      <c r="G1186" s="6">
        <v>10</v>
      </c>
      <c r="H1186" s="6">
        <v>3</v>
      </c>
      <c r="I1186" s="6" t="s">
        <v>13</v>
      </c>
      <c r="J1186" s="6" t="str">
        <f>IF(Employee[[#This Row],[Attrition]]="Yes","Resigned","Active")</f>
        <v>Active</v>
      </c>
    </row>
    <row r="1187" spans="1:10" x14ac:dyDescent="0.25">
      <c r="A1187" s="6">
        <v>1666</v>
      </c>
      <c r="B1187" s="6">
        <v>43</v>
      </c>
      <c r="C1187" s="5" t="s">
        <v>11</v>
      </c>
      <c r="D1187" s="5" t="s">
        <v>19</v>
      </c>
      <c r="E1187" s="6">
        <v>4</v>
      </c>
      <c r="F1187" s="6">
        <v>17603</v>
      </c>
      <c r="G1187" s="6">
        <v>14</v>
      </c>
      <c r="H1187" s="6">
        <v>3</v>
      </c>
      <c r="I1187" s="6" t="s">
        <v>13</v>
      </c>
      <c r="J1187" s="6" t="str">
        <f>IF(Employee[[#This Row],[Attrition]]="Yes","Resigned","Active")</f>
        <v>Active</v>
      </c>
    </row>
    <row r="1188" spans="1:10" x14ac:dyDescent="0.25">
      <c r="A1188" s="6">
        <v>1667</v>
      </c>
      <c r="B1188" s="6">
        <v>35</v>
      </c>
      <c r="C1188" s="5" t="s">
        <v>8</v>
      </c>
      <c r="D1188" s="5" t="s">
        <v>9</v>
      </c>
      <c r="E1188" s="6">
        <v>2</v>
      </c>
      <c r="F1188" s="6">
        <v>4581</v>
      </c>
      <c r="G1188" s="6">
        <v>11</v>
      </c>
      <c r="H1188" s="6">
        <v>4</v>
      </c>
      <c r="I1188" s="6" t="s">
        <v>10</v>
      </c>
      <c r="J1188" s="6" t="str">
        <f>IF(Employee[[#This Row],[Attrition]]="Yes","Resigned","Active")</f>
        <v>Resigned</v>
      </c>
    </row>
    <row r="1189" spans="1:10" x14ac:dyDescent="0.25">
      <c r="A1189" s="6">
        <v>1668</v>
      </c>
      <c r="B1189" s="6">
        <v>38</v>
      </c>
      <c r="C1189" s="5" t="s">
        <v>11</v>
      </c>
      <c r="D1189" s="5" t="s">
        <v>12</v>
      </c>
      <c r="E1189" s="6">
        <v>2</v>
      </c>
      <c r="F1189" s="6">
        <v>4735</v>
      </c>
      <c r="G1189" s="6">
        <v>13</v>
      </c>
      <c r="H1189" s="6">
        <v>4</v>
      </c>
      <c r="I1189" s="6" t="s">
        <v>13</v>
      </c>
      <c r="J1189" s="6" t="str">
        <f>IF(Employee[[#This Row],[Attrition]]="Yes","Resigned","Active")</f>
        <v>Active</v>
      </c>
    </row>
    <row r="1190" spans="1:10" x14ac:dyDescent="0.25">
      <c r="A1190" s="6">
        <v>1669</v>
      </c>
      <c r="B1190" s="6">
        <v>29</v>
      </c>
      <c r="C1190" s="5" t="s">
        <v>8</v>
      </c>
      <c r="D1190" s="5" t="s">
        <v>9</v>
      </c>
      <c r="E1190" s="6">
        <v>2</v>
      </c>
      <c r="F1190" s="6">
        <v>4187</v>
      </c>
      <c r="G1190" s="6">
        <v>10</v>
      </c>
      <c r="H1190" s="6">
        <v>2</v>
      </c>
      <c r="I1190" s="6" t="s">
        <v>13</v>
      </c>
      <c r="J1190" s="6" t="str">
        <f>IF(Employee[[#This Row],[Attrition]]="Yes","Resigned","Active")</f>
        <v>Active</v>
      </c>
    </row>
    <row r="1191" spans="1:10" x14ac:dyDescent="0.25">
      <c r="A1191" s="6">
        <v>1670</v>
      </c>
      <c r="B1191" s="6">
        <v>33</v>
      </c>
      <c r="C1191" s="5" t="s">
        <v>8</v>
      </c>
      <c r="D1191" s="5" t="s">
        <v>9</v>
      </c>
      <c r="E1191" s="6">
        <v>2</v>
      </c>
      <c r="F1191" s="6">
        <v>5505</v>
      </c>
      <c r="G1191" s="6">
        <v>6</v>
      </c>
      <c r="H1191" s="6">
        <v>3</v>
      </c>
      <c r="I1191" s="6" t="s">
        <v>13</v>
      </c>
      <c r="J1191" s="6" t="str">
        <f>IF(Employee[[#This Row],[Attrition]]="Yes","Resigned","Active")</f>
        <v>Active</v>
      </c>
    </row>
    <row r="1192" spans="1:10" x14ac:dyDescent="0.25">
      <c r="A1192" s="6">
        <v>1671</v>
      </c>
      <c r="B1192" s="6">
        <v>32</v>
      </c>
      <c r="C1192" s="5" t="s">
        <v>11</v>
      </c>
      <c r="D1192" s="5" t="s">
        <v>12</v>
      </c>
      <c r="E1192" s="6">
        <v>2</v>
      </c>
      <c r="F1192" s="6">
        <v>5470</v>
      </c>
      <c r="G1192" s="6">
        <v>9</v>
      </c>
      <c r="H1192" s="6">
        <v>2</v>
      </c>
      <c r="I1192" s="6" t="s">
        <v>13</v>
      </c>
      <c r="J1192" s="6" t="str">
        <f>IF(Employee[[#This Row],[Attrition]]="Yes","Resigned","Active")</f>
        <v>Active</v>
      </c>
    </row>
    <row r="1193" spans="1:10" x14ac:dyDescent="0.25">
      <c r="A1193" s="6">
        <v>1673</v>
      </c>
      <c r="B1193" s="6">
        <v>31</v>
      </c>
      <c r="C1193" s="5" t="s">
        <v>8</v>
      </c>
      <c r="D1193" s="5" t="s">
        <v>9</v>
      </c>
      <c r="E1193" s="6">
        <v>2</v>
      </c>
      <c r="F1193" s="6">
        <v>5476</v>
      </c>
      <c r="G1193" s="6">
        <v>10</v>
      </c>
      <c r="H1193" s="6">
        <v>3</v>
      </c>
      <c r="I1193" s="6" t="s">
        <v>13</v>
      </c>
      <c r="J1193" s="6" t="str">
        <f>IF(Employee[[#This Row],[Attrition]]="Yes","Resigned","Active")</f>
        <v>Active</v>
      </c>
    </row>
    <row r="1194" spans="1:10" x14ac:dyDescent="0.25">
      <c r="A1194" s="6">
        <v>1674</v>
      </c>
      <c r="B1194" s="6">
        <v>49</v>
      </c>
      <c r="C1194" s="5" t="s">
        <v>11</v>
      </c>
      <c r="D1194" s="5" t="s">
        <v>14</v>
      </c>
      <c r="E1194" s="6">
        <v>1</v>
      </c>
      <c r="F1194" s="6">
        <v>2587</v>
      </c>
      <c r="G1194" s="6">
        <v>2</v>
      </c>
      <c r="H1194" s="6">
        <v>2</v>
      </c>
      <c r="I1194" s="6" t="s">
        <v>13</v>
      </c>
      <c r="J1194" s="6" t="str">
        <f>IF(Employee[[#This Row],[Attrition]]="Yes","Resigned","Active")</f>
        <v>Active</v>
      </c>
    </row>
    <row r="1195" spans="1:10" x14ac:dyDescent="0.25">
      <c r="A1195" s="6">
        <v>1675</v>
      </c>
      <c r="B1195" s="6">
        <v>38</v>
      </c>
      <c r="C1195" s="5" t="s">
        <v>11</v>
      </c>
      <c r="D1195" s="5" t="s">
        <v>14</v>
      </c>
      <c r="E1195" s="6">
        <v>1</v>
      </c>
      <c r="F1195" s="6">
        <v>2440</v>
      </c>
      <c r="G1195" s="6">
        <v>4</v>
      </c>
      <c r="H1195" s="6">
        <v>3</v>
      </c>
      <c r="I1195" s="6" t="s">
        <v>13</v>
      </c>
      <c r="J1195" s="6" t="str">
        <f>IF(Employee[[#This Row],[Attrition]]="Yes","Resigned","Active")</f>
        <v>Active</v>
      </c>
    </row>
    <row r="1196" spans="1:10" x14ac:dyDescent="0.25">
      <c r="A1196" s="6">
        <v>1676</v>
      </c>
      <c r="B1196" s="6">
        <v>47</v>
      </c>
      <c r="C1196" s="5" t="s">
        <v>8</v>
      </c>
      <c r="D1196" s="5" t="s">
        <v>17</v>
      </c>
      <c r="E1196" s="6">
        <v>4</v>
      </c>
      <c r="F1196" s="6">
        <v>15972</v>
      </c>
      <c r="G1196" s="6">
        <v>3</v>
      </c>
      <c r="H1196" s="6">
        <v>3</v>
      </c>
      <c r="I1196" s="6" t="s">
        <v>13</v>
      </c>
      <c r="J1196" s="6" t="str">
        <f>IF(Employee[[#This Row],[Attrition]]="Yes","Resigned","Active")</f>
        <v>Active</v>
      </c>
    </row>
    <row r="1197" spans="1:10" x14ac:dyDescent="0.25">
      <c r="A1197" s="6">
        <v>1677</v>
      </c>
      <c r="B1197" s="6">
        <v>49</v>
      </c>
      <c r="C1197" s="5" t="s">
        <v>11</v>
      </c>
      <c r="D1197" s="5" t="s">
        <v>17</v>
      </c>
      <c r="E1197" s="6">
        <v>4</v>
      </c>
      <c r="F1197" s="6">
        <v>15379</v>
      </c>
      <c r="G1197" s="6">
        <v>8</v>
      </c>
      <c r="H1197" s="6">
        <v>3</v>
      </c>
      <c r="I1197" s="6" t="s">
        <v>13</v>
      </c>
      <c r="J1197" s="6" t="str">
        <f>IF(Employee[[#This Row],[Attrition]]="Yes","Resigned","Active")</f>
        <v>Active</v>
      </c>
    </row>
    <row r="1198" spans="1:10" x14ac:dyDescent="0.25">
      <c r="A1198" s="6">
        <v>1678</v>
      </c>
      <c r="B1198" s="6">
        <v>41</v>
      </c>
      <c r="C1198" s="5" t="s">
        <v>8</v>
      </c>
      <c r="D1198" s="5" t="s">
        <v>9</v>
      </c>
      <c r="E1198" s="6">
        <v>3</v>
      </c>
      <c r="F1198" s="6">
        <v>7082</v>
      </c>
      <c r="G1198" s="6">
        <v>2</v>
      </c>
      <c r="H1198" s="6">
        <v>3</v>
      </c>
      <c r="I1198" s="6" t="s">
        <v>13</v>
      </c>
      <c r="J1198" s="6" t="str">
        <f>IF(Employee[[#This Row],[Attrition]]="Yes","Resigned","Active")</f>
        <v>Active</v>
      </c>
    </row>
    <row r="1199" spans="1:10" x14ac:dyDescent="0.25">
      <c r="A1199" s="6">
        <v>1680</v>
      </c>
      <c r="B1199" s="6">
        <v>20</v>
      </c>
      <c r="C1199" s="5" t="s">
        <v>8</v>
      </c>
      <c r="D1199" s="5" t="s">
        <v>18</v>
      </c>
      <c r="E1199" s="6">
        <v>1</v>
      </c>
      <c r="F1199" s="6">
        <v>2728</v>
      </c>
      <c r="G1199" s="6">
        <v>2</v>
      </c>
      <c r="H1199" s="6">
        <v>3</v>
      </c>
      <c r="I1199" s="6" t="s">
        <v>13</v>
      </c>
      <c r="J1199" s="6" t="str">
        <f>IF(Employee[[#This Row],[Attrition]]="Yes","Resigned","Active")</f>
        <v>Active</v>
      </c>
    </row>
    <row r="1200" spans="1:10" x14ac:dyDescent="0.25">
      <c r="A1200" s="6">
        <v>1681</v>
      </c>
      <c r="B1200" s="6">
        <v>33</v>
      </c>
      <c r="C1200" s="5" t="s">
        <v>8</v>
      </c>
      <c r="D1200" s="5" t="s">
        <v>9</v>
      </c>
      <c r="E1200" s="6">
        <v>2</v>
      </c>
      <c r="F1200" s="6">
        <v>5368</v>
      </c>
      <c r="G1200" s="6">
        <v>6</v>
      </c>
      <c r="H1200" s="6">
        <v>3</v>
      </c>
      <c r="I1200" s="6" t="s">
        <v>13</v>
      </c>
      <c r="J1200" s="6" t="str">
        <f>IF(Employee[[#This Row],[Attrition]]="Yes","Resigned","Active")</f>
        <v>Active</v>
      </c>
    </row>
    <row r="1201" spans="1:10" x14ac:dyDescent="0.25">
      <c r="A1201" s="6">
        <v>1682</v>
      </c>
      <c r="B1201" s="6">
        <v>36</v>
      </c>
      <c r="C1201" s="5" t="s">
        <v>11</v>
      </c>
      <c r="D1201" s="5" t="s">
        <v>16</v>
      </c>
      <c r="E1201" s="6">
        <v>2</v>
      </c>
      <c r="F1201" s="6">
        <v>5347</v>
      </c>
      <c r="G1201" s="6">
        <v>3</v>
      </c>
      <c r="H1201" s="6">
        <v>2</v>
      </c>
      <c r="I1201" s="6" t="s">
        <v>13</v>
      </c>
      <c r="J1201" s="6" t="str">
        <f>IF(Employee[[#This Row],[Attrition]]="Yes","Resigned","Active")</f>
        <v>Active</v>
      </c>
    </row>
    <row r="1202" spans="1:10" x14ac:dyDescent="0.25">
      <c r="A1202" s="6">
        <v>1683</v>
      </c>
      <c r="B1202" s="6">
        <v>44</v>
      </c>
      <c r="C1202" s="5" t="s">
        <v>20</v>
      </c>
      <c r="D1202" s="5" t="s">
        <v>20</v>
      </c>
      <c r="E1202" s="6">
        <v>1</v>
      </c>
      <c r="F1202" s="6">
        <v>3195</v>
      </c>
      <c r="G1202" s="6">
        <v>2</v>
      </c>
      <c r="H1202" s="6">
        <v>3</v>
      </c>
      <c r="I1202" s="6" t="s">
        <v>13</v>
      </c>
      <c r="J1202" s="6" t="str">
        <f>IF(Employee[[#This Row],[Attrition]]="Yes","Resigned","Active")</f>
        <v>Active</v>
      </c>
    </row>
    <row r="1203" spans="1:10" x14ac:dyDescent="0.25">
      <c r="A1203" s="6">
        <v>1684</v>
      </c>
      <c r="B1203" s="6">
        <v>23</v>
      </c>
      <c r="C1203" s="5" t="s">
        <v>11</v>
      </c>
      <c r="D1203" s="5" t="s">
        <v>14</v>
      </c>
      <c r="E1203" s="6">
        <v>1</v>
      </c>
      <c r="F1203" s="6">
        <v>3989</v>
      </c>
      <c r="G1203" s="6">
        <v>5</v>
      </c>
      <c r="H1203" s="6">
        <v>3</v>
      </c>
      <c r="I1203" s="6" t="s">
        <v>10</v>
      </c>
      <c r="J1203" s="6" t="str">
        <f>IF(Employee[[#This Row],[Attrition]]="Yes","Resigned","Active")</f>
        <v>Resigned</v>
      </c>
    </row>
    <row r="1204" spans="1:10" x14ac:dyDescent="0.25">
      <c r="A1204" s="6">
        <v>1687</v>
      </c>
      <c r="B1204" s="6">
        <v>38</v>
      </c>
      <c r="C1204" s="5" t="s">
        <v>11</v>
      </c>
      <c r="D1204" s="5" t="s">
        <v>14</v>
      </c>
      <c r="E1204" s="6">
        <v>1</v>
      </c>
      <c r="F1204" s="6">
        <v>3306</v>
      </c>
      <c r="G1204" s="6">
        <v>0</v>
      </c>
      <c r="H1204" s="6">
        <v>2</v>
      </c>
      <c r="I1204" s="6" t="s">
        <v>13</v>
      </c>
      <c r="J1204" s="6" t="str">
        <f>IF(Employee[[#This Row],[Attrition]]="Yes","Resigned","Active")</f>
        <v>Active</v>
      </c>
    </row>
    <row r="1205" spans="1:10" x14ac:dyDescent="0.25">
      <c r="A1205" s="6">
        <v>1689</v>
      </c>
      <c r="B1205" s="6">
        <v>53</v>
      </c>
      <c r="C1205" s="5" t="s">
        <v>11</v>
      </c>
      <c r="D1205" s="5" t="s">
        <v>16</v>
      </c>
      <c r="E1205" s="6">
        <v>3</v>
      </c>
      <c r="F1205" s="6">
        <v>7005</v>
      </c>
      <c r="G1205" s="6">
        <v>4</v>
      </c>
      <c r="H1205" s="6">
        <v>3</v>
      </c>
      <c r="I1205" s="6" t="s">
        <v>13</v>
      </c>
      <c r="J1205" s="6" t="str">
        <f>IF(Employee[[#This Row],[Attrition]]="Yes","Resigned","Active")</f>
        <v>Active</v>
      </c>
    </row>
    <row r="1206" spans="1:10" x14ac:dyDescent="0.25">
      <c r="A1206" s="6">
        <v>1691</v>
      </c>
      <c r="B1206" s="6">
        <v>48</v>
      </c>
      <c r="C1206" s="5" t="s">
        <v>8</v>
      </c>
      <c r="D1206" s="5" t="s">
        <v>18</v>
      </c>
      <c r="E1206" s="6">
        <v>1</v>
      </c>
      <c r="F1206" s="6">
        <v>2655</v>
      </c>
      <c r="G1206" s="6">
        <v>9</v>
      </c>
      <c r="H1206" s="6">
        <v>3</v>
      </c>
      <c r="I1206" s="6" t="s">
        <v>10</v>
      </c>
      <c r="J1206" s="6" t="str">
        <f>IF(Employee[[#This Row],[Attrition]]="Yes","Resigned","Active")</f>
        <v>Resigned</v>
      </c>
    </row>
    <row r="1207" spans="1:10" x14ac:dyDescent="0.25">
      <c r="A1207" s="6">
        <v>1692</v>
      </c>
      <c r="B1207" s="6">
        <v>32</v>
      </c>
      <c r="C1207" s="5" t="s">
        <v>11</v>
      </c>
      <c r="D1207" s="5" t="s">
        <v>14</v>
      </c>
      <c r="E1207" s="6">
        <v>1</v>
      </c>
      <c r="F1207" s="6">
        <v>1393</v>
      </c>
      <c r="G1207" s="6">
        <v>1</v>
      </c>
      <c r="H1207" s="6">
        <v>3</v>
      </c>
      <c r="I1207" s="6" t="s">
        <v>10</v>
      </c>
      <c r="J1207" s="6" t="str">
        <f>IF(Employee[[#This Row],[Attrition]]="Yes","Resigned","Active")</f>
        <v>Resigned</v>
      </c>
    </row>
    <row r="1208" spans="1:10" x14ac:dyDescent="0.25">
      <c r="A1208" s="6">
        <v>1693</v>
      </c>
      <c r="B1208" s="6">
        <v>26</v>
      </c>
      <c r="C1208" s="5" t="s">
        <v>11</v>
      </c>
      <c r="D1208" s="5" t="s">
        <v>14</v>
      </c>
      <c r="E1208" s="6">
        <v>1</v>
      </c>
      <c r="F1208" s="6">
        <v>2570</v>
      </c>
      <c r="G1208" s="6">
        <v>7</v>
      </c>
      <c r="H1208" s="6">
        <v>3</v>
      </c>
      <c r="I1208" s="6" t="s">
        <v>13</v>
      </c>
      <c r="J1208" s="6" t="str">
        <f>IF(Employee[[#This Row],[Attrition]]="Yes","Resigned","Active")</f>
        <v>Active</v>
      </c>
    </row>
    <row r="1209" spans="1:10" x14ac:dyDescent="0.25">
      <c r="A1209" s="6">
        <v>1694</v>
      </c>
      <c r="B1209" s="6">
        <v>55</v>
      </c>
      <c r="C1209" s="5" t="s">
        <v>11</v>
      </c>
      <c r="D1209" s="5" t="s">
        <v>12</v>
      </c>
      <c r="E1209" s="6">
        <v>1</v>
      </c>
      <c r="F1209" s="6">
        <v>3537</v>
      </c>
      <c r="G1209" s="6">
        <v>4</v>
      </c>
      <c r="H1209" s="6">
        <v>3</v>
      </c>
      <c r="I1209" s="6" t="s">
        <v>13</v>
      </c>
      <c r="J1209" s="6" t="str">
        <f>IF(Employee[[#This Row],[Attrition]]="Yes","Resigned","Active")</f>
        <v>Active</v>
      </c>
    </row>
    <row r="1210" spans="1:10" x14ac:dyDescent="0.25">
      <c r="A1210" s="6">
        <v>1696</v>
      </c>
      <c r="B1210" s="6">
        <v>34</v>
      </c>
      <c r="C1210" s="5" t="s">
        <v>11</v>
      </c>
      <c r="D1210" s="5" t="s">
        <v>14</v>
      </c>
      <c r="E1210" s="6">
        <v>2</v>
      </c>
      <c r="F1210" s="6">
        <v>3986</v>
      </c>
      <c r="G1210" s="6">
        <v>15</v>
      </c>
      <c r="H1210" s="6">
        <v>4</v>
      </c>
      <c r="I1210" s="6" t="s">
        <v>13</v>
      </c>
      <c r="J1210" s="6" t="str">
        <f>IF(Employee[[#This Row],[Attrition]]="Yes","Resigned","Active")</f>
        <v>Active</v>
      </c>
    </row>
    <row r="1211" spans="1:10" x14ac:dyDescent="0.25">
      <c r="A1211" s="6">
        <v>1697</v>
      </c>
      <c r="B1211" s="6">
        <v>60</v>
      </c>
      <c r="C1211" s="5" t="s">
        <v>11</v>
      </c>
      <c r="D1211" s="5" t="s">
        <v>16</v>
      </c>
      <c r="E1211" s="6">
        <v>3</v>
      </c>
      <c r="F1211" s="6">
        <v>10883</v>
      </c>
      <c r="G1211" s="6">
        <v>1</v>
      </c>
      <c r="H1211" s="6">
        <v>4</v>
      </c>
      <c r="I1211" s="6" t="s">
        <v>13</v>
      </c>
      <c r="J1211" s="6" t="str">
        <f>IF(Employee[[#This Row],[Attrition]]="Yes","Resigned","Active")</f>
        <v>Active</v>
      </c>
    </row>
    <row r="1212" spans="1:10" x14ac:dyDescent="0.25">
      <c r="A1212" s="6">
        <v>1698</v>
      </c>
      <c r="B1212" s="6">
        <v>33</v>
      </c>
      <c r="C1212" s="5" t="s">
        <v>11</v>
      </c>
      <c r="D1212" s="5" t="s">
        <v>14</v>
      </c>
      <c r="E1212" s="6">
        <v>1</v>
      </c>
      <c r="F1212" s="6">
        <v>2028</v>
      </c>
      <c r="G1212" s="6">
        <v>14</v>
      </c>
      <c r="H1212" s="6">
        <v>3</v>
      </c>
      <c r="I1212" s="6" t="s">
        <v>13</v>
      </c>
      <c r="J1212" s="6" t="str">
        <f>IF(Employee[[#This Row],[Attrition]]="Yes","Resigned","Active")</f>
        <v>Active</v>
      </c>
    </row>
    <row r="1213" spans="1:10" x14ac:dyDescent="0.25">
      <c r="A1213" s="6">
        <v>1700</v>
      </c>
      <c r="B1213" s="6">
        <v>37</v>
      </c>
      <c r="C1213" s="5" t="s">
        <v>8</v>
      </c>
      <c r="D1213" s="5" t="s">
        <v>9</v>
      </c>
      <c r="E1213" s="6">
        <v>2</v>
      </c>
      <c r="F1213" s="6">
        <v>9525</v>
      </c>
      <c r="G1213" s="6">
        <v>6</v>
      </c>
      <c r="H1213" s="6">
        <v>2</v>
      </c>
      <c r="I1213" s="6" t="s">
        <v>13</v>
      </c>
      <c r="J1213" s="6" t="str">
        <f>IF(Employee[[#This Row],[Attrition]]="Yes","Resigned","Active")</f>
        <v>Active</v>
      </c>
    </row>
    <row r="1214" spans="1:10" x14ac:dyDescent="0.25">
      <c r="A1214" s="6">
        <v>1701</v>
      </c>
      <c r="B1214" s="6">
        <v>34</v>
      </c>
      <c r="C1214" s="5" t="s">
        <v>11</v>
      </c>
      <c r="D1214" s="5" t="s">
        <v>12</v>
      </c>
      <c r="E1214" s="6">
        <v>1</v>
      </c>
      <c r="F1214" s="6">
        <v>2929</v>
      </c>
      <c r="G1214" s="6">
        <v>10</v>
      </c>
      <c r="H1214" s="6">
        <v>3</v>
      </c>
      <c r="I1214" s="6" t="s">
        <v>13</v>
      </c>
      <c r="J1214" s="6" t="str">
        <f>IF(Employee[[#This Row],[Attrition]]="Yes","Resigned","Active")</f>
        <v>Active</v>
      </c>
    </row>
    <row r="1215" spans="1:10" x14ac:dyDescent="0.25">
      <c r="A1215" s="6">
        <v>1702</v>
      </c>
      <c r="B1215" s="6">
        <v>23</v>
      </c>
      <c r="C1215" s="5" t="s">
        <v>8</v>
      </c>
      <c r="D1215" s="5" t="s">
        <v>18</v>
      </c>
      <c r="E1215" s="6">
        <v>1</v>
      </c>
      <c r="F1215" s="6">
        <v>2275</v>
      </c>
      <c r="G1215" s="6">
        <v>3</v>
      </c>
      <c r="H1215" s="6">
        <v>3</v>
      </c>
      <c r="I1215" s="6" t="s">
        <v>10</v>
      </c>
      <c r="J1215" s="6" t="str">
        <f>IF(Employee[[#This Row],[Attrition]]="Yes","Resigned","Active")</f>
        <v>Resigned</v>
      </c>
    </row>
    <row r="1216" spans="1:10" x14ac:dyDescent="0.25">
      <c r="A1216" s="6">
        <v>1703</v>
      </c>
      <c r="B1216" s="6">
        <v>44</v>
      </c>
      <c r="C1216" s="5" t="s">
        <v>11</v>
      </c>
      <c r="D1216" s="5" t="s">
        <v>16</v>
      </c>
      <c r="E1216" s="6">
        <v>3</v>
      </c>
      <c r="F1216" s="6">
        <v>7879</v>
      </c>
      <c r="G1216" s="6">
        <v>8</v>
      </c>
      <c r="H1216" s="6">
        <v>3</v>
      </c>
      <c r="I1216" s="6" t="s">
        <v>13</v>
      </c>
      <c r="J1216" s="6" t="str">
        <f>IF(Employee[[#This Row],[Attrition]]="Yes","Resigned","Active")</f>
        <v>Active</v>
      </c>
    </row>
    <row r="1217" spans="1:10" x14ac:dyDescent="0.25">
      <c r="A1217" s="6">
        <v>1704</v>
      </c>
      <c r="B1217" s="6">
        <v>35</v>
      </c>
      <c r="C1217" s="5" t="s">
        <v>11</v>
      </c>
      <c r="D1217" s="5" t="s">
        <v>12</v>
      </c>
      <c r="E1217" s="6">
        <v>1</v>
      </c>
      <c r="F1217" s="6">
        <v>4930</v>
      </c>
      <c r="G1217" s="6">
        <v>5</v>
      </c>
      <c r="H1217" s="6">
        <v>4</v>
      </c>
      <c r="I1217" s="6" t="s">
        <v>13</v>
      </c>
      <c r="J1217" s="6" t="str">
        <f>IF(Employee[[#This Row],[Attrition]]="Yes","Resigned","Active")</f>
        <v>Active</v>
      </c>
    </row>
    <row r="1218" spans="1:10" x14ac:dyDescent="0.25">
      <c r="A1218" s="6">
        <v>1706</v>
      </c>
      <c r="B1218" s="6">
        <v>43</v>
      </c>
      <c r="C1218" s="5" t="s">
        <v>8</v>
      </c>
      <c r="D1218" s="5" t="s">
        <v>9</v>
      </c>
      <c r="E1218" s="6">
        <v>2</v>
      </c>
      <c r="F1218" s="6">
        <v>7847</v>
      </c>
      <c r="G1218" s="6">
        <v>10</v>
      </c>
      <c r="H1218" s="6">
        <v>3</v>
      </c>
      <c r="I1218" s="6" t="s">
        <v>13</v>
      </c>
      <c r="J1218" s="6" t="str">
        <f>IF(Employee[[#This Row],[Attrition]]="Yes","Resigned","Active")</f>
        <v>Active</v>
      </c>
    </row>
    <row r="1219" spans="1:10" x14ac:dyDescent="0.25">
      <c r="A1219" s="6">
        <v>1707</v>
      </c>
      <c r="B1219" s="6">
        <v>24</v>
      </c>
      <c r="C1219" s="5" t="s">
        <v>11</v>
      </c>
      <c r="D1219" s="5" t="s">
        <v>12</v>
      </c>
      <c r="E1219" s="6">
        <v>1</v>
      </c>
      <c r="F1219" s="6">
        <v>4401</v>
      </c>
      <c r="G1219" s="6">
        <v>5</v>
      </c>
      <c r="H1219" s="6">
        <v>3</v>
      </c>
      <c r="I1219" s="6" t="s">
        <v>13</v>
      </c>
      <c r="J1219" s="6" t="str">
        <f>IF(Employee[[#This Row],[Attrition]]="Yes","Resigned","Active")</f>
        <v>Active</v>
      </c>
    </row>
    <row r="1220" spans="1:10" x14ac:dyDescent="0.25">
      <c r="A1220" s="6">
        <v>1708</v>
      </c>
      <c r="B1220" s="6">
        <v>41</v>
      </c>
      <c r="C1220" s="5" t="s">
        <v>8</v>
      </c>
      <c r="D1220" s="5" t="s">
        <v>9</v>
      </c>
      <c r="E1220" s="6">
        <v>3</v>
      </c>
      <c r="F1220" s="6">
        <v>9241</v>
      </c>
      <c r="G1220" s="6">
        <v>10</v>
      </c>
      <c r="H1220" s="6">
        <v>3</v>
      </c>
      <c r="I1220" s="6" t="s">
        <v>13</v>
      </c>
      <c r="J1220" s="6" t="str">
        <f>IF(Employee[[#This Row],[Attrition]]="Yes","Resigned","Active")</f>
        <v>Active</v>
      </c>
    </row>
    <row r="1221" spans="1:10" x14ac:dyDescent="0.25">
      <c r="A1221" s="6">
        <v>1709</v>
      </c>
      <c r="B1221" s="6">
        <v>29</v>
      </c>
      <c r="C1221" s="5" t="s">
        <v>11</v>
      </c>
      <c r="D1221" s="5" t="s">
        <v>14</v>
      </c>
      <c r="E1221" s="6">
        <v>1</v>
      </c>
      <c r="F1221" s="6">
        <v>2974</v>
      </c>
      <c r="G1221" s="6">
        <v>5</v>
      </c>
      <c r="H1221" s="6">
        <v>3</v>
      </c>
      <c r="I1221" s="6" t="s">
        <v>13</v>
      </c>
      <c r="J1221" s="6" t="str">
        <f>IF(Employee[[#This Row],[Attrition]]="Yes","Resigned","Active")</f>
        <v>Active</v>
      </c>
    </row>
    <row r="1222" spans="1:10" x14ac:dyDescent="0.25">
      <c r="A1222" s="6">
        <v>1710</v>
      </c>
      <c r="B1222" s="6">
        <v>36</v>
      </c>
      <c r="C1222" s="5" t="s">
        <v>8</v>
      </c>
      <c r="D1222" s="5" t="s">
        <v>18</v>
      </c>
      <c r="E1222" s="6">
        <v>2</v>
      </c>
      <c r="F1222" s="6">
        <v>4502</v>
      </c>
      <c r="G1222" s="6">
        <v>13</v>
      </c>
      <c r="H1222" s="6">
        <v>2</v>
      </c>
      <c r="I1222" s="6" t="s">
        <v>13</v>
      </c>
      <c r="J1222" s="6" t="str">
        <f>IF(Employee[[#This Row],[Attrition]]="Yes","Resigned","Active")</f>
        <v>Active</v>
      </c>
    </row>
    <row r="1223" spans="1:10" x14ac:dyDescent="0.25">
      <c r="A1223" s="6">
        <v>1712</v>
      </c>
      <c r="B1223" s="6">
        <v>45</v>
      </c>
      <c r="C1223" s="5" t="s">
        <v>11</v>
      </c>
      <c r="D1223" s="5" t="s">
        <v>16</v>
      </c>
      <c r="E1223" s="6">
        <v>3</v>
      </c>
      <c r="F1223" s="6">
        <v>10748</v>
      </c>
      <c r="G1223" s="6">
        <v>23</v>
      </c>
      <c r="H1223" s="6">
        <v>2</v>
      </c>
      <c r="I1223" s="6" t="s">
        <v>13</v>
      </c>
      <c r="J1223" s="6" t="str">
        <f>IF(Employee[[#This Row],[Attrition]]="Yes","Resigned","Active")</f>
        <v>Active</v>
      </c>
    </row>
    <row r="1224" spans="1:10" x14ac:dyDescent="0.25">
      <c r="A1224" s="6">
        <v>1714</v>
      </c>
      <c r="B1224" s="6">
        <v>24</v>
      </c>
      <c r="C1224" s="5" t="s">
        <v>20</v>
      </c>
      <c r="D1224" s="5" t="s">
        <v>20</v>
      </c>
      <c r="E1224" s="6">
        <v>1</v>
      </c>
      <c r="F1224" s="6">
        <v>1555</v>
      </c>
      <c r="G1224" s="6">
        <v>1</v>
      </c>
      <c r="H1224" s="6">
        <v>3</v>
      </c>
      <c r="I1224" s="6" t="s">
        <v>10</v>
      </c>
      <c r="J1224" s="6" t="str">
        <f>IF(Employee[[#This Row],[Attrition]]="Yes","Resigned","Active")</f>
        <v>Resigned</v>
      </c>
    </row>
    <row r="1225" spans="1:10" x14ac:dyDescent="0.25">
      <c r="A1225" s="6">
        <v>1716</v>
      </c>
      <c r="B1225" s="6">
        <v>47</v>
      </c>
      <c r="C1225" s="5" t="s">
        <v>8</v>
      </c>
      <c r="D1225" s="5" t="s">
        <v>9</v>
      </c>
      <c r="E1225" s="6">
        <v>4</v>
      </c>
      <c r="F1225" s="6">
        <v>12936</v>
      </c>
      <c r="G1225" s="6">
        <v>23</v>
      </c>
      <c r="H1225" s="6">
        <v>1</v>
      </c>
      <c r="I1225" s="6" t="s">
        <v>10</v>
      </c>
      <c r="J1225" s="6" t="str">
        <f>IF(Employee[[#This Row],[Attrition]]="Yes","Resigned","Active")</f>
        <v>Resigned</v>
      </c>
    </row>
    <row r="1226" spans="1:10" x14ac:dyDescent="0.25">
      <c r="A1226" s="6">
        <v>1718</v>
      </c>
      <c r="B1226" s="6">
        <v>26</v>
      </c>
      <c r="C1226" s="5" t="s">
        <v>11</v>
      </c>
      <c r="D1226" s="5" t="s">
        <v>14</v>
      </c>
      <c r="E1226" s="6">
        <v>1</v>
      </c>
      <c r="F1226" s="6">
        <v>2305</v>
      </c>
      <c r="G1226" s="6">
        <v>3</v>
      </c>
      <c r="H1226" s="6">
        <v>4</v>
      </c>
      <c r="I1226" s="6" t="s">
        <v>13</v>
      </c>
      <c r="J1226" s="6" t="str">
        <f>IF(Employee[[#This Row],[Attrition]]="Yes","Resigned","Active")</f>
        <v>Active</v>
      </c>
    </row>
    <row r="1227" spans="1:10" x14ac:dyDescent="0.25">
      <c r="A1227" s="6">
        <v>1719</v>
      </c>
      <c r="B1227" s="6">
        <v>45</v>
      </c>
      <c r="C1227" s="5" t="s">
        <v>11</v>
      </c>
      <c r="D1227" s="5" t="s">
        <v>19</v>
      </c>
      <c r="E1227" s="6">
        <v>4</v>
      </c>
      <c r="F1227" s="6">
        <v>16704</v>
      </c>
      <c r="G1227" s="6">
        <v>21</v>
      </c>
      <c r="H1227" s="6">
        <v>3</v>
      </c>
      <c r="I1227" s="6" t="s">
        <v>13</v>
      </c>
      <c r="J1227" s="6" t="str">
        <f>IF(Employee[[#This Row],[Attrition]]="Yes","Resigned","Active")</f>
        <v>Active</v>
      </c>
    </row>
    <row r="1228" spans="1:10" x14ac:dyDescent="0.25">
      <c r="A1228" s="6">
        <v>1720</v>
      </c>
      <c r="B1228" s="6">
        <v>32</v>
      </c>
      <c r="C1228" s="5" t="s">
        <v>11</v>
      </c>
      <c r="D1228" s="5" t="s">
        <v>12</v>
      </c>
      <c r="E1228" s="6">
        <v>1</v>
      </c>
      <c r="F1228" s="6">
        <v>3433</v>
      </c>
      <c r="G1228" s="6">
        <v>5</v>
      </c>
      <c r="H1228" s="6">
        <v>2</v>
      </c>
      <c r="I1228" s="6" t="s">
        <v>13</v>
      </c>
      <c r="J1228" s="6" t="str">
        <f>IF(Employee[[#This Row],[Attrition]]="Yes","Resigned","Active")</f>
        <v>Active</v>
      </c>
    </row>
    <row r="1229" spans="1:10" x14ac:dyDescent="0.25">
      <c r="A1229" s="6">
        <v>1721</v>
      </c>
      <c r="B1229" s="6">
        <v>31</v>
      </c>
      <c r="C1229" s="5" t="s">
        <v>11</v>
      </c>
      <c r="D1229" s="5" t="s">
        <v>14</v>
      </c>
      <c r="E1229" s="6">
        <v>1</v>
      </c>
      <c r="F1229" s="6">
        <v>3477</v>
      </c>
      <c r="G1229" s="6">
        <v>5</v>
      </c>
      <c r="H1229" s="6">
        <v>4</v>
      </c>
      <c r="I1229" s="6" t="s">
        <v>13</v>
      </c>
      <c r="J1229" s="6" t="str">
        <f>IF(Employee[[#This Row],[Attrition]]="Yes","Resigned","Active")</f>
        <v>Active</v>
      </c>
    </row>
    <row r="1230" spans="1:10" x14ac:dyDescent="0.25">
      <c r="A1230" s="6">
        <v>1722</v>
      </c>
      <c r="B1230" s="6">
        <v>41</v>
      </c>
      <c r="C1230" s="5" t="s">
        <v>20</v>
      </c>
      <c r="D1230" s="5" t="s">
        <v>20</v>
      </c>
      <c r="E1230" s="6">
        <v>2</v>
      </c>
      <c r="F1230" s="6">
        <v>6430</v>
      </c>
      <c r="G1230" s="6">
        <v>3</v>
      </c>
      <c r="H1230" s="6">
        <v>3</v>
      </c>
      <c r="I1230" s="6" t="s">
        <v>13</v>
      </c>
      <c r="J1230" s="6" t="str">
        <f>IF(Employee[[#This Row],[Attrition]]="Yes","Resigned","Active")</f>
        <v>Active</v>
      </c>
    </row>
    <row r="1231" spans="1:10" x14ac:dyDescent="0.25">
      <c r="A1231" s="6">
        <v>1724</v>
      </c>
      <c r="B1231" s="6">
        <v>40</v>
      </c>
      <c r="C1231" s="5" t="s">
        <v>11</v>
      </c>
      <c r="D1231" s="5" t="s">
        <v>15</v>
      </c>
      <c r="E1231" s="6">
        <v>2</v>
      </c>
      <c r="F1231" s="6">
        <v>6516</v>
      </c>
      <c r="G1231" s="6">
        <v>1</v>
      </c>
      <c r="H1231" s="6">
        <v>3</v>
      </c>
      <c r="I1231" s="6" t="s">
        <v>13</v>
      </c>
      <c r="J1231" s="6" t="str">
        <f>IF(Employee[[#This Row],[Attrition]]="Yes","Resigned","Active")</f>
        <v>Active</v>
      </c>
    </row>
    <row r="1232" spans="1:10" x14ac:dyDescent="0.25">
      <c r="A1232" s="6">
        <v>1725</v>
      </c>
      <c r="B1232" s="6">
        <v>24</v>
      </c>
      <c r="C1232" s="5" t="s">
        <v>11</v>
      </c>
      <c r="D1232" s="5" t="s">
        <v>14</v>
      </c>
      <c r="E1232" s="6">
        <v>1</v>
      </c>
      <c r="F1232" s="6">
        <v>3907</v>
      </c>
      <c r="G1232" s="6">
        <v>6</v>
      </c>
      <c r="H1232" s="6">
        <v>4</v>
      </c>
      <c r="I1232" s="6" t="s">
        <v>13</v>
      </c>
      <c r="J1232" s="6" t="str">
        <f>IF(Employee[[#This Row],[Attrition]]="Yes","Resigned","Active")</f>
        <v>Active</v>
      </c>
    </row>
    <row r="1233" spans="1:10" x14ac:dyDescent="0.25">
      <c r="A1233" s="6">
        <v>1727</v>
      </c>
      <c r="B1233" s="6">
        <v>46</v>
      </c>
      <c r="C1233" s="5" t="s">
        <v>11</v>
      </c>
      <c r="D1233" s="5" t="s">
        <v>16</v>
      </c>
      <c r="E1233" s="6">
        <v>2</v>
      </c>
      <c r="F1233" s="6">
        <v>5562</v>
      </c>
      <c r="G1233" s="6">
        <v>10</v>
      </c>
      <c r="H1233" s="6">
        <v>3</v>
      </c>
      <c r="I1233" s="6" t="s">
        <v>13</v>
      </c>
      <c r="J1233" s="6" t="str">
        <f>IF(Employee[[#This Row],[Attrition]]="Yes","Resigned","Active")</f>
        <v>Active</v>
      </c>
    </row>
    <row r="1234" spans="1:10" x14ac:dyDescent="0.25">
      <c r="A1234" s="6">
        <v>1728</v>
      </c>
      <c r="B1234" s="6">
        <v>35</v>
      </c>
      <c r="C1234" s="5" t="s">
        <v>11</v>
      </c>
      <c r="D1234" s="5" t="s">
        <v>15</v>
      </c>
      <c r="E1234" s="6">
        <v>2</v>
      </c>
      <c r="F1234" s="6">
        <v>6883</v>
      </c>
      <c r="G1234" s="6">
        <v>7</v>
      </c>
      <c r="H1234" s="6">
        <v>3</v>
      </c>
      <c r="I1234" s="6" t="s">
        <v>13</v>
      </c>
      <c r="J1234" s="6" t="str">
        <f>IF(Employee[[#This Row],[Attrition]]="Yes","Resigned","Active")</f>
        <v>Active</v>
      </c>
    </row>
    <row r="1235" spans="1:10" x14ac:dyDescent="0.25">
      <c r="A1235" s="6">
        <v>1729</v>
      </c>
      <c r="B1235" s="6">
        <v>30</v>
      </c>
      <c r="C1235" s="5" t="s">
        <v>11</v>
      </c>
      <c r="D1235" s="5" t="s">
        <v>12</v>
      </c>
      <c r="E1235" s="6">
        <v>1</v>
      </c>
      <c r="F1235" s="6">
        <v>2862</v>
      </c>
      <c r="G1235" s="6">
        <v>10</v>
      </c>
      <c r="H1235" s="6">
        <v>2</v>
      </c>
      <c r="I1235" s="6" t="s">
        <v>13</v>
      </c>
      <c r="J1235" s="6" t="str">
        <f>IF(Employee[[#This Row],[Attrition]]="Yes","Resigned","Active")</f>
        <v>Active</v>
      </c>
    </row>
    <row r="1236" spans="1:10" x14ac:dyDescent="0.25">
      <c r="A1236" s="6">
        <v>1731</v>
      </c>
      <c r="B1236" s="6">
        <v>47</v>
      </c>
      <c r="C1236" s="5" t="s">
        <v>8</v>
      </c>
      <c r="D1236" s="5" t="s">
        <v>9</v>
      </c>
      <c r="E1236" s="6">
        <v>2</v>
      </c>
      <c r="F1236" s="6">
        <v>4978</v>
      </c>
      <c r="G1236" s="6">
        <v>1</v>
      </c>
      <c r="H1236" s="6">
        <v>1</v>
      </c>
      <c r="I1236" s="6" t="s">
        <v>13</v>
      </c>
      <c r="J1236" s="6" t="str">
        <f>IF(Employee[[#This Row],[Attrition]]="Yes","Resigned","Active")</f>
        <v>Active</v>
      </c>
    </row>
    <row r="1237" spans="1:10" x14ac:dyDescent="0.25">
      <c r="A1237" s="6">
        <v>1732</v>
      </c>
      <c r="B1237" s="6">
        <v>46</v>
      </c>
      <c r="C1237" s="5" t="s">
        <v>8</v>
      </c>
      <c r="D1237" s="5" t="s">
        <v>9</v>
      </c>
      <c r="E1237" s="6">
        <v>3</v>
      </c>
      <c r="F1237" s="6">
        <v>10368</v>
      </c>
      <c r="G1237" s="6">
        <v>10</v>
      </c>
      <c r="H1237" s="6">
        <v>2</v>
      </c>
      <c r="I1237" s="6" t="s">
        <v>13</v>
      </c>
      <c r="J1237" s="6" t="str">
        <f>IF(Employee[[#This Row],[Attrition]]="Yes","Resigned","Active")</f>
        <v>Active</v>
      </c>
    </row>
    <row r="1238" spans="1:10" x14ac:dyDescent="0.25">
      <c r="A1238" s="6">
        <v>1733</v>
      </c>
      <c r="B1238" s="6">
        <v>36</v>
      </c>
      <c r="C1238" s="5" t="s">
        <v>8</v>
      </c>
      <c r="D1238" s="5" t="s">
        <v>9</v>
      </c>
      <c r="E1238" s="6">
        <v>2</v>
      </c>
      <c r="F1238" s="6">
        <v>6134</v>
      </c>
      <c r="G1238" s="6">
        <v>2</v>
      </c>
      <c r="H1238" s="6">
        <v>3</v>
      </c>
      <c r="I1238" s="6" t="s">
        <v>10</v>
      </c>
      <c r="J1238" s="6" t="str">
        <f>IF(Employee[[#This Row],[Attrition]]="Yes","Resigned","Active")</f>
        <v>Resigned</v>
      </c>
    </row>
    <row r="1239" spans="1:10" x14ac:dyDescent="0.25">
      <c r="A1239" s="6">
        <v>1734</v>
      </c>
      <c r="B1239" s="6">
        <v>32</v>
      </c>
      <c r="C1239" s="5" t="s">
        <v>8</v>
      </c>
      <c r="D1239" s="5" t="s">
        <v>9</v>
      </c>
      <c r="E1239" s="6">
        <v>2</v>
      </c>
      <c r="F1239" s="6">
        <v>6735</v>
      </c>
      <c r="G1239" s="6">
        <v>0</v>
      </c>
      <c r="H1239" s="6">
        <v>3</v>
      </c>
      <c r="I1239" s="6" t="s">
        <v>10</v>
      </c>
      <c r="J1239" s="6" t="str">
        <f>IF(Employee[[#This Row],[Attrition]]="Yes","Resigned","Active")</f>
        <v>Resigned</v>
      </c>
    </row>
    <row r="1240" spans="1:10" x14ac:dyDescent="0.25">
      <c r="A1240" s="6">
        <v>1735</v>
      </c>
      <c r="B1240" s="6">
        <v>23</v>
      </c>
      <c r="C1240" s="5" t="s">
        <v>11</v>
      </c>
      <c r="D1240" s="5" t="s">
        <v>14</v>
      </c>
      <c r="E1240" s="6">
        <v>1</v>
      </c>
      <c r="F1240" s="6">
        <v>3295</v>
      </c>
      <c r="G1240" s="6">
        <v>3</v>
      </c>
      <c r="H1240" s="6">
        <v>1</v>
      </c>
      <c r="I1240" s="6" t="s">
        <v>13</v>
      </c>
      <c r="J1240" s="6" t="str">
        <f>IF(Employee[[#This Row],[Attrition]]="Yes","Resigned","Active")</f>
        <v>Active</v>
      </c>
    </row>
    <row r="1241" spans="1:10" x14ac:dyDescent="0.25">
      <c r="A1241" s="6">
        <v>1736</v>
      </c>
      <c r="B1241" s="6">
        <v>31</v>
      </c>
      <c r="C1241" s="5" t="s">
        <v>11</v>
      </c>
      <c r="D1241" s="5" t="s">
        <v>15</v>
      </c>
      <c r="E1241" s="6">
        <v>2</v>
      </c>
      <c r="F1241" s="6">
        <v>5238</v>
      </c>
      <c r="G1241" s="6">
        <v>5</v>
      </c>
      <c r="H1241" s="6">
        <v>2</v>
      </c>
      <c r="I1241" s="6" t="s">
        <v>13</v>
      </c>
      <c r="J1241" s="6" t="str">
        <f>IF(Employee[[#This Row],[Attrition]]="Yes","Resigned","Active")</f>
        <v>Active</v>
      </c>
    </row>
    <row r="1242" spans="1:10" x14ac:dyDescent="0.25">
      <c r="A1242" s="6">
        <v>1737</v>
      </c>
      <c r="B1242" s="6">
        <v>39</v>
      </c>
      <c r="C1242" s="5" t="s">
        <v>11</v>
      </c>
      <c r="D1242" s="5" t="s">
        <v>14</v>
      </c>
      <c r="E1242" s="6">
        <v>2</v>
      </c>
      <c r="F1242" s="6">
        <v>6472</v>
      </c>
      <c r="G1242" s="6">
        <v>9</v>
      </c>
      <c r="H1242" s="6">
        <v>3</v>
      </c>
      <c r="I1242" s="6" t="s">
        <v>13</v>
      </c>
      <c r="J1242" s="6" t="str">
        <f>IF(Employee[[#This Row],[Attrition]]="Yes","Resigned","Active")</f>
        <v>Active</v>
      </c>
    </row>
    <row r="1243" spans="1:10" x14ac:dyDescent="0.25">
      <c r="A1243" s="6">
        <v>1739</v>
      </c>
      <c r="B1243" s="6">
        <v>32</v>
      </c>
      <c r="C1243" s="5" t="s">
        <v>8</v>
      </c>
      <c r="D1243" s="5" t="s">
        <v>9</v>
      </c>
      <c r="E1243" s="6">
        <v>3</v>
      </c>
      <c r="F1243" s="6">
        <v>9610</v>
      </c>
      <c r="G1243" s="6">
        <v>4</v>
      </c>
      <c r="H1243" s="6">
        <v>1</v>
      </c>
      <c r="I1243" s="6" t="s">
        <v>13</v>
      </c>
      <c r="J1243" s="6" t="str">
        <f>IF(Employee[[#This Row],[Attrition]]="Yes","Resigned","Active")</f>
        <v>Active</v>
      </c>
    </row>
    <row r="1244" spans="1:10" x14ac:dyDescent="0.25">
      <c r="A1244" s="6">
        <v>1740</v>
      </c>
      <c r="B1244" s="6">
        <v>40</v>
      </c>
      <c r="C1244" s="5" t="s">
        <v>8</v>
      </c>
      <c r="D1244" s="5" t="s">
        <v>17</v>
      </c>
      <c r="E1244" s="6">
        <v>5</v>
      </c>
      <c r="F1244" s="6">
        <v>19833</v>
      </c>
      <c r="G1244" s="6">
        <v>21</v>
      </c>
      <c r="H1244" s="6">
        <v>2</v>
      </c>
      <c r="I1244" s="6" t="s">
        <v>13</v>
      </c>
      <c r="J1244" s="6" t="str">
        <f>IF(Employee[[#This Row],[Attrition]]="Yes","Resigned","Active")</f>
        <v>Active</v>
      </c>
    </row>
    <row r="1245" spans="1:10" x14ac:dyDescent="0.25">
      <c r="A1245" s="6">
        <v>1744</v>
      </c>
      <c r="B1245" s="6">
        <v>45</v>
      </c>
      <c r="C1245" s="5" t="s">
        <v>20</v>
      </c>
      <c r="D1245" s="5" t="s">
        <v>20</v>
      </c>
      <c r="E1245" s="6">
        <v>3</v>
      </c>
      <c r="F1245" s="6">
        <v>9756</v>
      </c>
      <c r="G1245" s="6">
        <v>5</v>
      </c>
      <c r="H1245" s="6">
        <v>4</v>
      </c>
      <c r="I1245" s="6" t="s">
        <v>13</v>
      </c>
      <c r="J1245" s="6" t="str">
        <f>IF(Employee[[#This Row],[Attrition]]="Yes","Resigned","Active")</f>
        <v>Active</v>
      </c>
    </row>
    <row r="1246" spans="1:10" x14ac:dyDescent="0.25">
      <c r="A1246" s="6">
        <v>1745</v>
      </c>
      <c r="B1246" s="6">
        <v>30</v>
      </c>
      <c r="C1246" s="5" t="s">
        <v>11</v>
      </c>
      <c r="D1246" s="5" t="s">
        <v>12</v>
      </c>
      <c r="E1246" s="6">
        <v>1</v>
      </c>
      <c r="F1246" s="6">
        <v>4968</v>
      </c>
      <c r="G1246" s="6">
        <v>9</v>
      </c>
      <c r="H1246" s="6">
        <v>3</v>
      </c>
      <c r="I1246" s="6" t="s">
        <v>13</v>
      </c>
      <c r="J1246" s="6" t="str">
        <f>IF(Employee[[#This Row],[Attrition]]="Yes","Resigned","Active")</f>
        <v>Active</v>
      </c>
    </row>
    <row r="1247" spans="1:10" x14ac:dyDescent="0.25">
      <c r="A1247" s="6">
        <v>1746</v>
      </c>
      <c r="B1247" s="6">
        <v>24</v>
      </c>
      <c r="C1247" s="5" t="s">
        <v>20</v>
      </c>
      <c r="D1247" s="5" t="s">
        <v>20</v>
      </c>
      <c r="E1247" s="6">
        <v>1</v>
      </c>
      <c r="F1247" s="6">
        <v>2145</v>
      </c>
      <c r="G1247" s="6">
        <v>2</v>
      </c>
      <c r="H1247" s="6">
        <v>3</v>
      </c>
      <c r="I1247" s="6" t="s">
        <v>13</v>
      </c>
      <c r="J1247" s="6" t="str">
        <f>IF(Employee[[#This Row],[Attrition]]="Yes","Resigned","Active")</f>
        <v>Active</v>
      </c>
    </row>
    <row r="1248" spans="1:10" x14ac:dyDescent="0.25">
      <c r="A1248" s="6">
        <v>1747</v>
      </c>
      <c r="B1248" s="6">
        <v>30</v>
      </c>
      <c r="C1248" s="5" t="s">
        <v>20</v>
      </c>
      <c r="D1248" s="5" t="s">
        <v>20</v>
      </c>
      <c r="E1248" s="6">
        <v>1</v>
      </c>
      <c r="F1248" s="6">
        <v>2180</v>
      </c>
      <c r="G1248" s="6">
        <v>4</v>
      </c>
      <c r="H1248" s="6">
        <v>2</v>
      </c>
      <c r="I1248" s="6" t="s">
        <v>10</v>
      </c>
      <c r="J1248" s="6" t="str">
        <f>IF(Employee[[#This Row],[Attrition]]="Yes","Resigned","Active")</f>
        <v>Resigned</v>
      </c>
    </row>
    <row r="1249" spans="1:10" x14ac:dyDescent="0.25">
      <c r="A1249" s="6">
        <v>1749</v>
      </c>
      <c r="B1249" s="6">
        <v>31</v>
      </c>
      <c r="C1249" s="5" t="s">
        <v>8</v>
      </c>
      <c r="D1249" s="5" t="s">
        <v>9</v>
      </c>
      <c r="E1249" s="6">
        <v>2</v>
      </c>
      <c r="F1249" s="6">
        <v>8346</v>
      </c>
      <c r="G1249" s="6">
        <v>5</v>
      </c>
      <c r="H1249" s="6">
        <v>3</v>
      </c>
      <c r="I1249" s="6" t="s">
        <v>13</v>
      </c>
      <c r="J1249" s="6" t="str">
        <f>IF(Employee[[#This Row],[Attrition]]="Yes","Resigned","Active")</f>
        <v>Active</v>
      </c>
    </row>
    <row r="1250" spans="1:10" x14ac:dyDescent="0.25">
      <c r="A1250" s="6">
        <v>1751</v>
      </c>
      <c r="B1250" s="6">
        <v>27</v>
      </c>
      <c r="C1250" s="5" t="s">
        <v>11</v>
      </c>
      <c r="D1250" s="5" t="s">
        <v>12</v>
      </c>
      <c r="E1250" s="6">
        <v>1</v>
      </c>
      <c r="F1250" s="6">
        <v>3445</v>
      </c>
      <c r="G1250" s="6">
        <v>6</v>
      </c>
      <c r="H1250" s="6">
        <v>2</v>
      </c>
      <c r="I1250" s="6" t="s">
        <v>13</v>
      </c>
      <c r="J1250" s="6" t="str">
        <f>IF(Employee[[#This Row],[Attrition]]="Yes","Resigned","Active")</f>
        <v>Active</v>
      </c>
    </row>
    <row r="1251" spans="1:10" x14ac:dyDescent="0.25">
      <c r="A1251" s="6">
        <v>1752</v>
      </c>
      <c r="B1251" s="6">
        <v>29</v>
      </c>
      <c r="C1251" s="5" t="s">
        <v>8</v>
      </c>
      <c r="D1251" s="5" t="s">
        <v>18</v>
      </c>
      <c r="E1251" s="6">
        <v>1</v>
      </c>
      <c r="F1251" s="6">
        <v>2760</v>
      </c>
      <c r="G1251" s="6">
        <v>2</v>
      </c>
      <c r="H1251" s="6">
        <v>3</v>
      </c>
      <c r="I1251" s="6" t="s">
        <v>10</v>
      </c>
      <c r="J1251" s="6" t="str">
        <f>IF(Employee[[#This Row],[Attrition]]="Yes","Resigned","Active")</f>
        <v>Resigned</v>
      </c>
    </row>
    <row r="1252" spans="1:10" x14ac:dyDescent="0.25">
      <c r="A1252" s="6">
        <v>1753</v>
      </c>
      <c r="B1252" s="6">
        <v>29</v>
      </c>
      <c r="C1252" s="5" t="s">
        <v>11</v>
      </c>
      <c r="D1252" s="5" t="s">
        <v>16</v>
      </c>
      <c r="E1252" s="6">
        <v>2</v>
      </c>
      <c r="F1252" s="6">
        <v>6294</v>
      </c>
      <c r="G1252" s="6">
        <v>3</v>
      </c>
      <c r="H1252" s="6">
        <v>4</v>
      </c>
      <c r="I1252" s="6" t="s">
        <v>13</v>
      </c>
      <c r="J1252" s="6" t="str">
        <f>IF(Employee[[#This Row],[Attrition]]="Yes","Resigned","Active")</f>
        <v>Active</v>
      </c>
    </row>
    <row r="1253" spans="1:10" x14ac:dyDescent="0.25">
      <c r="A1253" s="6">
        <v>1754</v>
      </c>
      <c r="B1253" s="6">
        <v>30</v>
      </c>
      <c r="C1253" s="5" t="s">
        <v>8</v>
      </c>
      <c r="D1253" s="5" t="s">
        <v>9</v>
      </c>
      <c r="E1253" s="6">
        <v>3</v>
      </c>
      <c r="F1253" s="6">
        <v>7140</v>
      </c>
      <c r="G1253" s="6">
        <v>7</v>
      </c>
      <c r="H1253" s="6">
        <v>3</v>
      </c>
      <c r="I1253" s="6" t="s">
        <v>13</v>
      </c>
      <c r="J1253" s="6" t="str">
        <f>IF(Employee[[#This Row],[Attrition]]="Yes","Resigned","Active")</f>
        <v>Active</v>
      </c>
    </row>
    <row r="1254" spans="1:10" x14ac:dyDescent="0.25">
      <c r="A1254" s="6">
        <v>1755</v>
      </c>
      <c r="B1254" s="6">
        <v>34</v>
      </c>
      <c r="C1254" s="5" t="s">
        <v>11</v>
      </c>
      <c r="D1254" s="5" t="s">
        <v>12</v>
      </c>
      <c r="E1254" s="6">
        <v>1</v>
      </c>
      <c r="F1254" s="6">
        <v>2932</v>
      </c>
      <c r="G1254" s="6">
        <v>5</v>
      </c>
      <c r="H1254" s="6">
        <v>3</v>
      </c>
      <c r="I1254" s="6" t="s">
        <v>13</v>
      </c>
      <c r="J1254" s="6" t="str">
        <f>IF(Employee[[#This Row],[Attrition]]="Yes","Resigned","Active")</f>
        <v>Active</v>
      </c>
    </row>
    <row r="1255" spans="1:10" x14ac:dyDescent="0.25">
      <c r="A1255" s="6">
        <v>1756</v>
      </c>
      <c r="B1255" s="6">
        <v>33</v>
      </c>
      <c r="C1255" s="5" t="s">
        <v>8</v>
      </c>
      <c r="D1255" s="5" t="s">
        <v>9</v>
      </c>
      <c r="E1255" s="6">
        <v>2</v>
      </c>
      <c r="F1255" s="6">
        <v>5147</v>
      </c>
      <c r="G1255" s="6">
        <v>11</v>
      </c>
      <c r="H1255" s="6">
        <v>2</v>
      </c>
      <c r="I1255" s="6" t="s">
        <v>13</v>
      </c>
      <c r="J1255" s="6" t="str">
        <f>IF(Employee[[#This Row],[Attrition]]="Yes","Resigned","Active")</f>
        <v>Active</v>
      </c>
    </row>
    <row r="1256" spans="1:10" x14ac:dyDescent="0.25">
      <c r="A1256" s="6">
        <v>1757</v>
      </c>
      <c r="B1256" s="6">
        <v>49</v>
      </c>
      <c r="C1256" s="5" t="s">
        <v>8</v>
      </c>
      <c r="D1256" s="5" t="s">
        <v>9</v>
      </c>
      <c r="E1256" s="6">
        <v>2</v>
      </c>
      <c r="F1256" s="6">
        <v>4507</v>
      </c>
      <c r="G1256" s="6">
        <v>5</v>
      </c>
      <c r="H1256" s="6">
        <v>4</v>
      </c>
      <c r="I1256" s="6" t="s">
        <v>13</v>
      </c>
      <c r="J1256" s="6" t="str">
        <f>IF(Employee[[#This Row],[Attrition]]="Yes","Resigned","Active")</f>
        <v>Active</v>
      </c>
    </row>
    <row r="1257" spans="1:10" x14ac:dyDescent="0.25">
      <c r="A1257" s="6">
        <v>1758</v>
      </c>
      <c r="B1257" s="6">
        <v>33</v>
      </c>
      <c r="C1257" s="5" t="s">
        <v>8</v>
      </c>
      <c r="D1257" s="5" t="s">
        <v>9</v>
      </c>
      <c r="E1257" s="6">
        <v>3</v>
      </c>
      <c r="F1257" s="6">
        <v>8564</v>
      </c>
      <c r="G1257" s="6">
        <v>0</v>
      </c>
      <c r="H1257" s="6">
        <v>2</v>
      </c>
      <c r="I1257" s="6" t="s">
        <v>10</v>
      </c>
      <c r="J1257" s="6" t="str">
        <f>IF(Employee[[#This Row],[Attrition]]="Yes","Resigned","Active")</f>
        <v>Resigned</v>
      </c>
    </row>
    <row r="1258" spans="1:10" x14ac:dyDescent="0.25">
      <c r="A1258" s="6">
        <v>1760</v>
      </c>
      <c r="B1258" s="6">
        <v>38</v>
      </c>
      <c r="C1258" s="5" t="s">
        <v>11</v>
      </c>
      <c r="D1258" s="5" t="s">
        <v>14</v>
      </c>
      <c r="E1258" s="6">
        <v>1</v>
      </c>
      <c r="F1258" s="6">
        <v>2468</v>
      </c>
      <c r="G1258" s="6">
        <v>6</v>
      </c>
      <c r="H1258" s="6">
        <v>2</v>
      </c>
      <c r="I1258" s="6" t="s">
        <v>13</v>
      </c>
      <c r="J1258" s="6" t="str">
        <f>IF(Employee[[#This Row],[Attrition]]="Yes","Resigned","Active")</f>
        <v>Active</v>
      </c>
    </row>
    <row r="1259" spans="1:10" x14ac:dyDescent="0.25">
      <c r="A1259" s="6">
        <v>1761</v>
      </c>
      <c r="B1259" s="6">
        <v>31</v>
      </c>
      <c r="C1259" s="5" t="s">
        <v>8</v>
      </c>
      <c r="D1259" s="5" t="s">
        <v>9</v>
      </c>
      <c r="E1259" s="6">
        <v>3</v>
      </c>
      <c r="F1259" s="6">
        <v>8161</v>
      </c>
      <c r="G1259" s="6">
        <v>1</v>
      </c>
      <c r="H1259" s="6">
        <v>3</v>
      </c>
      <c r="I1259" s="6" t="s">
        <v>10</v>
      </c>
      <c r="J1259" s="6" t="str">
        <f>IF(Employee[[#This Row],[Attrition]]="Yes","Resigned","Active")</f>
        <v>Resigned</v>
      </c>
    </row>
    <row r="1260" spans="1:10" x14ac:dyDescent="0.25">
      <c r="A1260" s="6">
        <v>1762</v>
      </c>
      <c r="B1260" s="6">
        <v>29</v>
      </c>
      <c r="C1260" s="5" t="s">
        <v>11</v>
      </c>
      <c r="D1260" s="5" t="s">
        <v>12</v>
      </c>
      <c r="E1260" s="6">
        <v>1</v>
      </c>
      <c r="F1260" s="6">
        <v>2109</v>
      </c>
      <c r="G1260" s="6">
        <v>1</v>
      </c>
      <c r="H1260" s="6">
        <v>3</v>
      </c>
      <c r="I1260" s="6" t="s">
        <v>13</v>
      </c>
      <c r="J1260" s="6" t="str">
        <f>IF(Employee[[#This Row],[Attrition]]="Yes","Resigned","Active")</f>
        <v>Active</v>
      </c>
    </row>
    <row r="1261" spans="1:10" x14ac:dyDescent="0.25">
      <c r="A1261" s="6">
        <v>1763</v>
      </c>
      <c r="B1261" s="6">
        <v>30</v>
      </c>
      <c r="C1261" s="5" t="s">
        <v>11</v>
      </c>
      <c r="D1261" s="5" t="s">
        <v>16</v>
      </c>
      <c r="E1261" s="6">
        <v>2</v>
      </c>
      <c r="F1261" s="6">
        <v>5294</v>
      </c>
      <c r="G1261" s="6">
        <v>7</v>
      </c>
      <c r="H1261" s="6">
        <v>3</v>
      </c>
      <c r="I1261" s="6" t="s">
        <v>13</v>
      </c>
      <c r="J1261" s="6" t="str">
        <f>IF(Employee[[#This Row],[Attrition]]="Yes","Resigned","Active")</f>
        <v>Active</v>
      </c>
    </row>
    <row r="1262" spans="1:10" x14ac:dyDescent="0.25">
      <c r="A1262" s="6">
        <v>1764</v>
      </c>
      <c r="B1262" s="6">
        <v>32</v>
      </c>
      <c r="C1262" s="5" t="s">
        <v>11</v>
      </c>
      <c r="D1262" s="5" t="s">
        <v>12</v>
      </c>
      <c r="E1262" s="6">
        <v>1</v>
      </c>
      <c r="F1262" s="6">
        <v>2718</v>
      </c>
      <c r="G1262" s="6">
        <v>7</v>
      </c>
      <c r="H1262" s="6">
        <v>3</v>
      </c>
      <c r="I1262" s="6" t="s">
        <v>13</v>
      </c>
      <c r="J1262" s="6" t="str">
        <f>IF(Employee[[#This Row],[Attrition]]="Yes","Resigned","Active")</f>
        <v>Active</v>
      </c>
    </row>
    <row r="1263" spans="1:10" x14ac:dyDescent="0.25">
      <c r="A1263" s="6">
        <v>1766</v>
      </c>
      <c r="B1263" s="6">
        <v>38</v>
      </c>
      <c r="C1263" s="5" t="s">
        <v>11</v>
      </c>
      <c r="D1263" s="5" t="s">
        <v>16</v>
      </c>
      <c r="E1263" s="6">
        <v>2</v>
      </c>
      <c r="F1263" s="6">
        <v>5811</v>
      </c>
      <c r="G1263" s="6">
        <v>1</v>
      </c>
      <c r="H1263" s="6">
        <v>3</v>
      </c>
      <c r="I1263" s="6" t="s">
        <v>13</v>
      </c>
      <c r="J1263" s="6" t="str">
        <f>IF(Employee[[#This Row],[Attrition]]="Yes","Resigned","Active")</f>
        <v>Active</v>
      </c>
    </row>
    <row r="1264" spans="1:10" x14ac:dyDescent="0.25">
      <c r="A1264" s="6">
        <v>1767</v>
      </c>
      <c r="B1264" s="6">
        <v>43</v>
      </c>
      <c r="C1264" s="5" t="s">
        <v>11</v>
      </c>
      <c r="D1264" s="5" t="s">
        <v>12</v>
      </c>
      <c r="E1264" s="6">
        <v>1</v>
      </c>
      <c r="F1264" s="6">
        <v>2437</v>
      </c>
      <c r="G1264" s="6">
        <v>1</v>
      </c>
      <c r="H1264" s="6">
        <v>3</v>
      </c>
      <c r="I1264" s="6" t="s">
        <v>10</v>
      </c>
      <c r="J1264" s="6" t="str">
        <f>IF(Employee[[#This Row],[Attrition]]="Yes","Resigned","Active")</f>
        <v>Resigned</v>
      </c>
    </row>
    <row r="1265" spans="1:10" x14ac:dyDescent="0.25">
      <c r="A1265" s="6">
        <v>1768</v>
      </c>
      <c r="B1265" s="6">
        <v>42</v>
      </c>
      <c r="C1265" s="5" t="s">
        <v>11</v>
      </c>
      <c r="D1265" s="5" t="s">
        <v>14</v>
      </c>
      <c r="E1265" s="6">
        <v>1</v>
      </c>
      <c r="F1265" s="6">
        <v>2766</v>
      </c>
      <c r="G1265" s="6">
        <v>5</v>
      </c>
      <c r="H1265" s="6">
        <v>2</v>
      </c>
      <c r="I1265" s="6" t="s">
        <v>13</v>
      </c>
      <c r="J1265" s="6" t="str">
        <f>IF(Employee[[#This Row],[Attrition]]="Yes","Resigned","Active")</f>
        <v>Active</v>
      </c>
    </row>
    <row r="1266" spans="1:10" x14ac:dyDescent="0.25">
      <c r="A1266" s="6">
        <v>1770</v>
      </c>
      <c r="B1266" s="6">
        <v>55</v>
      </c>
      <c r="C1266" s="5" t="s">
        <v>11</v>
      </c>
      <c r="D1266" s="5" t="s">
        <v>19</v>
      </c>
      <c r="E1266" s="6">
        <v>5</v>
      </c>
      <c r="F1266" s="6">
        <v>19038</v>
      </c>
      <c r="G1266" s="6">
        <v>1</v>
      </c>
      <c r="H1266" s="6">
        <v>3</v>
      </c>
      <c r="I1266" s="6" t="s">
        <v>13</v>
      </c>
      <c r="J1266" s="6" t="str">
        <f>IF(Employee[[#This Row],[Attrition]]="Yes","Resigned","Active")</f>
        <v>Active</v>
      </c>
    </row>
    <row r="1267" spans="1:10" x14ac:dyDescent="0.25">
      <c r="A1267" s="6">
        <v>1771</v>
      </c>
      <c r="B1267" s="6">
        <v>33</v>
      </c>
      <c r="C1267" s="5" t="s">
        <v>11</v>
      </c>
      <c r="D1267" s="5" t="s">
        <v>12</v>
      </c>
      <c r="E1267" s="6">
        <v>2</v>
      </c>
      <c r="F1267" s="6">
        <v>3055</v>
      </c>
      <c r="G1267" s="6">
        <v>9</v>
      </c>
      <c r="H1267" s="6">
        <v>2</v>
      </c>
      <c r="I1267" s="6" t="s">
        <v>13</v>
      </c>
      <c r="J1267" s="6" t="str">
        <f>IF(Employee[[#This Row],[Attrition]]="Yes","Resigned","Active")</f>
        <v>Active</v>
      </c>
    </row>
    <row r="1268" spans="1:10" x14ac:dyDescent="0.25">
      <c r="A1268" s="6">
        <v>1772</v>
      </c>
      <c r="B1268" s="6">
        <v>41</v>
      </c>
      <c r="C1268" s="5" t="s">
        <v>11</v>
      </c>
      <c r="D1268" s="5" t="s">
        <v>14</v>
      </c>
      <c r="E1268" s="6">
        <v>1</v>
      </c>
      <c r="F1268" s="6">
        <v>2289</v>
      </c>
      <c r="G1268" s="6">
        <v>5</v>
      </c>
      <c r="H1268" s="6">
        <v>3</v>
      </c>
      <c r="I1268" s="6" t="s">
        <v>13</v>
      </c>
      <c r="J1268" s="6" t="str">
        <f>IF(Employee[[#This Row],[Attrition]]="Yes","Resigned","Active")</f>
        <v>Active</v>
      </c>
    </row>
    <row r="1269" spans="1:10" x14ac:dyDescent="0.25">
      <c r="A1269" s="6">
        <v>1774</v>
      </c>
      <c r="B1269" s="6">
        <v>34</v>
      </c>
      <c r="C1269" s="5" t="s">
        <v>8</v>
      </c>
      <c r="D1269" s="5" t="s">
        <v>9</v>
      </c>
      <c r="E1269" s="6">
        <v>2</v>
      </c>
      <c r="F1269" s="6">
        <v>4001</v>
      </c>
      <c r="G1269" s="6">
        <v>15</v>
      </c>
      <c r="H1269" s="6">
        <v>3</v>
      </c>
      <c r="I1269" s="6" t="s">
        <v>13</v>
      </c>
      <c r="J1269" s="6" t="str">
        <f>IF(Employee[[#This Row],[Attrition]]="Yes","Resigned","Active")</f>
        <v>Active</v>
      </c>
    </row>
    <row r="1270" spans="1:10" x14ac:dyDescent="0.25">
      <c r="A1270" s="6">
        <v>1775</v>
      </c>
      <c r="B1270" s="6">
        <v>53</v>
      </c>
      <c r="C1270" s="5" t="s">
        <v>11</v>
      </c>
      <c r="D1270" s="5" t="s">
        <v>15</v>
      </c>
      <c r="E1270" s="6">
        <v>4</v>
      </c>
      <c r="F1270" s="6">
        <v>12965</v>
      </c>
      <c r="G1270" s="6">
        <v>3</v>
      </c>
      <c r="H1270" s="6">
        <v>2</v>
      </c>
      <c r="I1270" s="6" t="s">
        <v>13</v>
      </c>
      <c r="J1270" s="6" t="str">
        <f>IF(Employee[[#This Row],[Attrition]]="Yes","Resigned","Active")</f>
        <v>Active</v>
      </c>
    </row>
    <row r="1271" spans="1:10" x14ac:dyDescent="0.25">
      <c r="A1271" s="6">
        <v>1778</v>
      </c>
      <c r="B1271" s="6">
        <v>43</v>
      </c>
      <c r="C1271" s="5" t="s">
        <v>20</v>
      </c>
      <c r="D1271" s="5" t="s">
        <v>20</v>
      </c>
      <c r="E1271" s="6">
        <v>1</v>
      </c>
      <c r="F1271" s="6">
        <v>3539</v>
      </c>
      <c r="G1271" s="6">
        <v>9</v>
      </c>
      <c r="H1271" s="6">
        <v>3</v>
      </c>
      <c r="I1271" s="6" t="s">
        <v>13</v>
      </c>
      <c r="J1271" s="6" t="str">
        <f>IF(Employee[[#This Row],[Attrition]]="Yes","Resigned","Active")</f>
        <v>Active</v>
      </c>
    </row>
    <row r="1272" spans="1:10" x14ac:dyDescent="0.25">
      <c r="A1272" s="6">
        <v>1779</v>
      </c>
      <c r="B1272" s="6">
        <v>34</v>
      </c>
      <c r="C1272" s="5" t="s">
        <v>8</v>
      </c>
      <c r="D1272" s="5" t="s">
        <v>9</v>
      </c>
      <c r="E1272" s="6">
        <v>2</v>
      </c>
      <c r="F1272" s="6">
        <v>6029</v>
      </c>
      <c r="G1272" s="6">
        <v>2</v>
      </c>
      <c r="H1272" s="6">
        <v>3</v>
      </c>
      <c r="I1272" s="6" t="s">
        <v>13</v>
      </c>
      <c r="J1272" s="6" t="str">
        <f>IF(Employee[[#This Row],[Attrition]]="Yes","Resigned","Active")</f>
        <v>Active</v>
      </c>
    </row>
    <row r="1273" spans="1:10" x14ac:dyDescent="0.25">
      <c r="A1273" s="6">
        <v>1780</v>
      </c>
      <c r="B1273" s="6">
        <v>21</v>
      </c>
      <c r="C1273" s="5" t="s">
        <v>8</v>
      </c>
      <c r="D1273" s="5" t="s">
        <v>18</v>
      </c>
      <c r="E1273" s="6">
        <v>1</v>
      </c>
      <c r="F1273" s="6">
        <v>2679</v>
      </c>
      <c r="G1273" s="6">
        <v>1</v>
      </c>
      <c r="H1273" s="6">
        <v>3</v>
      </c>
      <c r="I1273" s="6" t="s">
        <v>10</v>
      </c>
      <c r="J1273" s="6" t="str">
        <f>IF(Employee[[#This Row],[Attrition]]="Yes","Resigned","Active")</f>
        <v>Resigned</v>
      </c>
    </row>
    <row r="1274" spans="1:10" x14ac:dyDescent="0.25">
      <c r="A1274" s="6">
        <v>1782</v>
      </c>
      <c r="B1274" s="6">
        <v>38</v>
      </c>
      <c r="C1274" s="5" t="s">
        <v>11</v>
      </c>
      <c r="D1274" s="5" t="s">
        <v>14</v>
      </c>
      <c r="E1274" s="6">
        <v>1</v>
      </c>
      <c r="F1274" s="6">
        <v>3702</v>
      </c>
      <c r="G1274" s="6">
        <v>5</v>
      </c>
      <c r="H1274" s="6">
        <v>3</v>
      </c>
      <c r="I1274" s="6" t="s">
        <v>13</v>
      </c>
      <c r="J1274" s="6" t="str">
        <f>IF(Employee[[#This Row],[Attrition]]="Yes","Resigned","Active")</f>
        <v>Active</v>
      </c>
    </row>
    <row r="1275" spans="1:10" x14ac:dyDescent="0.25">
      <c r="A1275" s="6">
        <v>1783</v>
      </c>
      <c r="B1275" s="6">
        <v>22</v>
      </c>
      <c r="C1275" s="5" t="s">
        <v>11</v>
      </c>
      <c r="D1275" s="5" t="s">
        <v>14</v>
      </c>
      <c r="E1275" s="6">
        <v>1</v>
      </c>
      <c r="F1275" s="6">
        <v>2398</v>
      </c>
      <c r="G1275" s="6">
        <v>1</v>
      </c>
      <c r="H1275" s="6">
        <v>3</v>
      </c>
      <c r="I1275" s="6" t="s">
        <v>10</v>
      </c>
      <c r="J1275" s="6" t="str">
        <f>IF(Employee[[#This Row],[Attrition]]="Yes","Resigned","Active")</f>
        <v>Resigned</v>
      </c>
    </row>
    <row r="1276" spans="1:10" x14ac:dyDescent="0.25">
      <c r="A1276" s="6">
        <v>1784</v>
      </c>
      <c r="B1276" s="6">
        <v>31</v>
      </c>
      <c r="C1276" s="5" t="s">
        <v>8</v>
      </c>
      <c r="D1276" s="5" t="s">
        <v>9</v>
      </c>
      <c r="E1276" s="6">
        <v>2</v>
      </c>
      <c r="F1276" s="6">
        <v>5468</v>
      </c>
      <c r="G1276" s="6">
        <v>12</v>
      </c>
      <c r="H1276" s="6">
        <v>3</v>
      </c>
      <c r="I1276" s="6" t="s">
        <v>13</v>
      </c>
      <c r="J1276" s="6" t="str">
        <f>IF(Employee[[#This Row],[Attrition]]="Yes","Resigned","Active")</f>
        <v>Active</v>
      </c>
    </row>
    <row r="1277" spans="1:10" x14ac:dyDescent="0.25">
      <c r="A1277" s="6">
        <v>1786</v>
      </c>
      <c r="B1277" s="6">
        <v>51</v>
      </c>
      <c r="C1277" s="5" t="s">
        <v>11</v>
      </c>
      <c r="D1277" s="5" t="s">
        <v>17</v>
      </c>
      <c r="E1277" s="6">
        <v>3</v>
      </c>
      <c r="F1277" s="6">
        <v>13116</v>
      </c>
      <c r="G1277" s="6">
        <v>2</v>
      </c>
      <c r="H1277" s="6">
        <v>3</v>
      </c>
      <c r="I1277" s="6" t="s">
        <v>13</v>
      </c>
      <c r="J1277" s="6" t="str">
        <f>IF(Employee[[#This Row],[Attrition]]="Yes","Resigned","Active")</f>
        <v>Active</v>
      </c>
    </row>
    <row r="1278" spans="1:10" x14ac:dyDescent="0.25">
      <c r="A1278" s="6">
        <v>1787</v>
      </c>
      <c r="B1278" s="6">
        <v>37</v>
      </c>
      <c r="C1278" s="5" t="s">
        <v>8</v>
      </c>
      <c r="D1278" s="5" t="s">
        <v>9</v>
      </c>
      <c r="E1278" s="6">
        <v>2</v>
      </c>
      <c r="F1278" s="6">
        <v>4189</v>
      </c>
      <c r="G1278" s="6">
        <v>5</v>
      </c>
      <c r="H1278" s="6">
        <v>3</v>
      </c>
      <c r="I1278" s="6" t="s">
        <v>13</v>
      </c>
      <c r="J1278" s="6" t="str">
        <f>IF(Employee[[#This Row],[Attrition]]="Yes","Resigned","Active")</f>
        <v>Active</v>
      </c>
    </row>
    <row r="1279" spans="1:10" x14ac:dyDescent="0.25">
      <c r="A1279" s="6">
        <v>1789</v>
      </c>
      <c r="B1279" s="6">
        <v>46</v>
      </c>
      <c r="C1279" s="5" t="s">
        <v>11</v>
      </c>
      <c r="D1279" s="5" t="s">
        <v>19</v>
      </c>
      <c r="E1279" s="6">
        <v>5</v>
      </c>
      <c r="F1279" s="6">
        <v>19328</v>
      </c>
      <c r="G1279" s="6">
        <v>2</v>
      </c>
      <c r="H1279" s="6">
        <v>3</v>
      </c>
      <c r="I1279" s="6" t="s">
        <v>13</v>
      </c>
      <c r="J1279" s="6" t="str">
        <f>IF(Employee[[#This Row],[Attrition]]="Yes","Resigned","Active")</f>
        <v>Active</v>
      </c>
    </row>
    <row r="1280" spans="1:10" x14ac:dyDescent="0.25">
      <c r="A1280" s="6">
        <v>1790</v>
      </c>
      <c r="B1280" s="6">
        <v>36</v>
      </c>
      <c r="C1280" s="5" t="s">
        <v>11</v>
      </c>
      <c r="D1280" s="5" t="s">
        <v>16</v>
      </c>
      <c r="E1280" s="6">
        <v>3</v>
      </c>
      <c r="F1280" s="6">
        <v>8321</v>
      </c>
      <c r="G1280" s="6">
        <v>12</v>
      </c>
      <c r="H1280" s="6">
        <v>3</v>
      </c>
      <c r="I1280" s="6" t="s">
        <v>13</v>
      </c>
      <c r="J1280" s="6" t="str">
        <f>IF(Employee[[#This Row],[Attrition]]="Yes","Resigned","Active")</f>
        <v>Active</v>
      </c>
    </row>
    <row r="1281" spans="1:10" x14ac:dyDescent="0.25">
      <c r="A1281" s="6">
        <v>1792</v>
      </c>
      <c r="B1281" s="6">
        <v>44</v>
      </c>
      <c r="C1281" s="5" t="s">
        <v>11</v>
      </c>
      <c r="D1281" s="5" t="s">
        <v>12</v>
      </c>
      <c r="E1281" s="6">
        <v>1</v>
      </c>
      <c r="F1281" s="6">
        <v>2342</v>
      </c>
      <c r="G1281" s="6">
        <v>5</v>
      </c>
      <c r="H1281" s="6">
        <v>2</v>
      </c>
      <c r="I1281" s="6" t="s">
        <v>10</v>
      </c>
      <c r="J1281" s="6" t="str">
        <f>IF(Employee[[#This Row],[Attrition]]="Yes","Resigned","Active")</f>
        <v>Resigned</v>
      </c>
    </row>
    <row r="1282" spans="1:10" x14ac:dyDescent="0.25">
      <c r="A1282" s="6">
        <v>1794</v>
      </c>
      <c r="B1282" s="6">
        <v>37</v>
      </c>
      <c r="C1282" s="5" t="s">
        <v>20</v>
      </c>
      <c r="D1282" s="5" t="s">
        <v>20</v>
      </c>
      <c r="E1282" s="6">
        <v>2</v>
      </c>
      <c r="F1282" s="6">
        <v>4071</v>
      </c>
      <c r="G1282" s="6">
        <v>10</v>
      </c>
      <c r="H1282" s="6">
        <v>2</v>
      </c>
      <c r="I1282" s="6" t="s">
        <v>13</v>
      </c>
      <c r="J1282" s="6" t="str">
        <f>IF(Employee[[#This Row],[Attrition]]="Yes","Resigned","Active")</f>
        <v>Active</v>
      </c>
    </row>
    <row r="1283" spans="1:10" x14ac:dyDescent="0.25">
      <c r="A1283" s="6">
        <v>1797</v>
      </c>
      <c r="B1283" s="6">
        <v>35</v>
      </c>
      <c r="C1283" s="5" t="s">
        <v>8</v>
      </c>
      <c r="D1283" s="5" t="s">
        <v>9</v>
      </c>
      <c r="E1283" s="6">
        <v>2</v>
      </c>
      <c r="F1283" s="6">
        <v>5813</v>
      </c>
      <c r="G1283" s="6">
        <v>10</v>
      </c>
      <c r="H1283" s="6">
        <v>3</v>
      </c>
      <c r="I1283" s="6" t="s">
        <v>10</v>
      </c>
      <c r="J1283" s="6" t="str">
        <f>IF(Employee[[#This Row],[Attrition]]="Yes","Resigned","Active")</f>
        <v>Resigned</v>
      </c>
    </row>
    <row r="1284" spans="1:10" x14ac:dyDescent="0.25">
      <c r="A1284" s="6">
        <v>1798</v>
      </c>
      <c r="B1284" s="6">
        <v>33</v>
      </c>
      <c r="C1284" s="5" t="s">
        <v>11</v>
      </c>
      <c r="D1284" s="5" t="s">
        <v>12</v>
      </c>
      <c r="E1284" s="6">
        <v>1</v>
      </c>
      <c r="F1284" s="6">
        <v>3143</v>
      </c>
      <c r="G1284" s="6">
        <v>10</v>
      </c>
      <c r="H1284" s="6">
        <v>3</v>
      </c>
      <c r="I1284" s="6" t="s">
        <v>13</v>
      </c>
      <c r="J1284" s="6" t="str">
        <f>IF(Employee[[#This Row],[Attrition]]="Yes","Resigned","Active")</f>
        <v>Active</v>
      </c>
    </row>
    <row r="1285" spans="1:10" x14ac:dyDescent="0.25">
      <c r="A1285" s="6">
        <v>1799</v>
      </c>
      <c r="B1285" s="6">
        <v>28</v>
      </c>
      <c r="C1285" s="5" t="s">
        <v>11</v>
      </c>
      <c r="D1285" s="5" t="s">
        <v>12</v>
      </c>
      <c r="E1285" s="6">
        <v>1</v>
      </c>
      <c r="F1285" s="6">
        <v>2044</v>
      </c>
      <c r="G1285" s="6">
        <v>5</v>
      </c>
      <c r="H1285" s="6">
        <v>4</v>
      </c>
      <c r="I1285" s="6" t="s">
        <v>13</v>
      </c>
      <c r="J1285" s="6" t="str">
        <f>IF(Employee[[#This Row],[Attrition]]="Yes","Resigned","Active")</f>
        <v>Active</v>
      </c>
    </row>
    <row r="1286" spans="1:10" x14ac:dyDescent="0.25">
      <c r="A1286" s="6">
        <v>1800</v>
      </c>
      <c r="B1286" s="6">
        <v>39</v>
      </c>
      <c r="C1286" s="5" t="s">
        <v>11</v>
      </c>
      <c r="D1286" s="5" t="s">
        <v>19</v>
      </c>
      <c r="E1286" s="6">
        <v>3</v>
      </c>
      <c r="F1286" s="6">
        <v>13464</v>
      </c>
      <c r="G1286" s="6">
        <v>4</v>
      </c>
      <c r="H1286" s="6">
        <v>3</v>
      </c>
      <c r="I1286" s="6" t="s">
        <v>13</v>
      </c>
      <c r="J1286" s="6" t="str">
        <f>IF(Employee[[#This Row],[Attrition]]="Yes","Resigned","Active")</f>
        <v>Active</v>
      </c>
    </row>
    <row r="1287" spans="1:10" x14ac:dyDescent="0.25">
      <c r="A1287" s="6">
        <v>1801</v>
      </c>
      <c r="B1287" s="6">
        <v>46</v>
      </c>
      <c r="C1287" s="5" t="s">
        <v>8</v>
      </c>
      <c r="D1287" s="5" t="s">
        <v>9</v>
      </c>
      <c r="E1287" s="6">
        <v>2</v>
      </c>
      <c r="F1287" s="6">
        <v>7991</v>
      </c>
      <c r="G1287" s="6">
        <v>2</v>
      </c>
      <c r="H1287" s="6">
        <v>3</v>
      </c>
      <c r="I1287" s="6" t="s">
        <v>13</v>
      </c>
      <c r="J1287" s="6" t="str">
        <f>IF(Employee[[#This Row],[Attrition]]="Yes","Resigned","Active")</f>
        <v>Active</v>
      </c>
    </row>
    <row r="1288" spans="1:10" x14ac:dyDescent="0.25">
      <c r="A1288" s="6">
        <v>1802</v>
      </c>
      <c r="B1288" s="6">
        <v>40</v>
      </c>
      <c r="C1288" s="5" t="s">
        <v>11</v>
      </c>
      <c r="D1288" s="5" t="s">
        <v>14</v>
      </c>
      <c r="E1288" s="6">
        <v>1</v>
      </c>
      <c r="F1288" s="6">
        <v>3377</v>
      </c>
      <c r="G1288" s="6">
        <v>4</v>
      </c>
      <c r="H1288" s="6">
        <v>2</v>
      </c>
      <c r="I1288" s="6" t="s">
        <v>13</v>
      </c>
      <c r="J1288" s="6" t="str">
        <f>IF(Employee[[#This Row],[Attrition]]="Yes","Resigned","Active")</f>
        <v>Active</v>
      </c>
    </row>
    <row r="1289" spans="1:10" x14ac:dyDescent="0.25">
      <c r="A1289" s="6">
        <v>1803</v>
      </c>
      <c r="B1289" s="6">
        <v>42</v>
      </c>
      <c r="C1289" s="5" t="s">
        <v>11</v>
      </c>
      <c r="D1289" s="5" t="s">
        <v>16</v>
      </c>
      <c r="E1289" s="6">
        <v>2</v>
      </c>
      <c r="F1289" s="6">
        <v>5538</v>
      </c>
      <c r="G1289" s="6">
        <v>0</v>
      </c>
      <c r="H1289" s="6">
        <v>2</v>
      </c>
      <c r="I1289" s="6" t="s">
        <v>13</v>
      </c>
      <c r="J1289" s="6" t="str">
        <f>IF(Employee[[#This Row],[Attrition]]="Yes","Resigned","Active")</f>
        <v>Active</v>
      </c>
    </row>
    <row r="1290" spans="1:10" x14ac:dyDescent="0.25">
      <c r="A1290" s="6">
        <v>1804</v>
      </c>
      <c r="B1290" s="6">
        <v>35</v>
      </c>
      <c r="C1290" s="5" t="s">
        <v>11</v>
      </c>
      <c r="D1290" s="5" t="s">
        <v>15</v>
      </c>
      <c r="E1290" s="6">
        <v>2</v>
      </c>
      <c r="F1290" s="6">
        <v>5762</v>
      </c>
      <c r="G1290" s="6">
        <v>7</v>
      </c>
      <c r="H1290" s="6">
        <v>3</v>
      </c>
      <c r="I1290" s="6" t="s">
        <v>13</v>
      </c>
      <c r="J1290" s="6" t="str">
        <f>IF(Employee[[#This Row],[Attrition]]="Yes","Resigned","Active")</f>
        <v>Active</v>
      </c>
    </row>
    <row r="1291" spans="1:10" x14ac:dyDescent="0.25">
      <c r="A1291" s="6">
        <v>1805</v>
      </c>
      <c r="B1291" s="6">
        <v>38</v>
      </c>
      <c r="C1291" s="5" t="s">
        <v>20</v>
      </c>
      <c r="D1291" s="5" t="s">
        <v>20</v>
      </c>
      <c r="E1291" s="6">
        <v>1</v>
      </c>
      <c r="F1291" s="6">
        <v>2592</v>
      </c>
      <c r="G1291" s="6">
        <v>11</v>
      </c>
      <c r="H1291" s="6">
        <v>3</v>
      </c>
      <c r="I1291" s="6" t="s">
        <v>13</v>
      </c>
      <c r="J1291" s="6" t="str">
        <f>IF(Employee[[#This Row],[Attrition]]="Yes","Resigned","Active")</f>
        <v>Active</v>
      </c>
    </row>
    <row r="1292" spans="1:10" x14ac:dyDescent="0.25">
      <c r="A1292" s="6">
        <v>1807</v>
      </c>
      <c r="B1292" s="6">
        <v>34</v>
      </c>
      <c r="C1292" s="5" t="s">
        <v>11</v>
      </c>
      <c r="D1292" s="5" t="s">
        <v>14</v>
      </c>
      <c r="E1292" s="6">
        <v>2</v>
      </c>
      <c r="F1292" s="6">
        <v>5346</v>
      </c>
      <c r="G1292" s="6">
        <v>7</v>
      </c>
      <c r="H1292" s="6">
        <v>2</v>
      </c>
      <c r="I1292" s="6" t="s">
        <v>10</v>
      </c>
      <c r="J1292" s="6" t="str">
        <f>IF(Employee[[#This Row],[Attrition]]="Yes","Resigned","Active")</f>
        <v>Resigned</v>
      </c>
    </row>
    <row r="1293" spans="1:10" x14ac:dyDescent="0.25">
      <c r="A1293" s="6">
        <v>1809</v>
      </c>
      <c r="B1293" s="6">
        <v>37</v>
      </c>
      <c r="C1293" s="5" t="s">
        <v>11</v>
      </c>
      <c r="D1293" s="5" t="s">
        <v>15</v>
      </c>
      <c r="E1293" s="6">
        <v>2</v>
      </c>
      <c r="F1293" s="6">
        <v>4213</v>
      </c>
      <c r="G1293" s="6">
        <v>10</v>
      </c>
      <c r="H1293" s="6">
        <v>1</v>
      </c>
      <c r="I1293" s="6" t="s">
        <v>10</v>
      </c>
      <c r="J1293" s="6" t="str">
        <f>IF(Employee[[#This Row],[Attrition]]="Yes","Resigned","Active")</f>
        <v>Resigned</v>
      </c>
    </row>
    <row r="1294" spans="1:10" x14ac:dyDescent="0.25">
      <c r="A1294" s="6">
        <v>1812</v>
      </c>
      <c r="B1294" s="6">
        <v>39</v>
      </c>
      <c r="C1294" s="5" t="s">
        <v>8</v>
      </c>
      <c r="D1294" s="5" t="s">
        <v>9</v>
      </c>
      <c r="E1294" s="6">
        <v>2</v>
      </c>
      <c r="F1294" s="6">
        <v>4127</v>
      </c>
      <c r="G1294" s="6">
        <v>2</v>
      </c>
      <c r="H1294" s="6">
        <v>3</v>
      </c>
      <c r="I1294" s="6" t="s">
        <v>13</v>
      </c>
      <c r="J1294" s="6" t="str">
        <f>IF(Employee[[#This Row],[Attrition]]="Yes","Resigned","Active")</f>
        <v>Active</v>
      </c>
    </row>
    <row r="1295" spans="1:10" x14ac:dyDescent="0.25">
      <c r="A1295" s="6">
        <v>1813</v>
      </c>
      <c r="B1295" s="6">
        <v>43</v>
      </c>
      <c r="C1295" s="5" t="s">
        <v>11</v>
      </c>
      <c r="D1295" s="5" t="s">
        <v>12</v>
      </c>
      <c r="E1295" s="6">
        <v>1</v>
      </c>
      <c r="F1295" s="6">
        <v>2438</v>
      </c>
      <c r="G1295" s="6">
        <v>3</v>
      </c>
      <c r="H1295" s="6">
        <v>2</v>
      </c>
      <c r="I1295" s="6" t="s">
        <v>13</v>
      </c>
      <c r="J1295" s="6" t="str">
        <f>IF(Employee[[#This Row],[Attrition]]="Yes","Resigned","Active")</f>
        <v>Active</v>
      </c>
    </row>
    <row r="1296" spans="1:10" x14ac:dyDescent="0.25">
      <c r="A1296" s="6">
        <v>1814</v>
      </c>
      <c r="B1296" s="6">
        <v>41</v>
      </c>
      <c r="C1296" s="5" t="s">
        <v>11</v>
      </c>
      <c r="D1296" s="5" t="s">
        <v>16</v>
      </c>
      <c r="E1296" s="6">
        <v>2</v>
      </c>
      <c r="F1296" s="6">
        <v>6870</v>
      </c>
      <c r="G1296" s="6">
        <v>3</v>
      </c>
      <c r="H1296" s="6">
        <v>1</v>
      </c>
      <c r="I1296" s="6" t="s">
        <v>13</v>
      </c>
      <c r="J1296" s="6" t="str">
        <f>IF(Employee[[#This Row],[Attrition]]="Yes","Resigned","Active")</f>
        <v>Active</v>
      </c>
    </row>
    <row r="1297" spans="1:10" x14ac:dyDescent="0.25">
      <c r="A1297" s="6">
        <v>1815</v>
      </c>
      <c r="B1297" s="6">
        <v>41</v>
      </c>
      <c r="C1297" s="5" t="s">
        <v>8</v>
      </c>
      <c r="D1297" s="5" t="s">
        <v>9</v>
      </c>
      <c r="E1297" s="6">
        <v>3</v>
      </c>
      <c r="F1297" s="6">
        <v>10447</v>
      </c>
      <c r="G1297" s="6">
        <v>22</v>
      </c>
      <c r="H1297" s="6">
        <v>4</v>
      </c>
      <c r="I1297" s="6" t="s">
        <v>13</v>
      </c>
      <c r="J1297" s="6" t="str">
        <f>IF(Employee[[#This Row],[Attrition]]="Yes","Resigned","Active")</f>
        <v>Active</v>
      </c>
    </row>
    <row r="1298" spans="1:10" x14ac:dyDescent="0.25">
      <c r="A1298" s="6">
        <v>1816</v>
      </c>
      <c r="B1298" s="6">
        <v>30</v>
      </c>
      <c r="C1298" s="5" t="s">
        <v>11</v>
      </c>
      <c r="D1298" s="5" t="s">
        <v>15</v>
      </c>
      <c r="E1298" s="6">
        <v>3</v>
      </c>
      <c r="F1298" s="6">
        <v>9667</v>
      </c>
      <c r="G1298" s="6">
        <v>7</v>
      </c>
      <c r="H1298" s="6">
        <v>3</v>
      </c>
      <c r="I1298" s="6" t="s">
        <v>13</v>
      </c>
      <c r="J1298" s="6" t="str">
        <f>IF(Employee[[#This Row],[Attrition]]="Yes","Resigned","Active")</f>
        <v>Active</v>
      </c>
    </row>
    <row r="1299" spans="1:10" x14ac:dyDescent="0.25">
      <c r="A1299" s="6">
        <v>1818</v>
      </c>
      <c r="B1299" s="6">
        <v>26</v>
      </c>
      <c r="C1299" s="5" t="s">
        <v>20</v>
      </c>
      <c r="D1299" s="5" t="s">
        <v>20</v>
      </c>
      <c r="E1299" s="6">
        <v>1</v>
      </c>
      <c r="F1299" s="6">
        <v>2148</v>
      </c>
      <c r="G1299" s="6">
        <v>5</v>
      </c>
      <c r="H1299" s="6">
        <v>3</v>
      </c>
      <c r="I1299" s="6" t="s">
        <v>10</v>
      </c>
      <c r="J1299" s="6" t="str">
        <f>IF(Employee[[#This Row],[Attrition]]="Yes","Resigned","Active")</f>
        <v>Resigned</v>
      </c>
    </row>
    <row r="1300" spans="1:10" x14ac:dyDescent="0.25">
      <c r="A1300" s="6">
        <v>1821</v>
      </c>
      <c r="B1300" s="6">
        <v>46</v>
      </c>
      <c r="C1300" s="5" t="s">
        <v>11</v>
      </c>
      <c r="D1300" s="5" t="s">
        <v>16</v>
      </c>
      <c r="E1300" s="6">
        <v>2</v>
      </c>
      <c r="F1300" s="6">
        <v>8926</v>
      </c>
      <c r="G1300" s="6">
        <v>9</v>
      </c>
      <c r="H1300" s="6">
        <v>4</v>
      </c>
      <c r="I1300" s="6" t="s">
        <v>10</v>
      </c>
      <c r="J1300" s="6" t="str">
        <f>IF(Employee[[#This Row],[Attrition]]="Yes","Resigned","Active")</f>
        <v>Resigned</v>
      </c>
    </row>
    <row r="1301" spans="1:10" x14ac:dyDescent="0.25">
      <c r="A1301" s="6">
        <v>1822</v>
      </c>
      <c r="B1301" s="6">
        <v>40</v>
      </c>
      <c r="C1301" s="5" t="s">
        <v>11</v>
      </c>
      <c r="D1301" s="5" t="s">
        <v>16</v>
      </c>
      <c r="E1301" s="6">
        <v>2</v>
      </c>
      <c r="F1301" s="6">
        <v>6513</v>
      </c>
      <c r="G1301" s="6">
        <v>5</v>
      </c>
      <c r="H1301" s="6">
        <v>3</v>
      </c>
      <c r="I1301" s="6" t="s">
        <v>13</v>
      </c>
      <c r="J1301" s="6" t="str">
        <f>IF(Employee[[#This Row],[Attrition]]="Yes","Resigned","Active")</f>
        <v>Active</v>
      </c>
    </row>
    <row r="1302" spans="1:10" x14ac:dyDescent="0.25">
      <c r="A1302" s="6">
        <v>1823</v>
      </c>
      <c r="B1302" s="6">
        <v>34</v>
      </c>
      <c r="C1302" s="5" t="s">
        <v>8</v>
      </c>
      <c r="D1302" s="5" t="s">
        <v>9</v>
      </c>
      <c r="E1302" s="6">
        <v>2</v>
      </c>
      <c r="F1302" s="6">
        <v>6799</v>
      </c>
      <c r="G1302" s="6">
        <v>10</v>
      </c>
      <c r="H1302" s="6">
        <v>3</v>
      </c>
      <c r="I1302" s="6" t="s">
        <v>13</v>
      </c>
      <c r="J1302" s="6" t="str">
        <f>IF(Employee[[#This Row],[Attrition]]="Yes","Resigned","Active")</f>
        <v>Active</v>
      </c>
    </row>
    <row r="1303" spans="1:10" x14ac:dyDescent="0.25">
      <c r="A1303" s="6">
        <v>1824</v>
      </c>
      <c r="B1303" s="6">
        <v>58</v>
      </c>
      <c r="C1303" s="5" t="s">
        <v>8</v>
      </c>
      <c r="D1303" s="5" t="s">
        <v>17</v>
      </c>
      <c r="E1303" s="6">
        <v>4</v>
      </c>
      <c r="F1303" s="6">
        <v>16291</v>
      </c>
      <c r="G1303" s="6">
        <v>16</v>
      </c>
      <c r="H1303" s="6">
        <v>2</v>
      </c>
      <c r="I1303" s="6" t="s">
        <v>13</v>
      </c>
      <c r="J1303" s="6" t="str">
        <f>IF(Employee[[#This Row],[Attrition]]="Yes","Resigned","Active")</f>
        <v>Active</v>
      </c>
    </row>
    <row r="1304" spans="1:10" x14ac:dyDescent="0.25">
      <c r="A1304" s="6">
        <v>1826</v>
      </c>
      <c r="B1304" s="6">
        <v>35</v>
      </c>
      <c r="C1304" s="5" t="s">
        <v>11</v>
      </c>
      <c r="D1304" s="5" t="s">
        <v>14</v>
      </c>
      <c r="E1304" s="6">
        <v>1</v>
      </c>
      <c r="F1304" s="6">
        <v>2705</v>
      </c>
      <c r="G1304" s="6">
        <v>5</v>
      </c>
      <c r="H1304" s="6">
        <v>4</v>
      </c>
      <c r="I1304" s="6" t="s">
        <v>13</v>
      </c>
      <c r="J1304" s="6" t="str">
        <f>IF(Employee[[#This Row],[Attrition]]="Yes","Resigned","Active")</f>
        <v>Active</v>
      </c>
    </row>
    <row r="1305" spans="1:10" x14ac:dyDescent="0.25">
      <c r="A1305" s="6">
        <v>1827</v>
      </c>
      <c r="B1305" s="6">
        <v>47</v>
      </c>
      <c r="C1305" s="5" t="s">
        <v>11</v>
      </c>
      <c r="D1305" s="5" t="s">
        <v>15</v>
      </c>
      <c r="E1305" s="6">
        <v>3</v>
      </c>
      <c r="F1305" s="6">
        <v>10333</v>
      </c>
      <c r="G1305" s="6">
        <v>22</v>
      </c>
      <c r="H1305" s="6">
        <v>3</v>
      </c>
      <c r="I1305" s="6" t="s">
        <v>13</v>
      </c>
      <c r="J1305" s="6" t="str">
        <f>IF(Employee[[#This Row],[Attrition]]="Yes","Resigned","Active")</f>
        <v>Active</v>
      </c>
    </row>
    <row r="1306" spans="1:10" x14ac:dyDescent="0.25">
      <c r="A1306" s="6">
        <v>1829</v>
      </c>
      <c r="B1306" s="6">
        <v>40</v>
      </c>
      <c r="C1306" s="5" t="s">
        <v>11</v>
      </c>
      <c r="D1306" s="5" t="s">
        <v>16</v>
      </c>
      <c r="E1306" s="6">
        <v>2</v>
      </c>
      <c r="F1306" s="6">
        <v>4448</v>
      </c>
      <c r="G1306" s="6">
        <v>7</v>
      </c>
      <c r="H1306" s="6">
        <v>3</v>
      </c>
      <c r="I1306" s="6" t="s">
        <v>13</v>
      </c>
      <c r="J1306" s="6" t="str">
        <f>IF(Employee[[#This Row],[Attrition]]="Yes","Resigned","Active")</f>
        <v>Active</v>
      </c>
    </row>
    <row r="1307" spans="1:10" x14ac:dyDescent="0.25">
      <c r="A1307" s="6">
        <v>1830</v>
      </c>
      <c r="B1307" s="6">
        <v>54</v>
      </c>
      <c r="C1307" s="5" t="s">
        <v>11</v>
      </c>
      <c r="D1307" s="5" t="s">
        <v>12</v>
      </c>
      <c r="E1307" s="6">
        <v>2</v>
      </c>
      <c r="F1307" s="6">
        <v>6854</v>
      </c>
      <c r="G1307" s="6">
        <v>7</v>
      </c>
      <c r="H1307" s="6">
        <v>2</v>
      </c>
      <c r="I1307" s="6" t="s">
        <v>13</v>
      </c>
      <c r="J1307" s="6" t="str">
        <f>IF(Employee[[#This Row],[Attrition]]="Yes","Resigned","Active")</f>
        <v>Active</v>
      </c>
    </row>
    <row r="1308" spans="1:10" x14ac:dyDescent="0.25">
      <c r="A1308" s="6">
        <v>1833</v>
      </c>
      <c r="B1308" s="6">
        <v>31</v>
      </c>
      <c r="C1308" s="5" t="s">
        <v>8</v>
      </c>
      <c r="D1308" s="5" t="s">
        <v>9</v>
      </c>
      <c r="E1308" s="6">
        <v>3</v>
      </c>
      <c r="F1308" s="6">
        <v>9637</v>
      </c>
      <c r="G1308" s="6">
        <v>3</v>
      </c>
      <c r="H1308" s="6">
        <v>3</v>
      </c>
      <c r="I1308" s="6" t="s">
        <v>13</v>
      </c>
      <c r="J1308" s="6" t="str">
        <f>IF(Employee[[#This Row],[Attrition]]="Yes","Resigned","Active")</f>
        <v>Active</v>
      </c>
    </row>
    <row r="1309" spans="1:10" x14ac:dyDescent="0.25">
      <c r="A1309" s="6">
        <v>1834</v>
      </c>
      <c r="B1309" s="6">
        <v>28</v>
      </c>
      <c r="C1309" s="5" t="s">
        <v>11</v>
      </c>
      <c r="D1309" s="5" t="s">
        <v>12</v>
      </c>
      <c r="E1309" s="6">
        <v>1</v>
      </c>
      <c r="F1309" s="6">
        <v>3591</v>
      </c>
      <c r="G1309" s="6">
        <v>3</v>
      </c>
      <c r="H1309" s="6">
        <v>3</v>
      </c>
      <c r="I1309" s="6" t="s">
        <v>13</v>
      </c>
      <c r="J1309" s="6" t="str">
        <f>IF(Employee[[#This Row],[Attrition]]="Yes","Resigned","Active")</f>
        <v>Active</v>
      </c>
    </row>
    <row r="1310" spans="1:10" x14ac:dyDescent="0.25">
      <c r="A1310" s="6">
        <v>1835</v>
      </c>
      <c r="B1310" s="6">
        <v>38</v>
      </c>
      <c r="C1310" s="5" t="s">
        <v>8</v>
      </c>
      <c r="D1310" s="5" t="s">
        <v>18</v>
      </c>
      <c r="E1310" s="6">
        <v>2</v>
      </c>
      <c r="F1310" s="6">
        <v>5405</v>
      </c>
      <c r="G1310" s="6">
        <v>4</v>
      </c>
      <c r="H1310" s="6">
        <v>2</v>
      </c>
      <c r="I1310" s="6" t="s">
        <v>13</v>
      </c>
      <c r="J1310" s="6" t="str">
        <f>IF(Employee[[#This Row],[Attrition]]="Yes","Resigned","Active")</f>
        <v>Active</v>
      </c>
    </row>
    <row r="1311" spans="1:10" x14ac:dyDescent="0.25">
      <c r="A1311" s="6">
        <v>1836</v>
      </c>
      <c r="B1311" s="6">
        <v>26</v>
      </c>
      <c r="C1311" s="5" t="s">
        <v>8</v>
      </c>
      <c r="D1311" s="5" t="s">
        <v>9</v>
      </c>
      <c r="E1311" s="6">
        <v>2</v>
      </c>
      <c r="F1311" s="6">
        <v>4684</v>
      </c>
      <c r="G1311" s="6">
        <v>5</v>
      </c>
      <c r="H1311" s="6">
        <v>3</v>
      </c>
      <c r="I1311" s="6" t="s">
        <v>13</v>
      </c>
      <c r="J1311" s="6" t="str">
        <f>IF(Employee[[#This Row],[Attrition]]="Yes","Resigned","Active")</f>
        <v>Active</v>
      </c>
    </row>
    <row r="1312" spans="1:10" x14ac:dyDescent="0.25">
      <c r="A1312" s="6">
        <v>1837</v>
      </c>
      <c r="B1312" s="6">
        <v>58</v>
      </c>
      <c r="C1312" s="5" t="s">
        <v>11</v>
      </c>
      <c r="D1312" s="5" t="s">
        <v>19</v>
      </c>
      <c r="E1312" s="6">
        <v>4</v>
      </c>
      <c r="F1312" s="6">
        <v>15787</v>
      </c>
      <c r="G1312" s="6">
        <v>2</v>
      </c>
      <c r="H1312" s="6">
        <v>3</v>
      </c>
      <c r="I1312" s="6" t="s">
        <v>13</v>
      </c>
      <c r="J1312" s="6" t="str">
        <f>IF(Employee[[#This Row],[Attrition]]="Yes","Resigned","Active")</f>
        <v>Active</v>
      </c>
    </row>
    <row r="1313" spans="1:10" x14ac:dyDescent="0.25">
      <c r="A1313" s="6">
        <v>1839</v>
      </c>
      <c r="B1313" s="6">
        <v>18</v>
      </c>
      <c r="C1313" s="5" t="s">
        <v>11</v>
      </c>
      <c r="D1313" s="5" t="s">
        <v>12</v>
      </c>
      <c r="E1313" s="6">
        <v>1</v>
      </c>
      <c r="F1313" s="6">
        <v>1514</v>
      </c>
      <c r="G1313" s="6">
        <v>0</v>
      </c>
      <c r="H1313" s="6">
        <v>1</v>
      </c>
      <c r="I1313" s="6" t="s">
        <v>13</v>
      </c>
      <c r="J1313" s="6" t="str">
        <f>IF(Employee[[#This Row],[Attrition]]="Yes","Resigned","Active")</f>
        <v>Active</v>
      </c>
    </row>
    <row r="1314" spans="1:10" x14ac:dyDescent="0.25">
      <c r="A1314" s="6">
        <v>1842</v>
      </c>
      <c r="B1314" s="6">
        <v>31</v>
      </c>
      <c r="C1314" s="5" t="s">
        <v>20</v>
      </c>
      <c r="D1314" s="5" t="s">
        <v>20</v>
      </c>
      <c r="E1314" s="6">
        <v>1</v>
      </c>
      <c r="F1314" s="6">
        <v>2956</v>
      </c>
      <c r="G1314" s="6">
        <v>1</v>
      </c>
      <c r="H1314" s="6">
        <v>3</v>
      </c>
      <c r="I1314" s="6" t="s">
        <v>10</v>
      </c>
      <c r="J1314" s="6" t="str">
        <f>IF(Employee[[#This Row],[Attrition]]="Yes","Resigned","Active")</f>
        <v>Resigned</v>
      </c>
    </row>
    <row r="1315" spans="1:10" x14ac:dyDescent="0.25">
      <c r="A1315" s="6">
        <v>1844</v>
      </c>
      <c r="B1315" s="6">
        <v>29</v>
      </c>
      <c r="C1315" s="5" t="s">
        <v>20</v>
      </c>
      <c r="D1315" s="5" t="s">
        <v>20</v>
      </c>
      <c r="E1315" s="6">
        <v>1</v>
      </c>
      <c r="F1315" s="6">
        <v>2335</v>
      </c>
      <c r="G1315" s="6">
        <v>2</v>
      </c>
      <c r="H1315" s="6">
        <v>3</v>
      </c>
      <c r="I1315" s="6" t="s">
        <v>10</v>
      </c>
      <c r="J1315" s="6" t="str">
        <f>IF(Employee[[#This Row],[Attrition]]="Yes","Resigned","Active")</f>
        <v>Resigned</v>
      </c>
    </row>
    <row r="1316" spans="1:10" x14ac:dyDescent="0.25">
      <c r="A1316" s="6">
        <v>1845</v>
      </c>
      <c r="B1316" s="6">
        <v>45</v>
      </c>
      <c r="C1316" s="5" t="s">
        <v>8</v>
      </c>
      <c r="D1316" s="5" t="s">
        <v>9</v>
      </c>
      <c r="E1316" s="6">
        <v>2</v>
      </c>
      <c r="F1316" s="6">
        <v>5154</v>
      </c>
      <c r="G1316" s="6">
        <v>8</v>
      </c>
      <c r="H1316" s="6">
        <v>4</v>
      </c>
      <c r="I1316" s="6" t="s">
        <v>13</v>
      </c>
      <c r="J1316" s="6" t="str">
        <f>IF(Employee[[#This Row],[Attrition]]="Yes","Resigned","Active")</f>
        <v>Active</v>
      </c>
    </row>
    <row r="1317" spans="1:10" x14ac:dyDescent="0.25">
      <c r="A1317" s="6">
        <v>1847</v>
      </c>
      <c r="B1317" s="6">
        <v>36</v>
      </c>
      <c r="C1317" s="5" t="s">
        <v>11</v>
      </c>
      <c r="D1317" s="5" t="s">
        <v>12</v>
      </c>
      <c r="E1317" s="6">
        <v>2</v>
      </c>
      <c r="F1317" s="6">
        <v>6962</v>
      </c>
      <c r="G1317" s="6">
        <v>1</v>
      </c>
      <c r="H1317" s="6">
        <v>3</v>
      </c>
      <c r="I1317" s="6" t="s">
        <v>13</v>
      </c>
      <c r="J1317" s="6" t="str">
        <f>IF(Employee[[#This Row],[Attrition]]="Yes","Resigned","Active")</f>
        <v>Active</v>
      </c>
    </row>
    <row r="1318" spans="1:10" x14ac:dyDescent="0.25">
      <c r="A1318" s="6">
        <v>1849</v>
      </c>
      <c r="B1318" s="6">
        <v>43</v>
      </c>
      <c r="C1318" s="5" t="s">
        <v>8</v>
      </c>
      <c r="D1318" s="5" t="s">
        <v>9</v>
      </c>
      <c r="E1318" s="6">
        <v>2</v>
      </c>
      <c r="F1318" s="6">
        <v>5675</v>
      </c>
      <c r="G1318" s="6">
        <v>7</v>
      </c>
      <c r="H1318" s="6">
        <v>3</v>
      </c>
      <c r="I1318" s="6" t="s">
        <v>13</v>
      </c>
      <c r="J1318" s="6" t="str">
        <f>IF(Employee[[#This Row],[Attrition]]="Yes","Resigned","Active")</f>
        <v>Active</v>
      </c>
    </row>
    <row r="1319" spans="1:10" x14ac:dyDescent="0.25">
      <c r="A1319" s="6">
        <v>1850</v>
      </c>
      <c r="B1319" s="6">
        <v>27</v>
      </c>
      <c r="C1319" s="5" t="s">
        <v>11</v>
      </c>
      <c r="D1319" s="5" t="s">
        <v>14</v>
      </c>
      <c r="E1319" s="6">
        <v>1</v>
      </c>
      <c r="F1319" s="6">
        <v>2379</v>
      </c>
      <c r="G1319" s="6">
        <v>5</v>
      </c>
      <c r="H1319" s="6">
        <v>2</v>
      </c>
      <c r="I1319" s="6" t="s">
        <v>13</v>
      </c>
      <c r="J1319" s="6" t="str">
        <f>IF(Employee[[#This Row],[Attrition]]="Yes","Resigned","Active")</f>
        <v>Active</v>
      </c>
    </row>
    <row r="1320" spans="1:10" x14ac:dyDescent="0.25">
      <c r="A1320" s="6">
        <v>1852</v>
      </c>
      <c r="B1320" s="6">
        <v>29</v>
      </c>
      <c r="C1320" s="5" t="s">
        <v>11</v>
      </c>
      <c r="D1320" s="5" t="s">
        <v>14</v>
      </c>
      <c r="E1320" s="6">
        <v>1</v>
      </c>
      <c r="F1320" s="6">
        <v>3812</v>
      </c>
      <c r="G1320" s="6">
        <v>11</v>
      </c>
      <c r="H1320" s="6">
        <v>4</v>
      </c>
      <c r="I1320" s="6" t="s">
        <v>13</v>
      </c>
      <c r="J1320" s="6" t="str">
        <f>IF(Employee[[#This Row],[Attrition]]="Yes","Resigned","Active")</f>
        <v>Active</v>
      </c>
    </row>
    <row r="1321" spans="1:10" x14ac:dyDescent="0.25">
      <c r="A1321" s="6">
        <v>1853</v>
      </c>
      <c r="B1321" s="6">
        <v>32</v>
      </c>
      <c r="C1321" s="5" t="s">
        <v>8</v>
      </c>
      <c r="D1321" s="5" t="s">
        <v>9</v>
      </c>
      <c r="E1321" s="6">
        <v>2</v>
      </c>
      <c r="F1321" s="6">
        <v>4648</v>
      </c>
      <c r="G1321" s="6">
        <v>0</v>
      </c>
      <c r="H1321" s="6">
        <v>4</v>
      </c>
      <c r="I1321" s="6" t="s">
        <v>13</v>
      </c>
      <c r="J1321" s="6" t="str">
        <f>IF(Employee[[#This Row],[Attrition]]="Yes","Resigned","Active")</f>
        <v>Active</v>
      </c>
    </row>
    <row r="1322" spans="1:10" x14ac:dyDescent="0.25">
      <c r="A1322" s="6">
        <v>1854</v>
      </c>
      <c r="B1322" s="6">
        <v>42</v>
      </c>
      <c r="C1322" s="5" t="s">
        <v>11</v>
      </c>
      <c r="D1322" s="5" t="s">
        <v>12</v>
      </c>
      <c r="E1322" s="6">
        <v>1</v>
      </c>
      <c r="F1322" s="6">
        <v>2936</v>
      </c>
      <c r="G1322" s="6">
        <v>6</v>
      </c>
      <c r="H1322" s="6">
        <v>2</v>
      </c>
      <c r="I1322" s="6" t="s">
        <v>13</v>
      </c>
      <c r="J1322" s="6" t="str">
        <f>IF(Employee[[#This Row],[Attrition]]="Yes","Resigned","Active")</f>
        <v>Active</v>
      </c>
    </row>
    <row r="1323" spans="1:10" x14ac:dyDescent="0.25">
      <c r="A1323" s="6">
        <v>1856</v>
      </c>
      <c r="B1323" s="6">
        <v>47</v>
      </c>
      <c r="C1323" s="5" t="s">
        <v>11</v>
      </c>
      <c r="D1323" s="5" t="s">
        <v>14</v>
      </c>
      <c r="E1323" s="6">
        <v>1</v>
      </c>
      <c r="F1323" s="6">
        <v>2105</v>
      </c>
      <c r="G1323" s="6">
        <v>2</v>
      </c>
      <c r="H1323" s="6">
        <v>3</v>
      </c>
      <c r="I1323" s="6" t="s">
        <v>13</v>
      </c>
      <c r="J1323" s="6" t="str">
        <f>IF(Employee[[#This Row],[Attrition]]="Yes","Resigned","Active")</f>
        <v>Active</v>
      </c>
    </row>
    <row r="1324" spans="1:10" x14ac:dyDescent="0.25">
      <c r="A1324" s="6">
        <v>1857</v>
      </c>
      <c r="B1324" s="6">
        <v>46</v>
      </c>
      <c r="C1324" s="5" t="s">
        <v>11</v>
      </c>
      <c r="D1324" s="5" t="s">
        <v>15</v>
      </c>
      <c r="E1324" s="6">
        <v>3</v>
      </c>
      <c r="F1324" s="6">
        <v>8578</v>
      </c>
      <c r="G1324" s="6">
        <v>9</v>
      </c>
      <c r="H1324" s="6">
        <v>2</v>
      </c>
      <c r="I1324" s="6" t="s">
        <v>13</v>
      </c>
      <c r="J1324" s="6" t="str">
        <f>IF(Employee[[#This Row],[Attrition]]="Yes","Resigned","Active")</f>
        <v>Active</v>
      </c>
    </row>
    <row r="1325" spans="1:10" x14ac:dyDescent="0.25">
      <c r="A1325" s="6">
        <v>1858</v>
      </c>
      <c r="B1325" s="6">
        <v>28</v>
      </c>
      <c r="C1325" s="5" t="s">
        <v>20</v>
      </c>
      <c r="D1325" s="5" t="s">
        <v>20</v>
      </c>
      <c r="E1325" s="6">
        <v>1</v>
      </c>
      <c r="F1325" s="6">
        <v>2706</v>
      </c>
      <c r="G1325" s="6">
        <v>3</v>
      </c>
      <c r="H1325" s="6">
        <v>3</v>
      </c>
      <c r="I1325" s="6" t="s">
        <v>13</v>
      </c>
      <c r="J1325" s="6" t="str">
        <f>IF(Employee[[#This Row],[Attrition]]="Yes","Resigned","Active")</f>
        <v>Active</v>
      </c>
    </row>
    <row r="1326" spans="1:10" x14ac:dyDescent="0.25">
      <c r="A1326" s="6">
        <v>1859</v>
      </c>
      <c r="B1326" s="6">
        <v>29</v>
      </c>
      <c r="C1326" s="5" t="s">
        <v>11</v>
      </c>
      <c r="D1326" s="5" t="s">
        <v>16</v>
      </c>
      <c r="E1326" s="6">
        <v>2</v>
      </c>
      <c r="F1326" s="6">
        <v>6384</v>
      </c>
      <c r="G1326" s="6">
        <v>7</v>
      </c>
      <c r="H1326" s="6">
        <v>3</v>
      </c>
      <c r="I1326" s="6" t="s">
        <v>13</v>
      </c>
      <c r="J1326" s="6" t="str">
        <f>IF(Employee[[#This Row],[Attrition]]="Yes","Resigned","Active")</f>
        <v>Active</v>
      </c>
    </row>
    <row r="1327" spans="1:10" x14ac:dyDescent="0.25">
      <c r="A1327" s="6">
        <v>1860</v>
      </c>
      <c r="B1327" s="6">
        <v>42</v>
      </c>
      <c r="C1327" s="5" t="s">
        <v>11</v>
      </c>
      <c r="D1327" s="5" t="s">
        <v>14</v>
      </c>
      <c r="E1327" s="6">
        <v>1</v>
      </c>
      <c r="F1327" s="6">
        <v>3968</v>
      </c>
      <c r="G1327" s="6">
        <v>0</v>
      </c>
      <c r="H1327" s="6">
        <v>3</v>
      </c>
      <c r="I1327" s="6" t="s">
        <v>13</v>
      </c>
      <c r="J1327" s="6" t="str">
        <f>IF(Employee[[#This Row],[Attrition]]="Yes","Resigned","Active")</f>
        <v>Active</v>
      </c>
    </row>
    <row r="1328" spans="1:10" x14ac:dyDescent="0.25">
      <c r="A1328" s="6">
        <v>1862</v>
      </c>
      <c r="B1328" s="6">
        <v>32</v>
      </c>
      <c r="C1328" s="5" t="s">
        <v>8</v>
      </c>
      <c r="D1328" s="5" t="s">
        <v>9</v>
      </c>
      <c r="E1328" s="6">
        <v>2</v>
      </c>
      <c r="F1328" s="6">
        <v>9907</v>
      </c>
      <c r="G1328" s="6">
        <v>2</v>
      </c>
      <c r="H1328" s="6">
        <v>2</v>
      </c>
      <c r="I1328" s="6" t="s">
        <v>10</v>
      </c>
      <c r="J1328" s="6" t="str">
        <f>IF(Employee[[#This Row],[Attrition]]="Yes","Resigned","Active")</f>
        <v>Resigned</v>
      </c>
    </row>
    <row r="1329" spans="1:10" x14ac:dyDescent="0.25">
      <c r="A1329" s="6">
        <v>1863</v>
      </c>
      <c r="B1329" s="6">
        <v>46</v>
      </c>
      <c r="C1329" s="5" t="s">
        <v>8</v>
      </c>
      <c r="D1329" s="5" t="s">
        <v>9</v>
      </c>
      <c r="E1329" s="6">
        <v>4</v>
      </c>
      <c r="F1329" s="6">
        <v>13225</v>
      </c>
      <c r="G1329" s="6">
        <v>19</v>
      </c>
      <c r="H1329" s="6">
        <v>3</v>
      </c>
      <c r="I1329" s="6" t="s">
        <v>13</v>
      </c>
      <c r="J1329" s="6" t="str">
        <f>IF(Employee[[#This Row],[Attrition]]="Yes","Resigned","Active")</f>
        <v>Active</v>
      </c>
    </row>
    <row r="1330" spans="1:10" x14ac:dyDescent="0.25">
      <c r="A1330" s="6">
        <v>1864</v>
      </c>
      <c r="B1330" s="6">
        <v>27</v>
      </c>
      <c r="C1330" s="5" t="s">
        <v>8</v>
      </c>
      <c r="D1330" s="5" t="s">
        <v>18</v>
      </c>
      <c r="E1330" s="6">
        <v>2</v>
      </c>
      <c r="F1330" s="6">
        <v>3540</v>
      </c>
      <c r="G1330" s="6">
        <v>9</v>
      </c>
      <c r="H1330" s="6">
        <v>3</v>
      </c>
      <c r="I1330" s="6" t="s">
        <v>13</v>
      </c>
      <c r="J1330" s="6" t="str">
        <f>IF(Employee[[#This Row],[Attrition]]="Yes","Resigned","Active")</f>
        <v>Active</v>
      </c>
    </row>
    <row r="1331" spans="1:10" x14ac:dyDescent="0.25">
      <c r="A1331" s="6">
        <v>1865</v>
      </c>
      <c r="B1331" s="6">
        <v>29</v>
      </c>
      <c r="C1331" s="5" t="s">
        <v>20</v>
      </c>
      <c r="D1331" s="5" t="s">
        <v>20</v>
      </c>
      <c r="E1331" s="6">
        <v>1</v>
      </c>
      <c r="F1331" s="6">
        <v>2804</v>
      </c>
      <c r="G1331" s="6">
        <v>1</v>
      </c>
      <c r="H1331" s="6">
        <v>3</v>
      </c>
      <c r="I1331" s="6" t="s">
        <v>13</v>
      </c>
      <c r="J1331" s="6" t="str">
        <f>IF(Employee[[#This Row],[Attrition]]="Yes","Resigned","Active")</f>
        <v>Active</v>
      </c>
    </row>
    <row r="1332" spans="1:10" x14ac:dyDescent="0.25">
      <c r="A1332" s="6">
        <v>1866</v>
      </c>
      <c r="B1332" s="6">
        <v>43</v>
      </c>
      <c r="C1332" s="5" t="s">
        <v>11</v>
      </c>
      <c r="D1332" s="5" t="s">
        <v>17</v>
      </c>
      <c r="E1332" s="6">
        <v>5</v>
      </c>
      <c r="F1332" s="6">
        <v>19392</v>
      </c>
      <c r="G1332" s="6">
        <v>16</v>
      </c>
      <c r="H1332" s="6">
        <v>3</v>
      </c>
      <c r="I1332" s="6" t="s">
        <v>13</v>
      </c>
      <c r="J1332" s="6" t="str">
        <f>IF(Employee[[#This Row],[Attrition]]="Yes","Resigned","Active")</f>
        <v>Active</v>
      </c>
    </row>
    <row r="1333" spans="1:10" x14ac:dyDescent="0.25">
      <c r="A1333" s="6">
        <v>1867</v>
      </c>
      <c r="B1333" s="6">
        <v>48</v>
      </c>
      <c r="C1333" s="5" t="s">
        <v>11</v>
      </c>
      <c r="D1333" s="5" t="s">
        <v>19</v>
      </c>
      <c r="E1333" s="6">
        <v>5</v>
      </c>
      <c r="F1333" s="6">
        <v>19665</v>
      </c>
      <c r="G1333" s="6">
        <v>22</v>
      </c>
      <c r="H1333" s="6">
        <v>3</v>
      </c>
      <c r="I1333" s="6" t="s">
        <v>13</v>
      </c>
      <c r="J1333" s="6" t="str">
        <f>IF(Employee[[#This Row],[Attrition]]="Yes","Resigned","Active")</f>
        <v>Active</v>
      </c>
    </row>
    <row r="1334" spans="1:10" x14ac:dyDescent="0.25">
      <c r="A1334" s="6">
        <v>1868</v>
      </c>
      <c r="B1334" s="6">
        <v>29</v>
      </c>
      <c r="C1334" s="5" t="s">
        <v>11</v>
      </c>
      <c r="D1334" s="5" t="s">
        <v>12</v>
      </c>
      <c r="E1334" s="6">
        <v>1</v>
      </c>
      <c r="F1334" s="6">
        <v>2439</v>
      </c>
      <c r="G1334" s="6">
        <v>1</v>
      </c>
      <c r="H1334" s="6">
        <v>2</v>
      </c>
      <c r="I1334" s="6" t="s">
        <v>10</v>
      </c>
      <c r="J1334" s="6" t="str">
        <f>IF(Employee[[#This Row],[Attrition]]="Yes","Resigned","Active")</f>
        <v>Resigned</v>
      </c>
    </row>
    <row r="1335" spans="1:10" x14ac:dyDescent="0.25">
      <c r="A1335" s="6">
        <v>1869</v>
      </c>
      <c r="B1335" s="6">
        <v>46</v>
      </c>
      <c r="C1335" s="5" t="s">
        <v>8</v>
      </c>
      <c r="D1335" s="5" t="s">
        <v>9</v>
      </c>
      <c r="E1335" s="6">
        <v>3</v>
      </c>
      <c r="F1335" s="6">
        <v>7314</v>
      </c>
      <c r="G1335" s="6">
        <v>8</v>
      </c>
      <c r="H1335" s="6">
        <v>3</v>
      </c>
      <c r="I1335" s="6" t="s">
        <v>10</v>
      </c>
      <c r="J1335" s="6" t="str">
        <f>IF(Employee[[#This Row],[Attrition]]="Yes","Resigned","Active")</f>
        <v>Resigned</v>
      </c>
    </row>
    <row r="1336" spans="1:10" x14ac:dyDescent="0.25">
      <c r="A1336" s="6">
        <v>1870</v>
      </c>
      <c r="B1336" s="6">
        <v>27</v>
      </c>
      <c r="C1336" s="5" t="s">
        <v>11</v>
      </c>
      <c r="D1336" s="5" t="s">
        <v>12</v>
      </c>
      <c r="E1336" s="6">
        <v>1</v>
      </c>
      <c r="F1336" s="6">
        <v>4774</v>
      </c>
      <c r="G1336" s="6">
        <v>7</v>
      </c>
      <c r="H1336" s="6">
        <v>2</v>
      </c>
      <c r="I1336" s="6" t="s">
        <v>13</v>
      </c>
      <c r="J1336" s="6" t="str">
        <f>IF(Employee[[#This Row],[Attrition]]="Yes","Resigned","Active")</f>
        <v>Active</v>
      </c>
    </row>
    <row r="1337" spans="1:10" x14ac:dyDescent="0.25">
      <c r="A1337" s="6">
        <v>1871</v>
      </c>
      <c r="B1337" s="6">
        <v>39</v>
      </c>
      <c r="C1337" s="5" t="s">
        <v>11</v>
      </c>
      <c r="D1337" s="5" t="s">
        <v>12</v>
      </c>
      <c r="E1337" s="6">
        <v>2</v>
      </c>
      <c r="F1337" s="6">
        <v>3902</v>
      </c>
      <c r="G1337" s="6">
        <v>2</v>
      </c>
      <c r="H1337" s="6">
        <v>3</v>
      </c>
      <c r="I1337" s="6" t="s">
        <v>13</v>
      </c>
      <c r="J1337" s="6" t="str">
        <f>IF(Employee[[#This Row],[Attrition]]="Yes","Resigned","Active")</f>
        <v>Active</v>
      </c>
    </row>
    <row r="1338" spans="1:10" x14ac:dyDescent="0.25">
      <c r="A1338" s="6">
        <v>1873</v>
      </c>
      <c r="B1338" s="6">
        <v>55</v>
      </c>
      <c r="C1338" s="5" t="s">
        <v>11</v>
      </c>
      <c r="D1338" s="5" t="s">
        <v>12</v>
      </c>
      <c r="E1338" s="6">
        <v>1</v>
      </c>
      <c r="F1338" s="6">
        <v>2662</v>
      </c>
      <c r="G1338" s="6">
        <v>5</v>
      </c>
      <c r="H1338" s="6">
        <v>4</v>
      </c>
      <c r="I1338" s="6" t="s">
        <v>13</v>
      </c>
      <c r="J1338" s="6" t="str">
        <f>IF(Employee[[#This Row],[Attrition]]="Yes","Resigned","Active")</f>
        <v>Active</v>
      </c>
    </row>
    <row r="1339" spans="1:10" x14ac:dyDescent="0.25">
      <c r="A1339" s="6">
        <v>1875</v>
      </c>
      <c r="B1339" s="6">
        <v>28</v>
      </c>
      <c r="C1339" s="5" t="s">
        <v>8</v>
      </c>
      <c r="D1339" s="5" t="s">
        <v>18</v>
      </c>
      <c r="E1339" s="6">
        <v>1</v>
      </c>
      <c r="F1339" s="6">
        <v>2856</v>
      </c>
      <c r="G1339" s="6">
        <v>1</v>
      </c>
      <c r="H1339" s="6">
        <v>3</v>
      </c>
      <c r="I1339" s="6" t="s">
        <v>13</v>
      </c>
      <c r="J1339" s="6" t="str">
        <f>IF(Employee[[#This Row],[Attrition]]="Yes","Resigned","Active")</f>
        <v>Active</v>
      </c>
    </row>
    <row r="1340" spans="1:10" x14ac:dyDescent="0.25">
      <c r="A1340" s="6">
        <v>1876</v>
      </c>
      <c r="B1340" s="6">
        <v>30</v>
      </c>
      <c r="C1340" s="5" t="s">
        <v>8</v>
      </c>
      <c r="D1340" s="5" t="s">
        <v>18</v>
      </c>
      <c r="E1340" s="6">
        <v>1</v>
      </c>
      <c r="F1340" s="6">
        <v>1081</v>
      </c>
      <c r="G1340" s="6">
        <v>1</v>
      </c>
      <c r="H1340" s="6">
        <v>2</v>
      </c>
      <c r="I1340" s="6" t="s">
        <v>10</v>
      </c>
      <c r="J1340" s="6" t="str">
        <f>IF(Employee[[#This Row],[Attrition]]="Yes","Resigned","Active")</f>
        <v>Resigned</v>
      </c>
    </row>
    <row r="1341" spans="1:10" x14ac:dyDescent="0.25">
      <c r="A1341" s="6">
        <v>1878</v>
      </c>
      <c r="B1341" s="6">
        <v>22</v>
      </c>
      <c r="C1341" s="5" t="s">
        <v>11</v>
      </c>
      <c r="D1341" s="5" t="s">
        <v>12</v>
      </c>
      <c r="E1341" s="6">
        <v>1</v>
      </c>
      <c r="F1341" s="6">
        <v>2472</v>
      </c>
      <c r="G1341" s="6">
        <v>1</v>
      </c>
      <c r="H1341" s="6">
        <v>3</v>
      </c>
      <c r="I1341" s="6" t="s">
        <v>10</v>
      </c>
      <c r="J1341" s="6" t="str">
        <f>IF(Employee[[#This Row],[Attrition]]="Yes","Resigned","Active")</f>
        <v>Resigned</v>
      </c>
    </row>
    <row r="1342" spans="1:10" x14ac:dyDescent="0.25">
      <c r="A1342" s="6">
        <v>1880</v>
      </c>
      <c r="B1342" s="6">
        <v>36</v>
      </c>
      <c r="C1342" s="5" t="s">
        <v>8</v>
      </c>
      <c r="D1342" s="5" t="s">
        <v>9</v>
      </c>
      <c r="E1342" s="6">
        <v>2</v>
      </c>
      <c r="F1342" s="6">
        <v>5673</v>
      </c>
      <c r="G1342" s="6">
        <v>10</v>
      </c>
      <c r="H1342" s="6">
        <v>3</v>
      </c>
      <c r="I1342" s="6" t="s">
        <v>13</v>
      </c>
      <c r="J1342" s="6" t="str">
        <f>IF(Employee[[#This Row],[Attrition]]="Yes","Resigned","Active")</f>
        <v>Active</v>
      </c>
    </row>
    <row r="1343" spans="1:10" x14ac:dyDescent="0.25">
      <c r="A1343" s="6">
        <v>1881</v>
      </c>
      <c r="B1343" s="6">
        <v>31</v>
      </c>
      <c r="C1343" s="5" t="s">
        <v>11</v>
      </c>
      <c r="D1343" s="5" t="s">
        <v>14</v>
      </c>
      <c r="E1343" s="6">
        <v>2</v>
      </c>
      <c r="F1343" s="6">
        <v>4197</v>
      </c>
      <c r="G1343" s="6">
        <v>10</v>
      </c>
      <c r="H1343" s="6">
        <v>3</v>
      </c>
      <c r="I1343" s="6" t="s">
        <v>13</v>
      </c>
      <c r="J1343" s="6" t="str">
        <f>IF(Employee[[#This Row],[Attrition]]="Yes","Resigned","Active")</f>
        <v>Active</v>
      </c>
    </row>
    <row r="1344" spans="1:10" x14ac:dyDescent="0.25">
      <c r="A1344" s="6">
        <v>1882</v>
      </c>
      <c r="B1344" s="6">
        <v>34</v>
      </c>
      <c r="C1344" s="5" t="s">
        <v>8</v>
      </c>
      <c r="D1344" s="5" t="s">
        <v>9</v>
      </c>
      <c r="E1344" s="6">
        <v>3</v>
      </c>
      <c r="F1344" s="6">
        <v>9713</v>
      </c>
      <c r="G1344" s="6">
        <v>5</v>
      </c>
      <c r="H1344" s="6">
        <v>3</v>
      </c>
      <c r="I1344" s="6" t="s">
        <v>13</v>
      </c>
      <c r="J1344" s="6" t="str">
        <f>IF(Employee[[#This Row],[Attrition]]="Yes","Resigned","Active")</f>
        <v>Active</v>
      </c>
    </row>
    <row r="1345" spans="1:10" x14ac:dyDescent="0.25">
      <c r="A1345" s="6">
        <v>1883</v>
      </c>
      <c r="B1345" s="6">
        <v>29</v>
      </c>
      <c r="C1345" s="5" t="s">
        <v>11</v>
      </c>
      <c r="D1345" s="5" t="s">
        <v>14</v>
      </c>
      <c r="E1345" s="6">
        <v>1</v>
      </c>
      <c r="F1345" s="6">
        <v>2062</v>
      </c>
      <c r="G1345" s="6">
        <v>3</v>
      </c>
      <c r="H1345" s="6">
        <v>3</v>
      </c>
      <c r="I1345" s="6" t="s">
        <v>13</v>
      </c>
      <c r="J1345" s="6" t="str">
        <f>IF(Employee[[#This Row],[Attrition]]="Yes","Resigned","Active")</f>
        <v>Active</v>
      </c>
    </row>
    <row r="1346" spans="1:10" x14ac:dyDescent="0.25">
      <c r="A1346" s="6">
        <v>1885</v>
      </c>
      <c r="B1346" s="6">
        <v>37</v>
      </c>
      <c r="C1346" s="5" t="s">
        <v>11</v>
      </c>
      <c r="D1346" s="5" t="s">
        <v>12</v>
      </c>
      <c r="E1346" s="6">
        <v>2</v>
      </c>
      <c r="F1346" s="6">
        <v>4284</v>
      </c>
      <c r="G1346" s="6">
        <v>5</v>
      </c>
      <c r="H1346" s="6">
        <v>3</v>
      </c>
      <c r="I1346" s="6" t="s">
        <v>13</v>
      </c>
      <c r="J1346" s="6" t="str">
        <f>IF(Employee[[#This Row],[Attrition]]="Yes","Resigned","Active")</f>
        <v>Active</v>
      </c>
    </row>
    <row r="1347" spans="1:10" x14ac:dyDescent="0.25">
      <c r="A1347" s="6">
        <v>1886</v>
      </c>
      <c r="B1347" s="6">
        <v>35</v>
      </c>
      <c r="C1347" s="5" t="s">
        <v>11</v>
      </c>
      <c r="D1347" s="5" t="s">
        <v>15</v>
      </c>
      <c r="E1347" s="6">
        <v>2</v>
      </c>
      <c r="F1347" s="6">
        <v>4788</v>
      </c>
      <c r="G1347" s="6">
        <v>3</v>
      </c>
      <c r="H1347" s="6">
        <v>3</v>
      </c>
      <c r="I1347" s="6" t="s">
        <v>13</v>
      </c>
      <c r="J1347" s="6" t="str">
        <f>IF(Employee[[#This Row],[Attrition]]="Yes","Resigned","Active")</f>
        <v>Active</v>
      </c>
    </row>
    <row r="1348" spans="1:10" x14ac:dyDescent="0.25">
      <c r="A1348" s="6">
        <v>1888</v>
      </c>
      <c r="B1348" s="6">
        <v>45</v>
      </c>
      <c r="C1348" s="5" t="s">
        <v>11</v>
      </c>
      <c r="D1348" s="5" t="s">
        <v>15</v>
      </c>
      <c r="E1348" s="6">
        <v>2</v>
      </c>
      <c r="F1348" s="6">
        <v>5906</v>
      </c>
      <c r="G1348" s="6">
        <v>9</v>
      </c>
      <c r="H1348" s="6">
        <v>2</v>
      </c>
      <c r="I1348" s="6" t="s">
        <v>13</v>
      </c>
      <c r="J1348" s="6" t="str">
        <f>IF(Employee[[#This Row],[Attrition]]="Yes","Resigned","Active")</f>
        <v>Active</v>
      </c>
    </row>
    <row r="1349" spans="1:10" x14ac:dyDescent="0.25">
      <c r="A1349" s="6">
        <v>1890</v>
      </c>
      <c r="B1349" s="6">
        <v>36</v>
      </c>
      <c r="C1349" s="5" t="s">
        <v>20</v>
      </c>
      <c r="D1349" s="5" t="s">
        <v>20</v>
      </c>
      <c r="E1349" s="6">
        <v>2</v>
      </c>
      <c r="F1349" s="6">
        <v>3886</v>
      </c>
      <c r="G1349" s="6">
        <v>10</v>
      </c>
      <c r="H1349" s="6">
        <v>2</v>
      </c>
      <c r="I1349" s="6" t="s">
        <v>13</v>
      </c>
      <c r="J1349" s="6" t="str">
        <f>IF(Employee[[#This Row],[Attrition]]="Yes","Resigned","Active")</f>
        <v>Active</v>
      </c>
    </row>
    <row r="1350" spans="1:10" x14ac:dyDescent="0.25">
      <c r="A1350" s="6">
        <v>1892</v>
      </c>
      <c r="B1350" s="6">
        <v>40</v>
      </c>
      <c r="C1350" s="5" t="s">
        <v>11</v>
      </c>
      <c r="D1350" s="5" t="s">
        <v>17</v>
      </c>
      <c r="E1350" s="6">
        <v>4</v>
      </c>
      <c r="F1350" s="6">
        <v>16823</v>
      </c>
      <c r="G1350" s="6">
        <v>19</v>
      </c>
      <c r="H1350" s="6">
        <v>3</v>
      </c>
      <c r="I1350" s="6" t="s">
        <v>13</v>
      </c>
      <c r="J1350" s="6" t="str">
        <f>IF(Employee[[#This Row],[Attrition]]="Yes","Resigned","Active")</f>
        <v>Active</v>
      </c>
    </row>
    <row r="1351" spans="1:10" x14ac:dyDescent="0.25">
      <c r="A1351" s="6">
        <v>1893</v>
      </c>
      <c r="B1351" s="6">
        <v>26</v>
      </c>
      <c r="C1351" s="5" t="s">
        <v>11</v>
      </c>
      <c r="D1351" s="5" t="s">
        <v>12</v>
      </c>
      <c r="E1351" s="6">
        <v>1</v>
      </c>
      <c r="F1351" s="6">
        <v>2933</v>
      </c>
      <c r="G1351" s="6">
        <v>1</v>
      </c>
      <c r="H1351" s="6">
        <v>2</v>
      </c>
      <c r="I1351" s="6" t="s">
        <v>13</v>
      </c>
      <c r="J1351" s="6" t="str">
        <f>IF(Employee[[#This Row],[Attrition]]="Yes","Resigned","Active")</f>
        <v>Active</v>
      </c>
    </row>
    <row r="1352" spans="1:10" x14ac:dyDescent="0.25">
      <c r="A1352" s="6">
        <v>1898</v>
      </c>
      <c r="B1352" s="6">
        <v>27</v>
      </c>
      <c r="C1352" s="5" t="s">
        <v>8</v>
      </c>
      <c r="D1352" s="5" t="s">
        <v>9</v>
      </c>
      <c r="E1352" s="6">
        <v>2</v>
      </c>
      <c r="F1352" s="6">
        <v>6500</v>
      </c>
      <c r="G1352" s="6">
        <v>8</v>
      </c>
      <c r="H1352" s="6">
        <v>2</v>
      </c>
      <c r="I1352" s="6" t="s">
        <v>13</v>
      </c>
      <c r="J1352" s="6" t="str">
        <f>IF(Employee[[#This Row],[Attrition]]="Yes","Resigned","Active")</f>
        <v>Active</v>
      </c>
    </row>
    <row r="1353" spans="1:10" x14ac:dyDescent="0.25">
      <c r="A1353" s="6">
        <v>1900</v>
      </c>
      <c r="B1353" s="6">
        <v>48</v>
      </c>
      <c r="C1353" s="5" t="s">
        <v>11</v>
      </c>
      <c r="D1353" s="5" t="s">
        <v>17</v>
      </c>
      <c r="E1353" s="6">
        <v>4</v>
      </c>
      <c r="F1353" s="6">
        <v>17174</v>
      </c>
      <c r="G1353" s="6">
        <v>22</v>
      </c>
      <c r="H1353" s="6">
        <v>3</v>
      </c>
      <c r="I1353" s="6" t="s">
        <v>13</v>
      </c>
      <c r="J1353" s="6" t="str">
        <f>IF(Employee[[#This Row],[Attrition]]="Yes","Resigned","Active")</f>
        <v>Active</v>
      </c>
    </row>
    <row r="1354" spans="1:10" x14ac:dyDescent="0.25">
      <c r="A1354" s="6">
        <v>1903</v>
      </c>
      <c r="B1354" s="6">
        <v>44</v>
      </c>
      <c r="C1354" s="5" t="s">
        <v>11</v>
      </c>
      <c r="D1354" s="5" t="s">
        <v>16</v>
      </c>
      <c r="E1354" s="6">
        <v>2</v>
      </c>
      <c r="F1354" s="6">
        <v>5033</v>
      </c>
      <c r="G1354" s="6">
        <v>2</v>
      </c>
      <c r="H1354" s="6">
        <v>3</v>
      </c>
      <c r="I1354" s="6" t="s">
        <v>13</v>
      </c>
      <c r="J1354" s="6" t="str">
        <f>IF(Employee[[#This Row],[Attrition]]="Yes","Resigned","Active")</f>
        <v>Active</v>
      </c>
    </row>
    <row r="1355" spans="1:10" x14ac:dyDescent="0.25">
      <c r="A1355" s="6">
        <v>1905</v>
      </c>
      <c r="B1355" s="6">
        <v>34</v>
      </c>
      <c r="C1355" s="5" t="s">
        <v>11</v>
      </c>
      <c r="D1355" s="5" t="s">
        <v>12</v>
      </c>
      <c r="E1355" s="6">
        <v>1</v>
      </c>
      <c r="F1355" s="6">
        <v>2307</v>
      </c>
      <c r="G1355" s="6">
        <v>5</v>
      </c>
      <c r="H1355" s="6">
        <v>3</v>
      </c>
      <c r="I1355" s="6" t="s">
        <v>10</v>
      </c>
      <c r="J1355" s="6" t="str">
        <f>IF(Employee[[#This Row],[Attrition]]="Yes","Resigned","Active")</f>
        <v>Resigned</v>
      </c>
    </row>
    <row r="1356" spans="1:10" x14ac:dyDescent="0.25">
      <c r="A1356" s="6">
        <v>1907</v>
      </c>
      <c r="B1356" s="6">
        <v>56</v>
      </c>
      <c r="C1356" s="5" t="s">
        <v>11</v>
      </c>
      <c r="D1356" s="5" t="s">
        <v>14</v>
      </c>
      <c r="E1356" s="6">
        <v>1</v>
      </c>
      <c r="F1356" s="6">
        <v>2587</v>
      </c>
      <c r="G1356" s="6">
        <v>4</v>
      </c>
      <c r="H1356" s="6">
        <v>3</v>
      </c>
      <c r="I1356" s="6" t="s">
        <v>10</v>
      </c>
      <c r="J1356" s="6" t="str">
        <f>IF(Employee[[#This Row],[Attrition]]="Yes","Resigned","Active")</f>
        <v>Resigned</v>
      </c>
    </row>
    <row r="1357" spans="1:10" x14ac:dyDescent="0.25">
      <c r="A1357" s="6">
        <v>1908</v>
      </c>
      <c r="B1357" s="6">
        <v>36</v>
      </c>
      <c r="C1357" s="5" t="s">
        <v>8</v>
      </c>
      <c r="D1357" s="5" t="s">
        <v>9</v>
      </c>
      <c r="E1357" s="6">
        <v>2</v>
      </c>
      <c r="F1357" s="6">
        <v>5507</v>
      </c>
      <c r="G1357" s="6">
        <v>4</v>
      </c>
      <c r="H1357" s="6">
        <v>1</v>
      </c>
      <c r="I1357" s="6" t="s">
        <v>13</v>
      </c>
      <c r="J1357" s="6" t="str">
        <f>IF(Employee[[#This Row],[Attrition]]="Yes","Resigned","Active")</f>
        <v>Active</v>
      </c>
    </row>
    <row r="1358" spans="1:10" x14ac:dyDescent="0.25">
      <c r="A1358" s="6">
        <v>1909</v>
      </c>
      <c r="B1358" s="6">
        <v>41</v>
      </c>
      <c r="C1358" s="5" t="s">
        <v>8</v>
      </c>
      <c r="D1358" s="5" t="s">
        <v>9</v>
      </c>
      <c r="E1358" s="6">
        <v>2</v>
      </c>
      <c r="F1358" s="6">
        <v>4393</v>
      </c>
      <c r="G1358" s="6">
        <v>5</v>
      </c>
      <c r="H1358" s="6">
        <v>3</v>
      </c>
      <c r="I1358" s="6" t="s">
        <v>13</v>
      </c>
      <c r="J1358" s="6" t="str">
        <f>IF(Employee[[#This Row],[Attrition]]="Yes","Resigned","Active")</f>
        <v>Active</v>
      </c>
    </row>
    <row r="1359" spans="1:10" x14ac:dyDescent="0.25">
      <c r="A1359" s="6">
        <v>1911</v>
      </c>
      <c r="B1359" s="6">
        <v>42</v>
      </c>
      <c r="C1359" s="5" t="s">
        <v>11</v>
      </c>
      <c r="D1359" s="5" t="s">
        <v>19</v>
      </c>
      <c r="E1359" s="6">
        <v>3</v>
      </c>
      <c r="F1359" s="6">
        <v>13348</v>
      </c>
      <c r="G1359" s="6">
        <v>13</v>
      </c>
      <c r="H1359" s="6">
        <v>4</v>
      </c>
      <c r="I1359" s="6" t="s">
        <v>13</v>
      </c>
      <c r="J1359" s="6" t="str">
        <f>IF(Employee[[#This Row],[Attrition]]="Yes","Resigned","Active")</f>
        <v>Active</v>
      </c>
    </row>
    <row r="1360" spans="1:10" x14ac:dyDescent="0.25">
      <c r="A1360" s="6">
        <v>1912</v>
      </c>
      <c r="B1360" s="6">
        <v>31</v>
      </c>
      <c r="C1360" s="5" t="s">
        <v>8</v>
      </c>
      <c r="D1360" s="5" t="s">
        <v>9</v>
      </c>
      <c r="E1360" s="6">
        <v>2</v>
      </c>
      <c r="F1360" s="6">
        <v>6583</v>
      </c>
      <c r="G1360" s="6">
        <v>5</v>
      </c>
      <c r="H1360" s="6">
        <v>3</v>
      </c>
      <c r="I1360" s="6" t="s">
        <v>13</v>
      </c>
      <c r="J1360" s="6" t="str">
        <f>IF(Employee[[#This Row],[Attrition]]="Yes","Resigned","Active")</f>
        <v>Active</v>
      </c>
    </row>
    <row r="1361" spans="1:10" x14ac:dyDescent="0.25">
      <c r="A1361" s="6">
        <v>1915</v>
      </c>
      <c r="B1361" s="6">
        <v>34</v>
      </c>
      <c r="C1361" s="5" t="s">
        <v>8</v>
      </c>
      <c r="D1361" s="5" t="s">
        <v>9</v>
      </c>
      <c r="E1361" s="6">
        <v>2</v>
      </c>
      <c r="F1361" s="6">
        <v>8103</v>
      </c>
      <c r="G1361" s="6">
        <v>4</v>
      </c>
      <c r="H1361" s="6">
        <v>2</v>
      </c>
      <c r="I1361" s="6" t="s">
        <v>13</v>
      </c>
      <c r="J1361" s="6" t="str">
        <f>IF(Employee[[#This Row],[Attrition]]="Yes","Resigned","Active")</f>
        <v>Active</v>
      </c>
    </row>
    <row r="1362" spans="1:10" x14ac:dyDescent="0.25">
      <c r="A1362" s="6">
        <v>1916</v>
      </c>
      <c r="B1362" s="6">
        <v>31</v>
      </c>
      <c r="C1362" s="5" t="s">
        <v>11</v>
      </c>
      <c r="D1362" s="5" t="s">
        <v>14</v>
      </c>
      <c r="E1362" s="6">
        <v>1</v>
      </c>
      <c r="F1362" s="6">
        <v>3978</v>
      </c>
      <c r="G1362" s="6">
        <v>2</v>
      </c>
      <c r="H1362" s="6">
        <v>2</v>
      </c>
      <c r="I1362" s="6" t="s">
        <v>13</v>
      </c>
      <c r="J1362" s="6" t="str">
        <f>IF(Employee[[#This Row],[Attrition]]="Yes","Resigned","Active")</f>
        <v>Active</v>
      </c>
    </row>
    <row r="1363" spans="1:10" x14ac:dyDescent="0.25">
      <c r="A1363" s="6">
        <v>1918</v>
      </c>
      <c r="B1363" s="6">
        <v>26</v>
      </c>
      <c r="C1363" s="5" t="s">
        <v>11</v>
      </c>
      <c r="D1363" s="5" t="s">
        <v>14</v>
      </c>
      <c r="E1363" s="6">
        <v>1</v>
      </c>
      <c r="F1363" s="6">
        <v>2544</v>
      </c>
      <c r="G1363" s="6">
        <v>7</v>
      </c>
      <c r="H1363" s="6">
        <v>3</v>
      </c>
      <c r="I1363" s="6" t="s">
        <v>13</v>
      </c>
      <c r="J1363" s="6" t="str">
        <f>IF(Employee[[#This Row],[Attrition]]="Yes","Resigned","Active")</f>
        <v>Active</v>
      </c>
    </row>
    <row r="1364" spans="1:10" x14ac:dyDescent="0.25">
      <c r="A1364" s="6">
        <v>1922</v>
      </c>
      <c r="B1364" s="6">
        <v>45</v>
      </c>
      <c r="C1364" s="5" t="s">
        <v>11</v>
      </c>
      <c r="D1364" s="5" t="s">
        <v>16</v>
      </c>
      <c r="E1364" s="6">
        <v>2</v>
      </c>
      <c r="F1364" s="6">
        <v>5399</v>
      </c>
      <c r="G1364" s="6">
        <v>4</v>
      </c>
      <c r="H1364" s="6">
        <v>3</v>
      </c>
      <c r="I1364" s="6" t="s">
        <v>13</v>
      </c>
      <c r="J1364" s="6" t="str">
        <f>IF(Employee[[#This Row],[Attrition]]="Yes","Resigned","Active")</f>
        <v>Active</v>
      </c>
    </row>
    <row r="1365" spans="1:10" x14ac:dyDescent="0.25">
      <c r="A1365" s="6">
        <v>1924</v>
      </c>
      <c r="B1365" s="6">
        <v>33</v>
      </c>
      <c r="C1365" s="5" t="s">
        <v>8</v>
      </c>
      <c r="D1365" s="5" t="s">
        <v>9</v>
      </c>
      <c r="E1365" s="6">
        <v>2</v>
      </c>
      <c r="F1365" s="6">
        <v>5487</v>
      </c>
      <c r="G1365" s="6">
        <v>10</v>
      </c>
      <c r="H1365" s="6">
        <v>2</v>
      </c>
      <c r="I1365" s="6" t="s">
        <v>13</v>
      </c>
      <c r="J1365" s="6" t="str">
        <f>IF(Employee[[#This Row],[Attrition]]="Yes","Resigned","Active")</f>
        <v>Active</v>
      </c>
    </row>
    <row r="1366" spans="1:10" x14ac:dyDescent="0.25">
      <c r="A1366" s="6">
        <v>1927</v>
      </c>
      <c r="B1366" s="6">
        <v>28</v>
      </c>
      <c r="C1366" s="5" t="s">
        <v>8</v>
      </c>
      <c r="D1366" s="5" t="s">
        <v>9</v>
      </c>
      <c r="E1366" s="6">
        <v>2</v>
      </c>
      <c r="F1366" s="6">
        <v>6834</v>
      </c>
      <c r="G1366" s="6">
        <v>7</v>
      </c>
      <c r="H1366" s="6">
        <v>3</v>
      </c>
      <c r="I1366" s="6" t="s">
        <v>13</v>
      </c>
      <c r="J1366" s="6" t="str">
        <f>IF(Employee[[#This Row],[Attrition]]="Yes","Resigned","Active")</f>
        <v>Active</v>
      </c>
    </row>
    <row r="1367" spans="1:10" x14ac:dyDescent="0.25">
      <c r="A1367" s="6">
        <v>1928</v>
      </c>
      <c r="B1367" s="6">
        <v>29</v>
      </c>
      <c r="C1367" s="5" t="s">
        <v>8</v>
      </c>
      <c r="D1367" s="5" t="s">
        <v>18</v>
      </c>
      <c r="E1367" s="6">
        <v>1</v>
      </c>
      <c r="F1367" s="6">
        <v>1091</v>
      </c>
      <c r="G1367" s="6">
        <v>1</v>
      </c>
      <c r="H1367" s="6">
        <v>3</v>
      </c>
      <c r="I1367" s="6" t="s">
        <v>10</v>
      </c>
      <c r="J1367" s="6" t="str">
        <f>IF(Employee[[#This Row],[Attrition]]="Yes","Resigned","Active")</f>
        <v>Resigned</v>
      </c>
    </row>
    <row r="1368" spans="1:10" x14ac:dyDescent="0.25">
      <c r="A1368" s="6">
        <v>1929</v>
      </c>
      <c r="B1368" s="6">
        <v>39</v>
      </c>
      <c r="C1368" s="5" t="s">
        <v>8</v>
      </c>
      <c r="D1368" s="5" t="s">
        <v>9</v>
      </c>
      <c r="E1368" s="6">
        <v>2</v>
      </c>
      <c r="F1368" s="6">
        <v>5736</v>
      </c>
      <c r="G1368" s="6">
        <v>3</v>
      </c>
      <c r="H1368" s="6">
        <v>3</v>
      </c>
      <c r="I1368" s="6" t="s">
        <v>13</v>
      </c>
      <c r="J1368" s="6" t="str">
        <f>IF(Employee[[#This Row],[Attrition]]="Yes","Resigned","Active")</f>
        <v>Active</v>
      </c>
    </row>
    <row r="1369" spans="1:10" x14ac:dyDescent="0.25">
      <c r="A1369" s="6">
        <v>1931</v>
      </c>
      <c r="B1369" s="6">
        <v>27</v>
      </c>
      <c r="C1369" s="5" t="s">
        <v>11</v>
      </c>
      <c r="D1369" s="5" t="s">
        <v>12</v>
      </c>
      <c r="E1369" s="6">
        <v>1</v>
      </c>
      <c r="F1369" s="6">
        <v>2226</v>
      </c>
      <c r="G1369" s="6">
        <v>5</v>
      </c>
      <c r="H1369" s="6">
        <v>2</v>
      </c>
      <c r="I1369" s="6" t="s">
        <v>13</v>
      </c>
      <c r="J1369" s="6" t="str">
        <f>IF(Employee[[#This Row],[Attrition]]="Yes","Resigned","Active")</f>
        <v>Active</v>
      </c>
    </row>
    <row r="1370" spans="1:10" x14ac:dyDescent="0.25">
      <c r="A1370" s="6">
        <v>1932</v>
      </c>
      <c r="B1370" s="6">
        <v>34</v>
      </c>
      <c r="C1370" s="5" t="s">
        <v>11</v>
      </c>
      <c r="D1370" s="5" t="s">
        <v>12</v>
      </c>
      <c r="E1370" s="6">
        <v>2</v>
      </c>
      <c r="F1370" s="6">
        <v>5747</v>
      </c>
      <c r="G1370" s="6">
        <v>15</v>
      </c>
      <c r="H1370" s="6">
        <v>3</v>
      </c>
      <c r="I1370" s="6" t="s">
        <v>13</v>
      </c>
      <c r="J1370" s="6" t="str">
        <f>IF(Employee[[#This Row],[Attrition]]="Yes","Resigned","Active")</f>
        <v>Active</v>
      </c>
    </row>
    <row r="1371" spans="1:10" x14ac:dyDescent="0.25">
      <c r="A1371" s="6">
        <v>1933</v>
      </c>
      <c r="B1371" s="6">
        <v>28</v>
      </c>
      <c r="C1371" s="5" t="s">
        <v>8</v>
      </c>
      <c r="D1371" s="5" t="s">
        <v>9</v>
      </c>
      <c r="E1371" s="6">
        <v>2</v>
      </c>
      <c r="F1371" s="6">
        <v>9854</v>
      </c>
      <c r="G1371" s="6">
        <v>2</v>
      </c>
      <c r="H1371" s="6">
        <v>3</v>
      </c>
      <c r="I1371" s="6" t="s">
        <v>10</v>
      </c>
      <c r="J1371" s="6" t="str">
        <f>IF(Employee[[#This Row],[Attrition]]="Yes","Resigned","Active")</f>
        <v>Resigned</v>
      </c>
    </row>
    <row r="1372" spans="1:10" x14ac:dyDescent="0.25">
      <c r="A1372" s="6">
        <v>1934</v>
      </c>
      <c r="B1372" s="6">
        <v>47</v>
      </c>
      <c r="C1372" s="5" t="s">
        <v>11</v>
      </c>
      <c r="D1372" s="5" t="s">
        <v>12</v>
      </c>
      <c r="E1372" s="6">
        <v>2</v>
      </c>
      <c r="F1372" s="6">
        <v>5467</v>
      </c>
      <c r="G1372" s="6">
        <v>8</v>
      </c>
      <c r="H1372" s="6">
        <v>4</v>
      </c>
      <c r="I1372" s="6" t="s">
        <v>13</v>
      </c>
      <c r="J1372" s="6" t="str">
        <f>IF(Employee[[#This Row],[Attrition]]="Yes","Resigned","Active")</f>
        <v>Active</v>
      </c>
    </row>
    <row r="1373" spans="1:10" x14ac:dyDescent="0.25">
      <c r="A1373" s="6">
        <v>1935</v>
      </c>
      <c r="B1373" s="6">
        <v>56</v>
      </c>
      <c r="C1373" s="5" t="s">
        <v>8</v>
      </c>
      <c r="D1373" s="5" t="s">
        <v>9</v>
      </c>
      <c r="E1373" s="6">
        <v>2</v>
      </c>
      <c r="F1373" s="6">
        <v>5380</v>
      </c>
      <c r="G1373" s="6">
        <v>0</v>
      </c>
      <c r="H1373" s="6">
        <v>3</v>
      </c>
      <c r="I1373" s="6" t="s">
        <v>13</v>
      </c>
      <c r="J1373" s="6" t="str">
        <f>IF(Employee[[#This Row],[Attrition]]="Yes","Resigned","Active")</f>
        <v>Active</v>
      </c>
    </row>
    <row r="1374" spans="1:10" x14ac:dyDescent="0.25">
      <c r="A1374" s="6">
        <v>1936</v>
      </c>
      <c r="B1374" s="6">
        <v>39</v>
      </c>
      <c r="C1374" s="5" t="s">
        <v>11</v>
      </c>
      <c r="D1374" s="5" t="s">
        <v>15</v>
      </c>
      <c r="E1374" s="6">
        <v>2</v>
      </c>
      <c r="F1374" s="6">
        <v>5151</v>
      </c>
      <c r="G1374" s="6">
        <v>10</v>
      </c>
      <c r="H1374" s="6">
        <v>3</v>
      </c>
      <c r="I1374" s="6" t="s">
        <v>13</v>
      </c>
      <c r="J1374" s="6" t="str">
        <f>IF(Employee[[#This Row],[Attrition]]="Yes","Resigned","Active")</f>
        <v>Active</v>
      </c>
    </row>
    <row r="1375" spans="1:10" x14ac:dyDescent="0.25">
      <c r="A1375" s="6">
        <v>1937</v>
      </c>
      <c r="B1375" s="6">
        <v>38</v>
      </c>
      <c r="C1375" s="5" t="s">
        <v>11</v>
      </c>
      <c r="D1375" s="5" t="s">
        <v>12</v>
      </c>
      <c r="E1375" s="6">
        <v>2</v>
      </c>
      <c r="F1375" s="6">
        <v>2133</v>
      </c>
      <c r="G1375" s="6">
        <v>20</v>
      </c>
      <c r="H1375" s="6">
        <v>3</v>
      </c>
      <c r="I1375" s="6" t="s">
        <v>13</v>
      </c>
      <c r="J1375" s="6" t="str">
        <f>IF(Employee[[#This Row],[Attrition]]="Yes","Resigned","Active")</f>
        <v>Active</v>
      </c>
    </row>
    <row r="1376" spans="1:10" x14ac:dyDescent="0.25">
      <c r="A1376" s="6">
        <v>1938</v>
      </c>
      <c r="B1376" s="6">
        <v>58</v>
      </c>
      <c r="C1376" s="5" t="s">
        <v>8</v>
      </c>
      <c r="D1376" s="5" t="s">
        <v>17</v>
      </c>
      <c r="E1376" s="6">
        <v>4</v>
      </c>
      <c r="F1376" s="6">
        <v>17875</v>
      </c>
      <c r="G1376" s="6">
        <v>1</v>
      </c>
      <c r="H1376" s="6">
        <v>2</v>
      </c>
      <c r="I1376" s="6" t="s">
        <v>13</v>
      </c>
      <c r="J1376" s="6" t="str">
        <f>IF(Employee[[#This Row],[Attrition]]="Yes","Resigned","Active")</f>
        <v>Active</v>
      </c>
    </row>
    <row r="1377" spans="1:10" x14ac:dyDescent="0.25">
      <c r="A1377" s="6">
        <v>1939</v>
      </c>
      <c r="B1377" s="6">
        <v>32</v>
      </c>
      <c r="C1377" s="5" t="s">
        <v>11</v>
      </c>
      <c r="D1377" s="5" t="s">
        <v>12</v>
      </c>
      <c r="E1377" s="6">
        <v>1</v>
      </c>
      <c r="F1377" s="6">
        <v>2432</v>
      </c>
      <c r="G1377" s="6">
        <v>4</v>
      </c>
      <c r="H1377" s="6">
        <v>3</v>
      </c>
      <c r="I1377" s="6" t="s">
        <v>10</v>
      </c>
      <c r="J1377" s="6" t="str">
        <f>IF(Employee[[#This Row],[Attrition]]="Yes","Resigned","Active")</f>
        <v>Resigned</v>
      </c>
    </row>
    <row r="1378" spans="1:10" x14ac:dyDescent="0.25">
      <c r="A1378" s="6">
        <v>1940</v>
      </c>
      <c r="B1378" s="6">
        <v>38</v>
      </c>
      <c r="C1378" s="5" t="s">
        <v>11</v>
      </c>
      <c r="D1378" s="5" t="s">
        <v>12</v>
      </c>
      <c r="E1378" s="6">
        <v>1</v>
      </c>
      <c r="F1378" s="6">
        <v>4771</v>
      </c>
      <c r="G1378" s="6">
        <v>5</v>
      </c>
      <c r="H1378" s="6">
        <v>4</v>
      </c>
      <c r="I1378" s="6" t="s">
        <v>13</v>
      </c>
      <c r="J1378" s="6" t="str">
        <f>IF(Employee[[#This Row],[Attrition]]="Yes","Resigned","Active")</f>
        <v>Active</v>
      </c>
    </row>
    <row r="1379" spans="1:10" x14ac:dyDescent="0.25">
      <c r="A1379" s="6">
        <v>1941</v>
      </c>
      <c r="B1379" s="6">
        <v>49</v>
      </c>
      <c r="C1379" s="5" t="s">
        <v>11</v>
      </c>
      <c r="D1379" s="5" t="s">
        <v>19</v>
      </c>
      <c r="E1379" s="6">
        <v>5</v>
      </c>
      <c r="F1379" s="6">
        <v>19161</v>
      </c>
      <c r="G1379" s="6">
        <v>5</v>
      </c>
      <c r="H1379" s="6">
        <v>3</v>
      </c>
      <c r="I1379" s="6" t="s">
        <v>13</v>
      </c>
      <c r="J1379" s="6" t="str">
        <f>IF(Employee[[#This Row],[Attrition]]="Yes","Resigned","Active")</f>
        <v>Active</v>
      </c>
    </row>
    <row r="1380" spans="1:10" x14ac:dyDescent="0.25">
      <c r="A1380" s="6">
        <v>1943</v>
      </c>
      <c r="B1380" s="6">
        <v>42</v>
      </c>
      <c r="C1380" s="5" t="s">
        <v>8</v>
      </c>
      <c r="D1380" s="5" t="s">
        <v>9</v>
      </c>
      <c r="E1380" s="6">
        <v>2</v>
      </c>
      <c r="F1380" s="6">
        <v>5087</v>
      </c>
      <c r="G1380" s="6">
        <v>0</v>
      </c>
      <c r="H1380" s="6">
        <v>3</v>
      </c>
      <c r="I1380" s="6" t="s">
        <v>13</v>
      </c>
      <c r="J1380" s="6" t="str">
        <f>IF(Employee[[#This Row],[Attrition]]="Yes","Resigned","Active")</f>
        <v>Active</v>
      </c>
    </row>
    <row r="1381" spans="1:10" x14ac:dyDescent="0.25">
      <c r="A1381" s="6">
        <v>1944</v>
      </c>
      <c r="B1381" s="6">
        <v>27</v>
      </c>
      <c r="C1381" s="5" t="s">
        <v>20</v>
      </c>
      <c r="D1381" s="5" t="s">
        <v>20</v>
      </c>
      <c r="E1381" s="6">
        <v>1</v>
      </c>
      <c r="F1381" s="6">
        <v>2863</v>
      </c>
      <c r="G1381" s="6">
        <v>1</v>
      </c>
      <c r="H1381" s="6">
        <v>3</v>
      </c>
      <c r="I1381" s="6" t="s">
        <v>10</v>
      </c>
      <c r="J1381" s="6" t="str">
        <f>IF(Employee[[#This Row],[Attrition]]="Yes","Resigned","Active")</f>
        <v>Resigned</v>
      </c>
    </row>
    <row r="1382" spans="1:10" x14ac:dyDescent="0.25">
      <c r="A1382" s="6">
        <v>1945</v>
      </c>
      <c r="B1382" s="6">
        <v>35</v>
      </c>
      <c r="C1382" s="5" t="s">
        <v>8</v>
      </c>
      <c r="D1382" s="5" t="s">
        <v>9</v>
      </c>
      <c r="E1382" s="6">
        <v>2</v>
      </c>
      <c r="F1382" s="6">
        <v>5561</v>
      </c>
      <c r="G1382" s="6">
        <v>5</v>
      </c>
      <c r="H1382" s="6">
        <v>1</v>
      </c>
      <c r="I1382" s="6" t="s">
        <v>13</v>
      </c>
      <c r="J1382" s="6" t="str">
        <f>IF(Employee[[#This Row],[Attrition]]="Yes","Resigned","Active")</f>
        <v>Active</v>
      </c>
    </row>
    <row r="1383" spans="1:10" x14ac:dyDescent="0.25">
      <c r="A1383" s="6">
        <v>1947</v>
      </c>
      <c r="B1383" s="6">
        <v>28</v>
      </c>
      <c r="C1383" s="5" t="s">
        <v>11</v>
      </c>
      <c r="D1383" s="5" t="s">
        <v>12</v>
      </c>
      <c r="E1383" s="6">
        <v>1</v>
      </c>
      <c r="F1383" s="6">
        <v>2144</v>
      </c>
      <c r="G1383" s="6">
        <v>5</v>
      </c>
      <c r="H1383" s="6">
        <v>2</v>
      </c>
      <c r="I1383" s="6" t="s">
        <v>13</v>
      </c>
      <c r="J1383" s="6" t="str">
        <f>IF(Employee[[#This Row],[Attrition]]="Yes","Resigned","Active")</f>
        <v>Active</v>
      </c>
    </row>
    <row r="1384" spans="1:10" x14ac:dyDescent="0.25">
      <c r="A1384" s="6">
        <v>1948</v>
      </c>
      <c r="B1384" s="6">
        <v>31</v>
      </c>
      <c r="C1384" s="5" t="s">
        <v>11</v>
      </c>
      <c r="D1384" s="5" t="s">
        <v>12</v>
      </c>
      <c r="E1384" s="6">
        <v>1</v>
      </c>
      <c r="F1384" s="6">
        <v>3065</v>
      </c>
      <c r="G1384" s="6">
        <v>4</v>
      </c>
      <c r="H1384" s="6">
        <v>4</v>
      </c>
      <c r="I1384" s="6" t="s">
        <v>13</v>
      </c>
      <c r="J1384" s="6" t="str">
        <f>IF(Employee[[#This Row],[Attrition]]="Yes","Resigned","Active")</f>
        <v>Active</v>
      </c>
    </row>
    <row r="1385" spans="1:10" x14ac:dyDescent="0.25">
      <c r="A1385" s="6">
        <v>1949</v>
      </c>
      <c r="B1385" s="6">
        <v>36</v>
      </c>
      <c r="C1385" s="5" t="s">
        <v>11</v>
      </c>
      <c r="D1385" s="5" t="s">
        <v>14</v>
      </c>
      <c r="E1385" s="6">
        <v>1</v>
      </c>
      <c r="F1385" s="6">
        <v>2810</v>
      </c>
      <c r="G1385" s="6">
        <v>5</v>
      </c>
      <c r="H1385" s="6">
        <v>3</v>
      </c>
      <c r="I1385" s="6" t="s">
        <v>13</v>
      </c>
      <c r="J1385" s="6" t="str">
        <f>IF(Employee[[#This Row],[Attrition]]="Yes","Resigned","Active")</f>
        <v>Active</v>
      </c>
    </row>
    <row r="1386" spans="1:10" x14ac:dyDescent="0.25">
      <c r="A1386" s="6">
        <v>1950</v>
      </c>
      <c r="B1386" s="6">
        <v>34</v>
      </c>
      <c r="C1386" s="5" t="s">
        <v>8</v>
      </c>
      <c r="D1386" s="5" t="s">
        <v>9</v>
      </c>
      <c r="E1386" s="6">
        <v>3</v>
      </c>
      <c r="F1386" s="6">
        <v>9888</v>
      </c>
      <c r="G1386" s="6">
        <v>14</v>
      </c>
      <c r="H1386" s="6">
        <v>2</v>
      </c>
      <c r="I1386" s="6" t="s">
        <v>13</v>
      </c>
      <c r="J1386" s="6" t="str">
        <f>IF(Employee[[#This Row],[Attrition]]="Yes","Resigned","Active")</f>
        <v>Active</v>
      </c>
    </row>
    <row r="1387" spans="1:10" x14ac:dyDescent="0.25">
      <c r="A1387" s="6">
        <v>1951</v>
      </c>
      <c r="B1387" s="6">
        <v>34</v>
      </c>
      <c r="C1387" s="5" t="s">
        <v>8</v>
      </c>
      <c r="D1387" s="5" t="s">
        <v>9</v>
      </c>
      <c r="E1387" s="6">
        <v>3</v>
      </c>
      <c r="F1387" s="6">
        <v>8628</v>
      </c>
      <c r="G1387" s="6">
        <v>8</v>
      </c>
      <c r="H1387" s="6">
        <v>2</v>
      </c>
      <c r="I1387" s="6" t="s">
        <v>13</v>
      </c>
      <c r="J1387" s="6" t="str">
        <f>IF(Employee[[#This Row],[Attrition]]="Yes","Resigned","Active")</f>
        <v>Active</v>
      </c>
    </row>
    <row r="1388" spans="1:10" x14ac:dyDescent="0.25">
      <c r="A1388" s="6">
        <v>1952</v>
      </c>
      <c r="B1388" s="6">
        <v>26</v>
      </c>
      <c r="C1388" s="5" t="s">
        <v>11</v>
      </c>
      <c r="D1388" s="5" t="s">
        <v>14</v>
      </c>
      <c r="E1388" s="6">
        <v>1</v>
      </c>
      <c r="F1388" s="6">
        <v>2867</v>
      </c>
      <c r="G1388" s="6">
        <v>7</v>
      </c>
      <c r="H1388" s="6">
        <v>2</v>
      </c>
      <c r="I1388" s="6" t="s">
        <v>13</v>
      </c>
      <c r="J1388" s="6" t="str">
        <f>IF(Employee[[#This Row],[Attrition]]="Yes","Resigned","Active")</f>
        <v>Active</v>
      </c>
    </row>
    <row r="1389" spans="1:10" x14ac:dyDescent="0.25">
      <c r="A1389" s="6">
        <v>1954</v>
      </c>
      <c r="B1389" s="6">
        <v>29</v>
      </c>
      <c r="C1389" s="5" t="s">
        <v>11</v>
      </c>
      <c r="D1389" s="5" t="s">
        <v>16</v>
      </c>
      <c r="E1389" s="6">
        <v>2</v>
      </c>
      <c r="F1389" s="6">
        <v>5373</v>
      </c>
      <c r="G1389" s="6">
        <v>5</v>
      </c>
      <c r="H1389" s="6">
        <v>2</v>
      </c>
      <c r="I1389" s="6" t="s">
        <v>13</v>
      </c>
      <c r="J1389" s="6" t="str">
        <f>IF(Employee[[#This Row],[Attrition]]="Yes","Resigned","Active")</f>
        <v>Active</v>
      </c>
    </row>
    <row r="1390" spans="1:10" x14ac:dyDescent="0.25">
      <c r="A1390" s="6">
        <v>1955</v>
      </c>
      <c r="B1390" s="6">
        <v>32</v>
      </c>
      <c r="C1390" s="5" t="s">
        <v>11</v>
      </c>
      <c r="D1390" s="5" t="s">
        <v>16</v>
      </c>
      <c r="E1390" s="6">
        <v>2</v>
      </c>
      <c r="F1390" s="6">
        <v>6667</v>
      </c>
      <c r="G1390" s="6">
        <v>5</v>
      </c>
      <c r="H1390" s="6">
        <v>3</v>
      </c>
      <c r="I1390" s="6" t="s">
        <v>13</v>
      </c>
      <c r="J1390" s="6" t="str">
        <f>IF(Employee[[#This Row],[Attrition]]="Yes","Resigned","Active")</f>
        <v>Active</v>
      </c>
    </row>
    <row r="1391" spans="1:10" x14ac:dyDescent="0.25">
      <c r="A1391" s="6">
        <v>1956</v>
      </c>
      <c r="B1391" s="6">
        <v>31</v>
      </c>
      <c r="C1391" s="5" t="s">
        <v>11</v>
      </c>
      <c r="D1391" s="5" t="s">
        <v>12</v>
      </c>
      <c r="E1391" s="6">
        <v>2</v>
      </c>
      <c r="F1391" s="6">
        <v>5003</v>
      </c>
      <c r="G1391" s="6">
        <v>10</v>
      </c>
      <c r="H1391" s="6">
        <v>3</v>
      </c>
      <c r="I1391" s="6" t="s">
        <v>13</v>
      </c>
      <c r="J1391" s="6" t="str">
        <f>IF(Employee[[#This Row],[Attrition]]="Yes","Resigned","Active")</f>
        <v>Active</v>
      </c>
    </row>
    <row r="1392" spans="1:10" x14ac:dyDescent="0.25">
      <c r="A1392" s="6">
        <v>1960</v>
      </c>
      <c r="B1392" s="6">
        <v>28</v>
      </c>
      <c r="C1392" s="5" t="s">
        <v>11</v>
      </c>
      <c r="D1392" s="5" t="s">
        <v>14</v>
      </c>
      <c r="E1392" s="6">
        <v>1</v>
      </c>
      <c r="F1392" s="6">
        <v>2367</v>
      </c>
      <c r="G1392" s="6">
        <v>4</v>
      </c>
      <c r="H1392" s="6">
        <v>2</v>
      </c>
      <c r="I1392" s="6" t="s">
        <v>10</v>
      </c>
      <c r="J1392" s="6" t="str">
        <f>IF(Employee[[#This Row],[Attrition]]="Yes","Resigned","Active")</f>
        <v>Resigned</v>
      </c>
    </row>
    <row r="1393" spans="1:10" x14ac:dyDescent="0.25">
      <c r="A1393" s="6">
        <v>1961</v>
      </c>
      <c r="B1393" s="6">
        <v>38</v>
      </c>
      <c r="C1393" s="5" t="s">
        <v>8</v>
      </c>
      <c r="D1393" s="5" t="s">
        <v>18</v>
      </c>
      <c r="E1393" s="6">
        <v>1</v>
      </c>
      <c r="F1393" s="6">
        <v>2858</v>
      </c>
      <c r="G1393" s="6">
        <v>1</v>
      </c>
      <c r="H1393" s="6">
        <v>2</v>
      </c>
      <c r="I1393" s="6" t="s">
        <v>13</v>
      </c>
      <c r="J1393" s="6" t="str">
        <f>IF(Employee[[#This Row],[Attrition]]="Yes","Resigned","Active")</f>
        <v>Active</v>
      </c>
    </row>
    <row r="1394" spans="1:10" x14ac:dyDescent="0.25">
      <c r="A1394" s="6">
        <v>1962</v>
      </c>
      <c r="B1394" s="6">
        <v>35</v>
      </c>
      <c r="C1394" s="5" t="s">
        <v>8</v>
      </c>
      <c r="D1394" s="5" t="s">
        <v>9</v>
      </c>
      <c r="E1394" s="6">
        <v>2</v>
      </c>
      <c r="F1394" s="6">
        <v>5204</v>
      </c>
      <c r="G1394" s="6">
        <v>10</v>
      </c>
      <c r="H1394" s="6">
        <v>3</v>
      </c>
      <c r="I1394" s="6" t="s">
        <v>13</v>
      </c>
      <c r="J1394" s="6" t="str">
        <f>IF(Employee[[#This Row],[Attrition]]="Yes","Resigned","Active")</f>
        <v>Active</v>
      </c>
    </row>
    <row r="1395" spans="1:10" x14ac:dyDescent="0.25">
      <c r="A1395" s="6">
        <v>1965</v>
      </c>
      <c r="B1395" s="6">
        <v>27</v>
      </c>
      <c r="C1395" s="5" t="s">
        <v>8</v>
      </c>
      <c r="D1395" s="5" t="s">
        <v>9</v>
      </c>
      <c r="E1395" s="6">
        <v>2</v>
      </c>
      <c r="F1395" s="6">
        <v>4105</v>
      </c>
      <c r="G1395" s="6">
        <v>7</v>
      </c>
      <c r="H1395" s="6">
        <v>3</v>
      </c>
      <c r="I1395" s="6" t="s">
        <v>13</v>
      </c>
      <c r="J1395" s="6" t="str">
        <f>IF(Employee[[#This Row],[Attrition]]="Yes","Resigned","Active")</f>
        <v>Active</v>
      </c>
    </row>
    <row r="1396" spans="1:10" x14ac:dyDescent="0.25">
      <c r="A1396" s="6">
        <v>1966</v>
      </c>
      <c r="B1396" s="6">
        <v>32</v>
      </c>
      <c r="C1396" s="5" t="s">
        <v>11</v>
      </c>
      <c r="D1396" s="5" t="s">
        <v>15</v>
      </c>
      <c r="E1396" s="6">
        <v>2</v>
      </c>
      <c r="F1396" s="6">
        <v>9679</v>
      </c>
      <c r="G1396" s="6">
        <v>1</v>
      </c>
      <c r="H1396" s="6">
        <v>3</v>
      </c>
      <c r="I1396" s="6" t="s">
        <v>13</v>
      </c>
      <c r="J1396" s="6" t="str">
        <f>IF(Employee[[#This Row],[Attrition]]="Yes","Resigned","Active")</f>
        <v>Active</v>
      </c>
    </row>
    <row r="1397" spans="1:10" x14ac:dyDescent="0.25">
      <c r="A1397" s="6">
        <v>1967</v>
      </c>
      <c r="B1397" s="6">
        <v>31</v>
      </c>
      <c r="C1397" s="5" t="s">
        <v>8</v>
      </c>
      <c r="D1397" s="5" t="s">
        <v>9</v>
      </c>
      <c r="E1397" s="6">
        <v>2</v>
      </c>
      <c r="F1397" s="6">
        <v>5617</v>
      </c>
      <c r="G1397" s="6">
        <v>10</v>
      </c>
      <c r="H1397" s="6">
        <v>3</v>
      </c>
      <c r="I1397" s="6" t="s">
        <v>10</v>
      </c>
      <c r="J1397" s="6" t="str">
        <f>IF(Employee[[#This Row],[Attrition]]="Yes","Resigned","Active")</f>
        <v>Resigned</v>
      </c>
    </row>
    <row r="1398" spans="1:10" x14ac:dyDescent="0.25">
      <c r="A1398" s="6">
        <v>1968</v>
      </c>
      <c r="B1398" s="6">
        <v>53</v>
      </c>
      <c r="C1398" s="5" t="s">
        <v>8</v>
      </c>
      <c r="D1398" s="5" t="s">
        <v>9</v>
      </c>
      <c r="E1398" s="6">
        <v>3</v>
      </c>
      <c r="F1398" s="6">
        <v>10448</v>
      </c>
      <c r="G1398" s="6">
        <v>2</v>
      </c>
      <c r="H1398" s="6">
        <v>2</v>
      </c>
      <c r="I1398" s="6" t="s">
        <v>10</v>
      </c>
      <c r="J1398" s="6" t="str">
        <f>IF(Employee[[#This Row],[Attrition]]="Yes","Resigned","Active")</f>
        <v>Resigned</v>
      </c>
    </row>
    <row r="1399" spans="1:10" x14ac:dyDescent="0.25">
      <c r="A1399" s="6">
        <v>1969</v>
      </c>
      <c r="B1399" s="6">
        <v>54</v>
      </c>
      <c r="C1399" s="5" t="s">
        <v>11</v>
      </c>
      <c r="D1399" s="5" t="s">
        <v>12</v>
      </c>
      <c r="E1399" s="6">
        <v>2</v>
      </c>
      <c r="F1399" s="6">
        <v>2897</v>
      </c>
      <c r="G1399" s="6">
        <v>4</v>
      </c>
      <c r="H1399" s="6">
        <v>2</v>
      </c>
      <c r="I1399" s="6" t="s">
        <v>13</v>
      </c>
      <c r="J1399" s="6" t="str">
        <f>IF(Employee[[#This Row],[Attrition]]="Yes","Resigned","Active")</f>
        <v>Active</v>
      </c>
    </row>
    <row r="1400" spans="1:10" x14ac:dyDescent="0.25">
      <c r="A1400" s="6">
        <v>1970</v>
      </c>
      <c r="B1400" s="6">
        <v>33</v>
      </c>
      <c r="C1400" s="5" t="s">
        <v>11</v>
      </c>
      <c r="D1400" s="5" t="s">
        <v>16</v>
      </c>
      <c r="E1400" s="6">
        <v>2</v>
      </c>
      <c r="F1400" s="6">
        <v>5968</v>
      </c>
      <c r="G1400" s="6">
        <v>9</v>
      </c>
      <c r="H1400" s="6">
        <v>3</v>
      </c>
      <c r="I1400" s="6" t="s">
        <v>13</v>
      </c>
      <c r="J1400" s="6" t="str">
        <f>IF(Employee[[#This Row],[Attrition]]="Yes","Resigned","Active")</f>
        <v>Active</v>
      </c>
    </row>
    <row r="1401" spans="1:10" x14ac:dyDescent="0.25">
      <c r="A1401" s="6">
        <v>1971</v>
      </c>
      <c r="B1401" s="6">
        <v>43</v>
      </c>
      <c r="C1401" s="5" t="s">
        <v>11</v>
      </c>
      <c r="D1401" s="5" t="s">
        <v>16</v>
      </c>
      <c r="E1401" s="6">
        <v>3</v>
      </c>
      <c r="F1401" s="6">
        <v>7510</v>
      </c>
      <c r="G1401" s="6">
        <v>10</v>
      </c>
      <c r="H1401" s="6">
        <v>3</v>
      </c>
      <c r="I1401" s="6" t="s">
        <v>13</v>
      </c>
      <c r="J1401" s="6" t="str">
        <f>IF(Employee[[#This Row],[Attrition]]="Yes","Resigned","Active")</f>
        <v>Active</v>
      </c>
    </row>
    <row r="1402" spans="1:10" x14ac:dyDescent="0.25">
      <c r="A1402" s="6">
        <v>1972</v>
      </c>
      <c r="B1402" s="6">
        <v>38</v>
      </c>
      <c r="C1402" s="5" t="s">
        <v>20</v>
      </c>
      <c r="D1402" s="5" t="s">
        <v>20</v>
      </c>
      <c r="E1402" s="6">
        <v>1</v>
      </c>
      <c r="F1402" s="6">
        <v>2991</v>
      </c>
      <c r="G1402" s="6">
        <v>6</v>
      </c>
      <c r="H1402" s="6">
        <v>3</v>
      </c>
      <c r="I1402" s="6" t="s">
        <v>13</v>
      </c>
      <c r="J1402" s="6" t="str">
        <f>IF(Employee[[#This Row],[Attrition]]="Yes","Resigned","Active")</f>
        <v>Active</v>
      </c>
    </row>
    <row r="1403" spans="1:10" x14ac:dyDescent="0.25">
      <c r="A1403" s="6">
        <v>1973</v>
      </c>
      <c r="B1403" s="6">
        <v>55</v>
      </c>
      <c r="C1403" s="5" t="s">
        <v>20</v>
      </c>
      <c r="D1403" s="5" t="s">
        <v>17</v>
      </c>
      <c r="E1403" s="6">
        <v>5</v>
      </c>
      <c r="F1403" s="6">
        <v>19636</v>
      </c>
      <c r="G1403" s="6">
        <v>10</v>
      </c>
      <c r="H1403" s="6">
        <v>3</v>
      </c>
      <c r="I1403" s="6" t="s">
        <v>13</v>
      </c>
      <c r="J1403" s="6" t="str">
        <f>IF(Employee[[#This Row],[Attrition]]="Yes","Resigned","Active")</f>
        <v>Active</v>
      </c>
    </row>
    <row r="1404" spans="1:10" x14ac:dyDescent="0.25">
      <c r="A1404" s="6">
        <v>1974</v>
      </c>
      <c r="B1404" s="6">
        <v>31</v>
      </c>
      <c r="C1404" s="5" t="s">
        <v>11</v>
      </c>
      <c r="D1404" s="5" t="s">
        <v>14</v>
      </c>
      <c r="E1404" s="6">
        <v>1</v>
      </c>
      <c r="F1404" s="6">
        <v>1129</v>
      </c>
      <c r="G1404" s="6">
        <v>1</v>
      </c>
      <c r="H1404" s="6">
        <v>3</v>
      </c>
      <c r="I1404" s="6" t="s">
        <v>13</v>
      </c>
      <c r="J1404" s="6" t="str">
        <f>IF(Employee[[#This Row],[Attrition]]="Yes","Resigned","Active")</f>
        <v>Active</v>
      </c>
    </row>
    <row r="1405" spans="1:10" x14ac:dyDescent="0.25">
      <c r="A1405" s="6">
        <v>1975</v>
      </c>
      <c r="B1405" s="6">
        <v>39</v>
      </c>
      <c r="C1405" s="5" t="s">
        <v>8</v>
      </c>
      <c r="D1405" s="5" t="s">
        <v>9</v>
      </c>
      <c r="E1405" s="6">
        <v>4</v>
      </c>
      <c r="F1405" s="6">
        <v>13341</v>
      </c>
      <c r="G1405" s="6">
        <v>20</v>
      </c>
      <c r="H1405" s="6">
        <v>3</v>
      </c>
      <c r="I1405" s="6" t="s">
        <v>13</v>
      </c>
      <c r="J1405" s="6" t="str">
        <f>IF(Employee[[#This Row],[Attrition]]="Yes","Resigned","Active")</f>
        <v>Active</v>
      </c>
    </row>
    <row r="1406" spans="1:10" x14ac:dyDescent="0.25">
      <c r="A1406" s="6">
        <v>1976</v>
      </c>
      <c r="B1406" s="6">
        <v>42</v>
      </c>
      <c r="C1406" s="5" t="s">
        <v>11</v>
      </c>
      <c r="D1406" s="5" t="s">
        <v>12</v>
      </c>
      <c r="E1406" s="6">
        <v>2</v>
      </c>
      <c r="F1406" s="6">
        <v>4332</v>
      </c>
      <c r="G1406" s="6">
        <v>20</v>
      </c>
      <c r="H1406" s="6">
        <v>3</v>
      </c>
      <c r="I1406" s="6" t="s">
        <v>13</v>
      </c>
      <c r="J1406" s="6" t="str">
        <f>IF(Employee[[#This Row],[Attrition]]="Yes","Resigned","Active")</f>
        <v>Active</v>
      </c>
    </row>
    <row r="1407" spans="1:10" x14ac:dyDescent="0.25">
      <c r="A1407" s="6">
        <v>1979</v>
      </c>
      <c r="B1407" s="6">
        <v>31</v>
      </c>
      <c r="C1407" s="5" t="s">
        <v>11</v>
      </c>
      <c r="D1407" s="5" t="s">
        <v>19</v>
      </c>
      <c r="E1407" s="6">
        <v>3</v>
      </c>
      <c r="F1407" s="6">
        <v>11031</v>
      </c>
      <c r="G1407" s="6">
        <v>11</v>
      </c>
      <c r="H1407" s="6">
        <v>4</v>
      </c>
      <c r="I1407" s="6" t="s">
        <v>13</v>
      </c>
      <c r="J1407" s="6" t="str">
        <f>IF(Employee[[#This Row],[Attrition]]="Yes","Resigned","Active")</f>
        <v>Active</v>
      </c>
    </row>
    <row r="1408" spans="1:10" x14ac:dyDescent="0.25">
      <c r="A1408" s="6">
        <v>1980</v>
      </c>
      <c r="B1408" s="6">
        <v>54</v>
      </c>
      <c r="C1408" s="5" t="s">
        <v>11</v>
      </c>
      <c r="D1408" s="5" t="s">
        <v>15</v>
      </c>
      <c r="E1408" s="6">
        <v>2</v>
      </c>
      <c r="F1408" s="6">
        <v>4440</v>
      </c>
      <c r="G1408" s="6">
        <v>5</v>
      </c>
      <c r="H1408" s="6">
        <v>3</v>
      </c>
      <c r="I1408" s="6" t="s">
        <v>13</v>
      </c>
      <c r="J1408" s="6" t="str">
        <f>IF(Employee[[#This Row],[Attrition]]="Yes","Resigned","Active")</f>
        <v>Active</v>
      </c>
    </row>
    <row r="1409" spans="1:10" x14ac:dyDescent="0.25">
      <c r="A1409" s="6">
        <v>1981</v>
      </c>
      <c r="B1409" s="6">
        <v>24</v>
      </c>
      <c r="C1409" s="5" t="s">
        <v>11</v>
      </c>
      <c r="D1409" s="5" t="s">
        <v>16</v>
      </c>
      <c r="E1409" s="6">
        <v>2</v>
      </c>
      <c r="F1409" s="6">
        <v>4617</v>
      </c>
      <c r="G1409" s="6">
        <v>4</v>
      </c>
      <c r="H1409" s="6">
        <v>2</v>
      </c>
      <c r="I1409" s="6" t="s">
        <v>13</v>
      </c>
      <c r="J1409" s="6" t="str">
        <f>IF(Employee[[#This Row],[Attrition]]="Yes","Resigned","Active")</f>
        <v>Active</v>
      </c>
    </row>
    <row r="1410" spans="1:10" x14ac:dyDescent="0.25">
      <c r="A1410" s="6">
        <v>1982</v>
      </c>
      <c r="B1410" s="6">
        <v>23</v>
      </c>
      <c r="C1410" s="5" t="s">
        <v>11</v>
      </c>
      <c r="D1410" s="5" t="s">
        <v>14</v>
      </c>
      <c r="E1410" s="6">
        <v>1</v>
      </c>
      <c r="F1410" s="6">
        <v>2647</v>
      </c>
      <c r="G1410" s="6">
        <v>5</v>
      </c>
      <c r="H1410" s="6">
        <v>4</v>
      </c>
      <c r="I1410" s="6" t="s">
        <v>13</v>
      </c>
      <c r="J1410" s="6" t="str">
        <f>IF(Employee[[#This Row],[Attrition]]="Yes","Resigned","Active")</f>
        <v>Active</v>
      </c>
    </row>
    <row r="1411" spans="1:10" x14ac:dyDescent="0.25">
      <c r="A1411" s="6">
        <v>1985</v>
      </c>
      <c r="B1411" s="6">
        <v>40</v>
      </c>
      <c r="C1411" s="5" t="s">
        <v>11</v>
      </c>
      <c r="D1411" s="5" t="s">
        <v>14</v>
      </c>
      <c r="E1411" s="6">
        <v>2</v>
      </c>
      <c r="F1411" s="6">
        <v>6323</v>
      </c>
      <c r="G1411" s="6">
        <v>10</v>
      </c>
      <c r="H1411" s="6">
        <v>4</v>
      </c>
      <c r="I1411" s="6" t="s">
        <v>13</v>
      </c>
      <c r="J1411" s="6" t="str">
        <f>IF(Employee[[#This Row],[Attrition]]="Yes","Resigned","Active")</f>
        <v>Active</v>
      </c>
    </row>
    <row r="1412" spans="1:10" x14ac:dyDescent="0.25">
      <c r="A1412" s="6">
        <v>1986</v>
      </c>
      <c r="B1412" s="6">
        <v>40</v>
      </c>
      <c r="C1412" s="5" t="s">
        <v>8</v>
      </c>
      <c r="D1412" s="5" t="s">
        <v>9</v>
      </c>
      <c r="E1412" s="6">
        <v>2</v>
      </c>
      <c r="F1412" s="6">
        <v>5677</v>
      </c>
      <c r="G1412" s="6">
        <v>11</v>
      </c>
      <c r="H1412" s="6">
        <v>3</v>
      </c>
      <c r="I1412" s="6" t="s">
        <v>13</v>
      </c>
      <c r="J1412" s="6" t="str">
        <f>IF(Employee[[#This Row],[Attrition]]="Yes","Resigned","Active")</f>
        <v>Active</v>
      </c>
    </row>
    <row r="1413" spans="1:10" x14ac:dyDescent="0.25">
      <c r="A1413" s="6">
        <v>1987</v>
      </c>
      <c r="B1413" s="6">
        <v>25</v>
      </c>
      <c r="C1413" s="5" t="s">
        <v>20</v>
      </c>
      <c r="D1413" s="5" t="s">
        <v>20</v>
      </c>
      <c r="E1413" s="6">
        <v>1</v>
      </c>
      <c r="F1413" s="6">
        <v>2187</v>
      </c>
      <c r="G1413" s="6">
        <v>2</v>
      </c>
      <c r="H1413" s="6">
        <v>3</v>
      </c>
      <c r="I1413" s="6" t="s">
        <v>13</v>
      </c>
      <c r="J1413" s="6" t="str">
        <f>IF(Employee[[#This Row],[Attrition]]="Yes","Resigned","Active")</f>
        <v>Active</v>
      </c>
    </row>
    <row r="1414" spans="1:10" x14ac:dyDescent="0.25">
      <c r="A1414" s="6">
        <v>1989</v>
      </c>
      <c r="B1414" s="6">
        <v>30</v>
      </c>
      <c r="C1414" s="5" t="s">
        <v>11</v>
      </c>
      <c r="D1414" s="5" t="s">
        <v>14</v>
      </c>
      <c r="E1414" s="6">
        <v>1</v>
      </c>
      <c r="F1414" s="6">
        <v>3748</v>
      </c>
      <c r="G1414" s="6">
        <v>12</v>
      </c>
      <c r="H1414" s="6">
        <v>2</v>
      </c>
      <c r="I1414" s="6" t="s">
        <v>13</v>
      </c>
      <c r="J1414" s="6" t="str">
        <f>IF(Employee[[#This Row],[Attrition]]="Yes","Resigned","Active")</f>
        <v>Active</v>
      </c>
    </row>
    <row r="1415" spans="1:10" x14ac:dyDescent="0.25">
      <c r="A1415" s="6">
        <v>1992</v>
      </c>
      <c r="B1415" s="6">
        <v>25</v>
      </c>
      <c r="C1415" s="5" t="s">
        <v>11</v>
      </c>
      <c r="D1415" s="5" t="s">
        <v>14</v>
      </c>
      <c r="E1415" s="6">
        <v>1</v>
      </c>
      <c r="F1415" s="6">
        <v>3977</v>
      </c>
      <c r="G1415" s="6">
        <v>2</v>
      </c>
      <c r="H1415" s="6">
        <v>2</v>
      </c>
      <c r="I1415" s="6" t="s">
        <v>13</v>
      </c>
      <c r="J1415" s="6" t="str">
        <f>IF(Employee[[#This Row],[Attrition]]="Yes","Resigned","Active")</f>
        <v>Active</v>
      </c>
    </row>
    <row r="1416" spans="1:10" x14ac:dyDescent="0.25">
      <c r="A1416" s="6">
        <v>1993</v>
      </c>
      <c r="B1416" s="6">
        <v>47</v>
      </c>
      <c r="C1416" s="5" t="s">
        <v>11</v>
      </c>
      <c r="D1416" s="5" t="s">
        <v>16</v>
      </c>
      <c r="E1416" s="6">
        <v>3</v>
      </c>
      <c r="F1416" s="6">
        <v>8633</v>
      </c>
      <c r="G1416" s="6">
        <v>17</v>
      </c>
      <c r="H1416" s="6">
        <v>3</v>
      </c>
      <c r="I1416" s="6" t="s">
        <v>13</v>
      </c>
      <c r="J1416" s="6" t="str">
        <f>IF(Employee[[#This Row],[Attrition]]="Yes","Resigned","Active")</f>
        <v>Active</v>
      </c>
    </row>
    <row r="1417" spans="1:10" x14ac:dyDescent="0.25">
      <c r="A1417" s="6">
        <v>1994</v>
      </c>
      <c r="B1417" s="6">
        <v>33</v>
      </c>
      <c r="C1417" s="5" t="s">
        <v>11</v>
      </c>
      <c r="D1417" s="5" t="s">
        <v>14</v>
      </c>
      <c r="E1417" s="6">
        <v>1</v>
      </c>
      <c r="F1417" s="6">
        <v>2008</v>
      </c>
      <c r="G1417" s="6">
        <v>1</v>
      </c>
      <c r="H1417" s="6">
        <v>2</v>
      </c>
      <c r="I1417" s="6" t="s">
        <v>13</v>
      </c>
      <c r="J1417" s="6" t="str">
        <f>IF(Employee[[#This Row],[Attrition]]="Yes","Resigned","Active")</f>
        <v>Active</v>
      </c>
    </row>
    <row r="1418" spans="1:10" x14ac:dyDescent="0.25">
      <c r="A1418" s="6">
        <v>1995</v>
      </c>
      <c r="B1418" s="6">
        <v>38</v>
      </c>
      <c r="C1418" s="5" t="s">
        <v>8</v>
      </c>
      <c r="D1418" s="5" t="s">
        <v>9</v>
      </c>
      <c r="E1418" s="6">
        <v>2</v>
      </c>
      <c r="F1418" s="6">
        <v>4440</v>
      </c>
      <c r="G1418" s="6">
        <v>15</v>
      </c>
      <c r="H1418" s="6">
        <v>3</v>
      </c>
      <c r="I1418" s="6" t="s">
        <v>13</v>
      </c>
      <c r="J1418" s="6" t="str">
        <f>IF(Employee[[#This Row],[Attrition]]="Yes","Resigned","Active")</f>
        <v>Active</v>
      </c>
    </row>
    <row r="1419" spans="1:10" x14ac:dyDescent="0.25">
      <c r="A1419" s="6">
        <v>1996</v>
      </c>
      <c r="B1419" s="6">
        <v>31</v>
      </c>
      <c r="C1419" s="5" t="s">
        <v>8</v>
      </c>
      <c r="D1419" s="5" t="s">
        <v>18</v>
      </c>
      <c r="E1419" s="6">
        <v>1</v>
      </c>
      <c r="F1419" s="6">
        <v>3067</v>
      </c>
      <c r="G1419" s="6">
        <v>2</v>
      </c>
      <c r="H1419" s="6">
        <v>3</v>
      </c>
      <c r="I1419" s="6" t="s">
        <v>13</v>
      </c>
      <c r="J1419" s="6" t="str">
        <f>IF(Employee[[#This Row],[Attrition]]="Yes","Resigned","Active")</f>
        <v>Active</v>
      </c>
    </row>
    <row r="1420" spans="1:10" x14ac:dyDescent="0.25">
      <c r="A1420" s="6">
        <v>1997</v>
      </c>
      <c r="B1420" s="6">
        <v>38</v>
      </c>
      <c r="C1420" s="5" t="s">
        <v>11</v>
      </c>
      <c r="D1420" s="5" t="s">
        <v>15</v>
      </c>
      <c r="E1420" s="6">
        <v>2</v>
      </c>
      <c r="F1420" s="6">
        <v>5321</v>
      </c>
      <c r="G1420" s="6">
        <v>8</v>
      </c>
      <c r="H1420" s="6">
        <v>3</v>
      </c>
      <c r="I1420" s="6" t="s">
        <v>13</v>
      </c>
      <c r="J1420" s="6" t="str">
        <f>IF(Employee[[#This Row],[Attrition]]="Yes","Resigned","Active")</f>
        <v>Active</v>
      </c>
    </row>
    <row r="1421" spans="1:10" x14ac:dyDescent="0.25">
      <c r="A1421" s="6">
        <v>1998</v>
      </c>
      <c r="B1421" s="6">
        <v>42</v>
      </c>
      <c r="C1421" s="5" t="s">
        <v>11</v>
      </c>
      <c r="D1421" s="5" t="s">
        <v>12</v>
      </c>
      <c r="E1421" s="6">
        <v>2</v>
      </c>
      <c r="F1421" s="6">
        <v>5410</v>
      </c>
      <c r="G1421" s="6">
        <v>4</v>
      </c>
      <c r="H1421" s="6">
        <v>2</v>
      </c>
      <c r="I1421" s="6" t="s">
        <v>13</v>
      </c>
      <c r="J1421" s="6" t="str">
        <f>IF(Employee[[#This Row],[Attrition]]="Yes","Resigned","Active")</f>
        <v>Active</v>
      </c>
    </row>
    <row r="1422" spans="1:10" x14ac:dyDescent="0.25">
      <c r="A1422" s="6">
        <v>1999</v>
      </c>
      <c r="B1422" s="6">
        <v>41</v>
      </c>
      <c r="C1422" s="5" t="s">
        <v>11</v>
      </c>
      <c r="D1422" s="5" t="s">
        <v>12</v>
      </c>
      <c r="E1422" s="6">
        <v>1</v>
      </c>
      <c r="F1422" s="6">
        <v>2782</v>
      </c>
      <c r="G1422" s="6">
        <v>5</v>
      </c>
      <c r="H1422" s="6">
        <v>3</v>
      </c>
      <c r="I1422" s="6" t="s">
        <v>13</v>
      </c>
      <c r="J1422" s="6" t="str">
        <f>IF(Employee[[#This Row],[Attrition]]="Yes","Resigned","Active")</f>
        <v>Active</v>
      </c>
    </row>
    <row r="1423" spans="1:10" x14ac:dyDescent="0.25">
      <c r="A1423" s="6">
        <v>2000</v>
      </c>
      <c r="B1423" s="6">
        <v>47</v>
      </c>
      <c r="C1423" s="5" t="s">
        <v>11</v>
      </c>
      <c r="D1423" s="5" t="s">
        <v>19</v>
      </c>
      <c r="E1423" s="6">
        <v>3</v>
      </c>
      <c r="F1423" s="6">
        <v>11957</v>
      </c>
      <c r="G1423" s="6">
        <v>13</v>
      </c>
      <c r="H1423" s="6">
        <v>1</v>
      </c>
      <c r="I1423" s="6" t="s">
        <v>13</v>
      </c>
      <c r="J1423" s="6" t="str">
        <f>IF(Employee[[#This Row],[Attrition]]="Yes","Resigned","Active")</f>
        <v>Active</v>
      </c>
    </row>
    <row r="1424" spans="1:10" x14ac:dyDescent="0.25">
      <c r="A1424" s="6">
        <v>2003</v>
      </c>
      <c r="B1424" s="6">
        <v>35</v>
      </c>
      <c r="C1424" s="5" t="s">
        <v>11</v>
      </c>
      <c r="D1424" s="5" t="s">
        <v>14</v>
      </c>
      <c r="E1424" s="6">
        <v>1</v>
      </c>
      <c r="F1424" s="6">
        <v>2660</v>
      </c>
      <c r="G1424" s="6">
        <v>2</v>
      </c>
      <c r="H1424" s="6">
        <v>3</v>
      </c>
      <c r="I1424" s="6" t="s">
        <v>13</v>
      </c>
      <c r="J1424" s="6" t="str">
        <f>IF(Employee[[#This Row],[Attrition]]="Yes","Resigned","Active")</f>
        <v>Active</v>
      </c>
    </row>
    <row r="1425" spans="1:10" x14ac:dyDescent="0.25">
      <c r="A1425" s="6">
        <v>2007</v>
      </c>
      <c r="B1425" s="6">
        <v>22</v>
      </c>
      <c r="C1425" s="5" t="s">
        <v>11</v>
      </c>
      <c r="D1425" s="5" t="s">
        <v>12</v>
      </c>
      <c r="E1425" s="6">
        <v>1</v>
      </c>
      <c r="F1425" s="6">
        <v>3375</v>
      </c>
      <c r="G1425" s="6">
        <v>3</v>
      </c>
      <c r="H1425" s="6">
        <v>4</v>
      </c>
      <c r="I1425" s="6" t="s">
        <v>13</v>
      </c>
      <c r="J1425" s="6" t="str">
        <f>IF(Employee[[#This Row],[Attrition]]="Yes","Resigned","Active")</f>
        <v>Active</v>
      </c>
    </row>
    <row r="1426" spans="1:10" x14ac:dyDescent="0.25">
      <c r="A1426" s="6">
        <v>2008</v>
      </c>
      <c r="B1426" s="6">
        <v>35</v>
      </c>
      <c r="C1426" s="5" t="s">
        <v>11</v>
      </c>
      <c r="D1426" s="5" t="s">
        <v>12</v>
      </c>
      <c r="E1426" s="6">
        <v>2</v>
      </c>
      <c r="F1426" s="6">
        <v>5098</v>
      </c>
      <c r="G1426" s="6">
        <v>10</v>
      </c>
      <c r="H1426" s="6">
        <v>3</v>
      </c>
      <c r="I1426" s="6" t="s">
        <v>13</v>
      </c>
      <c r="J1426" s="6" t="str">
        <f>IF(Employee[[#This Row],[Attrition]]="Yes","Resigned","Active")</f>
        <v>Active</v>
      </c>
    </row>
    <row r="1427" spans="1:10" x14ac:dyDescent="0.25">
      <c r="A1427" s="6">
        <v>2009</v>
      </c>
      <c r="B1427" s="6">
        <v>33</v>
      </c>
      <c r="C1427" s="5" t="s">
        <v>11</v>
      </c>
      <c r="D1427" s="5" t="s">
        <v>16</v>
      </c>
      <c r="E1427" s="6">
        <v>2</v>
      </c>
      <c r="F1427" s="6">
        <v>4878</v>
      </c>
      <c r="G1427" s="6">
        <v>9</v>
      </c>
      <c r="H1427" s="6">
        <v>3</v>
      </c>
      <c r="I1427" s="6" t="s">
        <v>13</v>
      </c>
      <c r="J1427" s="6" t="str">
        <f>IF(Employee[[#This Row],[Attrition]]="Yes","Resigned","Active")</f>
        <v>Active</v>
      </c>
    </row>
    <row r="1428" spans="1:10" x14ac:dyDescent="0.25">
      <c r="A1428" s="6">
        <v>2010</v>
      </c>
      <c r="B1428" s="6">
        <v>32</v>
      </c>
      <c r="C1428" s="5" t="s">
        <v>11</v>
      </c>
      <c r="D1428" s="5" t="s">
        <v>14</v>
      </c>
      <c r="E1428" s="6">
        <v>1</v>
      </c>
      <c r="F1428" s="6">
        <v>2837</v>
      </c>
      <c r="G1428" s="6">
        <v>6</v>
      </c>
      <c r="H1428" s="6">
        <v>3</v>
      </c>
      <c r="I1428" s="6" t="s">
        <v>13</v>
      </c>
      <c r="J1428" s="6" t="str">
        <f>IF(Employee[[#This Row],[Attrition]]="Yes","Resigned","Active")</f>
        <v>Active</v>
      </c>
    </row>
    <row r="1429" spans="1:10" x14ac:dyDescent="0.25">
      <c r="A1429" s="6">
        <v>2012</v>
      </c>
      <c r="B1429" s="6">
        <v>40</v>
      </c>
      <c r="C1429" s="5" t="s">
        <v>11</v>
      </c>
      <c r="D1429" s="5" t="s">
        <v>14</v>
      </c>
      <c r="E1429" s="6">
        <v>1</v>
      </c>
      <c r="F1429" s="6">
        <v>2406</v>
      </c>
      <c r="G1429" s="6">
        <v>1</v>
      </c>
      <c r="H1429" s="6">
        <v>2</v>
      </c>
      <c r="I1429" s="6" t="s">
        <v>13</v>
      </c>
      <c r="J1429" s="6" t="str">
        <f>IF(Employee[[#This Row],[Attrition]]="Yes","Resigned","Active")</f>
        <v>Active</v>
      </c>
    </row>
    <row r="1430" spans="1:10" x14ac:dyDescent="0.25">
      <c r="A1430" s="6">
        <v>2013</v>
      </c>
      <c r="B1430" s="6">
        <v>32</v>
      </c>
      <c r="C1430" s="5" t="s">
        <v>8</v>
      </c>
      <c r="D1430" s="5" t="s">
        <v>18</v>
      </c>
      <c r="E1430" s="6">
        <v>1</v>
      </c>
      <c r="F1430" s="6">
        <v>2269</v>
      </c>
      <c r="G1430" s="6">
        <v>2</v>
      </c>
      <c r="H1430" s="6">
        <v>3</v>
      </c>
      <c r="I1430" s="6" t="s">
        <v>13</v>
      </c>
      <c r="J1430" s="6" t="str">
        <f>IF(Employee[[#This Row],[Attrition]]="Yes","Resigned","Active")</f>
        <v>Active</v>
      </c>
    </row>
    <row r="1431" spans="1:10" x14ac:dyDescent="0.25">
      <c r="A1431" s="6">
        <v>2014</v>
      </c>
      <c r="B1431" s="6">
        <v>39</v>
      </c>
      <c r="C1431" s="5" t="s">
        <v>11</v>
      </c>
      <c r="D1431" s="5" t="s">
        <v>12</v>
      </c>
      <c r="E1431" s="6">
        <v>2</v>
      </c>
      <c r="F1431" s="6">
        <v>4108</v>
      </c>
      <c r="G1431" s="6">
        <v>7</v>
      </c>
      <c r="H1431" s="6">
        <v>3</v>
      </c>
      <c r="I1431" s="6" t="s">
        <v>13</v>
      </c>
      <c r="J1431" s="6" t="str">
        <f>IF(Employee[[#This Row],[Attrition]]="Yes","Resigned","Active")</f>
        <v>Active</v>
      </c>
    </row>
    <row r="1432" spans="1:10" x14ac:dyDescent="0.25">
      <c r="A1432" s="6">
        <v>2015</v>
      </c>
      <c r="B1432" s="6">
        <v>38</v>
      </c>
      <c r="C1432" s="5" t="s">
        <v>11</v>
      </c>
      <c r="D1432" s="5" t="s">
        <v>19</v>
      </c>
      <c r="E1432" s="6">
        <v>3</v>
      </c>
      <c r="F1432" s="6">
        <v>13206</v>
      </c>
      <c r="G1432" s="6">
        <v>18</v>
      </c>
      <c r="H1432" s="6">
        <v>3</v>
      </c>
      <c r="I1432" s="6" t="s">
        <v>13</v>
      </c>
      <c r="J1432" s="6" t="str">
        <f>IF(Employee[[#This Row],[Attrition]]="Yes","Resigned","Active")</f>
        <v>Active</v>
      </c>
    </row>
    <row r="1433" spans="1:10" x14ac:dyDescent="0.25">
      <c r="A1433" s="6">
        <v>2016</v>
      </c>
      <c r="B1433" s="6">
        <v>32</v>
      </c>
      <c r="C1433" s="5" t="s">
        <v>8</v>
      </c>
      <c r="D1433" s="5" t="s">
        <v>9</v>
      </c>
      <c r="E1433" s="6">
        <v>3</v>
      </c>
      <c r="F1433" s="6">
        <v>10422</v>
      </c>
      <c r="G1433" s="6">
        <v>14</v>
      </c>
      <c r="H1433" s="6">
        <v>3</v>
      </c>
      <c r="I1433" s="6" t="s">
        <v>13</v>
      </c>
      <c r="J1433" s="6" t="str">
        <f>IF(Employee[[#This Row],[Attrition]]="Yes","Resigned","Active")</f>
        <v>Active</v>
      </c>
    </row>
    <row r="1434" spans="1:10" x14ac:dyDescent="0.25">
      <c r="A1434" s="6">
        <v>2017</v>
      </c>
      <c r="B1434" s="6">
        <v>37</v>
      </c>
      <c r="C1434" s="5" t="s">
        <v>11</v>
      </c>
      <c r="D1434" s="5" t="s">
        <v>19</v>
      </c>
      <c r="E1434" s="6">
        <v>3</v>
      </c>
      <c r="F1434" s="6">
        <v>13744</v>
      </c>
      <c r="G1434" s="6">
        <v>16</v>
      </c>
      <c r="H1434" s="6">
        <v>3</v>
      </c>
      <c r="I1434" s="6" t="s">
        <v>13</v>
      </c>
      <c r="J1434" s="6" t="str">
        <f>IF(Employee[[#This Row],[Attrition]]="Yes","Resigned","Active")</f>
        <v>Active</v>
      </c>
    </row>
    <row r="1435" spans="1:10" x14ac:dyDescent="0.25">
      <c r="A1435" s="6">
        <v>2018</v>
      </c>
      <c r="B1435" s="6">
        <v>25</v>
      </c>
      <c r="C1435" s="5" t="s">
        <v>8</v>
      </c>
      <c r="D1435" s="5" t="s">
        <v>9</v>
      </c>
      <c r="E1435" s="6">
        <v>2</v>
      </c>
      <c r="F1435" s="6">
        <v>4907</v>
      </c>
      <c r="G1435" s="6">
        <v>5</v>
      </c>
      <c r="H1435" s="6">
        <v>2</v>
      </c>
      <c r="I1435" s="6" t="s">
        <v>13</v>
      </c>
      <c r="J1435" s="6" t="str">
        <f>IF(Employee[[#This Row],[Attrition]]="Yes","Resigned","Active")</f>
        <v>Active</v>
      </c>
    </row>
    <row r="1436" spans="1:10" x14ac:dyDescent="0.25">
      <c r="A1436" s="6">
        <v>2019</v>
      </c>
      <c r="B1436" s="6">
        <v>52</v>
      </c>
      <c r="C1436" s="5" t="s">
        <v>8</v>
      </c>
      <c r="D1436" s="5" t="s">
        <v>18</v>
      </c>
      <c r="E1436" s="6">
        <v>1</v>
      </c>
      <c r="F1436" s="6">
        <v>3482</v>
      </c>
      <c r="G1436" s="6">
        <v>9</v>
      </c>
      <c r="H1436" s="6">
        <v>2</v>
      </c>
      <c r="I1436" s="6" t="s">
        <v>13</v>
      </c>
      <c r="J1436" s="6" t="str">
        <f>IF(Employee[[#This Row],[Attrition]]="Yes","Resigned","Active")</f>
        <v>Active</v>
      </c>
    </row>
    <row r="1437" spans="1:10" x14ac:dyDescent="0.25">
      <c r="A1437" s="6">
        <v>2020</v>
      </c>
      <c r="B1437" s="6">
        <v>44</v>
      </c>
      <c r="C1437" s="5" t="s">
        <v>11</v>
      </c>
      <c r="D1437" s="5" t="s">
        <v>12</v>
      </c>
      <c r="E1437" s="6">
        <v>1</v>
      </c>
      <c r="F1437" s="6">
        <v>2436</v>
      </c>
      <c r="G1437" s="6">
        <v>4</v>
      </c>
      <c r="H1437" s="6">
        <v>3</v>
      </c>
      <c r="I1437" s="6" t="s">
        <v>13</v>
      </c>
      <c r="J1437" s="6" t="str">
        <f>IF(Employee[[#This Row],[Attrition]]="Yes","Resigned","Active")</f>
        <v>Active</v>
      </c>
    </row>
    <row r="1438" spans="1:10" x14ac:dyDescent="0.25">
      <c r="A1438" s="6">
        <v>2021</v>
      </c>
      <c r="B1438" s="6">
        <v>21</v>
      </c>
      <c r="C1438" s="5" t="s">
        <v>8</v>
      </c>
      <c r="D1438" s="5" t="s">
        <v>18</v>
      </c>
      <c r="E1438" s="6">
        <v>1</v>
      </c>
      <c r="F1438" s="6">
        <v>2380</v>
      </c>
      <c r="G1438" s="6">
        <v>2</v>
      </c>
      <c r="H1438" s="6">
        <v>3</v>
      </c>
      <c r="I1438" s="6" t="s">
        <v>13</v>
      </c>
      <c r="J1438" s="6" t="str">
        <f>IF(Employee[[#This Row],[Attrition]]="Yes","Resigned","Active")</f>
        <v>Active</v>
      </c>
    </row>
    <row r="1439" spans="1:10" x14ac:dyDescent="0.25">
      <c r="A1439" s="6">
        <v>2022</v>
      </c>
      <c r="B1439" s="6">
        <v>39</v>
      </c>
      <c r="C1439" s="5" t="s">
        <v>11</v>
      </c>
      <c r="D1439" s="5" t="s">
        <v>17</v>
      </c>
      <c r="E1439" s="6">
        <v>5</v>
      </c>
      <c r="F1439" s="6">
        <v>19431</v>
      </c>
      <c r="G1439" s="6">
        <v>6</v>
      </c>
      <c r="H1439" s="6">
        <v>2</v>
      </c>
      <c r="I1439" s="6" t="s">
        <v>13</v>
      </c>
      <c r="J1439" s="6" t="str">
        <f>IF(Employee[[#This Row],[Attrition]]="Yes","Resigned","Active")</f>
        <v>Active</v>
      </c>
    </row>
    <row r="1440" spans="1:10" x14ac:dyDescent="0.25">
      <c r="A1440" s="6">
        <v>2023</v>
      </c>
      <c r="B1440" s="6">
        <v>23</v>
      </c>
      <c r="C1440" s="5" t="s">
        <v>8</v>
      </c>
      <c r="D1440" s="5" t="s">
        <v>18</v>
      </c>
      <c r="E1440" s="6">
        <v>1</v>
      </c>
      <c r="F1440" s="6">
        <v>1790</v>
      </c>
      <c r="G1440" s="6">
        <v>1</v>
      </c>
      <c r="H1440" s="6">
        <v>2</v>
      </c>
      <c r="I1440" s="6" t="s">
        <v>10</v>
      </c>
      <c r="J1440" s="6" t="str">
        <f>IF(Employee[[#This Row],[Attrition]]="Yes","Resigned","Active")</f>
        <v>Resigned</v>
      </c>
    </row>
    <row r="1441" spans="1:10" x14ac:dyDescent="0.25">
      <c r="A1441" s="6">
        <v>2024</v>
      </c>
      <c r="B1441" s="6">
        <v>36</v>
      </c>
      <c r="C1441" s="5" t="s">
        <v>8</v>
      </c>
      <c r="D1441" s="5" t="s">
        <v>9</v>
      </c>
      <c r="E1441" s="6">
        <v>3</v>
      </c>
      <c r="F1441" s="6">
        <v>7644</v>
      </c>
      <c r="G1441" s="6">
        <v>9</v>
      </c>
      <c r="H1441" s="6">
        <v>3</v>
      </c>
      <c r="I1441" s="6" t="s">
        <v>13</v>
      </c>
      <c r="J1441" s="6" t="str">
        <f>IF(Employee[[#This Row],[Attrition]]="Yes","Resigned","Active")</f>
        <v>Active</v>
      </c>
    </row>
    <row r="1442" spans="1:10" x14ac:dyDescent="0.25">
      <c r="A1442" s="6">
        <v>2025</v>
      </c>
      <c r="B1442" s="6">
        <v>36</v>
      </c>
      <c r="C1442" s="5" t="s">
        <v>11</v>
      </c>
      <c r="D1442" s="5" t="s">
        <v>15</v>
      </c>
      <c r="E1442" s="6">
        <v>2</v>
      </c>
      <c r="F1442" s="6">
        <v>5131</v>
      </c>
      <c r="G1442" s="6">
        <v>4</v>
      </c>
      <c r="H1442" s="6">
        <v>3</v>
      </c>
      <c r="I1442" s="6" t="s">
        <v>13</v>
      </c>
      <c r="J1442" s="6" t="str">
        <f>IF(Employee[[#This Row],[Attrition]]="Yes","Resigned","Active")</f>
        <v>Active</v>
      </c>
    </row>
    <row r="1443" spans="1:10" x14ac:dyDescent="0.25">
      <c r="A1443" s="6">
        <v>2026</v>
      </c>
      <c r="B1443" s="6">
        <v>56</v>
      </c>
      <c r="C1443" s="5" t="s">
        <v>11</v>
      </c>
      <c r="D1443" s="5" t="s">
        <v>16</v>
      </c>
      <c r="E1443" s="6">
        <v>2</v>
      </c>
      <c r="F1443" s="6">
        <v>6306</v>
      </c>
      <c r="G1443" s="6">
        <v>13</v>
      </c>
      <c r="H1443" s="6">
        <v>2</v>
      </c>
      <c r="I1443" s="6" t="s">
        <v>13</v>
      </c>
      <c r="J1443" s="6" t="str">
        <f>IF(Employee[[#This Row],[Attrition]]="Yes","Resigned","Active")</f>
        <v>Active</v>
      </c>
    </row>
    <row r="1444" spans="1:10" x14ac:dyDescent="0.25">
      <c r="A1444" s="6">
        <v>2027</v>
      </c>
      <c r="B1444" s="6">
        <v>29</v>
      </c>
      <c r="C1444" s="5" t="s">
        <v>11</v>
      </c>
      <c r="D1444" s="5" t="s">
        <v>12</v>
      </c>
      <c r="E1444" s="6">
        <v>1</v>
      </c>
      <c r="F1444" s="6">
        <v>4787</v>
      </c>
      <c r="G1444" s="6">
        <v>2</v>
      </c>
      <c r="H1444" s="6">
        <v>4</v>
      </c>
      <c r="I1444" s="6" t="s">
        <v>10</v>
      </c>
      <c r="J1444" s="6" t="str">
        <f>IF(Employee[[#This Row],[Attrition]]="Yes","Resigned","Active")</f>
        <v>Resigned</v>
      </c>
    </row>
    <row r="1445" spans="1:10" x14ac:dyDescent="0.25">
      <c r="A1445" s="6">
        <v>2031</v>
      </c>
      <c r="B1445" s="6">
        <v>42</v>
      </c>
      <c r="C1445" s="5" t="s">
        <v>11</v>
      </c>
      <c r="D1445" s="5" t="s">
        <v>17</v>
      </c>
      <c r="E1445" s="6">
        <v>5</v>
      </c>
      <c r="F1445" s="6">
        <v>18880</v>
      </c>
      <c r="G1445" s="6">
        <v>22</v>
      </c>
      <c r="H1445" s="6">
        <v>2</v>
      </c>
      <c r="I1445" s="6" t="s">
        <v>13</v>
      </c>
      <c r="J1445" s="6" t="str">
        <f>IF(Employee[[#This Row],[Attrition]]="Yes","Resigned","Active")</f>
        <v>Active</v>
      </c>
    </row>
    <row r="1446" spans="1:10" x14ac:dyDescent="0.25">
      <c r="A1446" s="6">
        <v>2032</v>
      </c>
      <c r="B1446" s="6">
        <v>56</v>
      </c>
      <c r="C1446" s="5" t="s">
        <v>11</v>
      </c>
      <c r="D1446" s="5" t="s">
        <v>14</v>
      </c>
      <c r="E1446" s="6">
        <v>1</v>
      </c>
      <c r="F1446" s="6">
        <v>2339</v>
      </c>
      <c r="G1446" s="6">
        <v>10</v>
      </c>
      <c r="H1446" s="6">
        <v>1</v>
      </c>
      <c r="I1446" s="6" t="s">
        <v>10</v>
      </c>
      <c r="J1446" s="6" t="str">
        <f>IF(Employee[[#This Row],[Attrition]]="Yes","Resigned","Active")</f>
        <v>Resigned</v>
      </c>
    </row>
    <row r="1447" spans="1:10" x14ac:dyDescent="0.25">
      <c r="A1447" s="6">
        <v>2034</v>
      </c>
      <c r="B1447" s="6">
        <v>41</v>
      </c>
      <c r="C1447" s="5" t="s">
        <v>11</v>
      </c>
      <c r="D1447" s="5" t="s">
        <v>15</v>
      </c>
      <c r="E1447" s="6">
        <v>4</v>
      </c>
      <c r="F1447" s="6">
        <v>13570</v>
      </c>
      <c r="G1447" s="6">
        <v>20</v>
      </c>
      <c r="H1447" s="6">
        <v>3</v>
      </c>
      <c r="I1447" s="6" t="s">
        <v>13</v>
      </c>
      <c r="J1447" s="6" t="str">
        <f>IF(Employee[[#This Row],[Attrition]]="Yes","Resigned","Active")</f>
        <v>Active</v>
      </c>
    </row>
    <row r="1448" spans="1:10" x14ac:dyDescent="0.25">
      <c r="A1448" s="6">
        <v>2035</v>
      </c>
      <c r="B1448" s="6">
        <v>34</v>
      </c>
      <c r="C1448" s="5" t="s">
        <v>8</v>
      </c>
      <c r="D1448" s="5" t="s">
        <v>9</v>
      </c>
      <c r="E1448" s="6">
        <v>2</v>
      </c>
      <c r="F1448" s="6">
        <v>6712</v>
      </c>
      <c r="G1448" s="6">
        <v>8</v>
      </c>
      <c r="H1448" s="6">
        <v>3</v>
      </c>
      <c r="I1448" s="6" t="s">
        <v>13</v>
      </c>
      <c r="J1448" s="6" t="str">
        <f>IF(Employee[[#This Row],[Attrition]]="Yes","Resigned","Active")</f>
        <v>Active</v>
      </c>
    </row>
    <row r="1449" spans="1:10" x14ac:dyDescent="0.25">
      <c r="A1449" s="6">
        <v>2036</v>
      </c>
      <c r="B1449" s="6">
        <v>36</v>
      </c>
      <c r="C1449" s="5" t="s">
        <v>8</v>
      </c>
      <c r="D1449" s="5" t="s">
        <v>9</v>
      </c>
      <c r="E1449" s="6">
        <v>2</v>
      </c>
      <c r="F1449" s="6">
        <v>5406</v>
      </c>
      <c r="G1449" s="6">
        <v>15</v>
      </c>
      <c r="H1449" s="6">
        <v>2</v>
      </c>
      <c r="I1449" s="6" t="s">
        <v>13</v>
      </c>
      <c r="J1449" s="6" t="str">
        <f>IF(Employee[[#This Row],[Attrition]]="Yes","Resigned","Active")</f>
        <v>Active</v>
      </c>
    </row>
    <row r="1450" spans="1:10" x14ac:dyDescent="0.25">
      <c r="A1450" s="6">
        <v>2037</v>
      </c>
      <c r="B1450" s="6">
        <v>41</v>
      </c>
      <c r="C1450" s="5" t="s">
        <v>8</v>
      </c>
      <c r="D1450" s="5" t="s">
        <v>9</v>
      </c>
      <c r="E1450" s="6">
        <v>2</v>
      </c>
      <c r="F1450" s="6">
        <v>8938</v>
      </c>
      <c r="G1450" s="6">
        <v>5</v>
      </c>
      <c r="H1450" s="6">
        <v>3</v>
      </c>
      <c r="I1450" s="6" t="s">
        <v>13</v>
      </c>
      <c r="J1450" s="6" t="str">
        <f>IF(Employee[[#This Row],[Attrition]]="Yes","Resigned","Active")</f>
        <v>Active</v>
      </c>
    </row>
    <row r="1451" spans="1:10" x14ac:dyDescent="0.25">
      <c r="A1451" s="6">
        <v>2038</v>
      </c>
      <c r="B1451" s="6">
        <v>32</v>
      </c>
      <c r="C1451" s="5" t="s">
        <v>11</v>
      </c>
      <c r="D1451" s="5" t="s">
        <v>12</v>
      </c>
      <c r="E1451" s="6">
        <v>1</v>
      </c>
      <c r="F1451" s="6">
        <v>2439</v>
      </c>
      <c r="G1451" s="6">
        <v>4</v>
      </c>
      <c r="H1451" s="6">
        <v>3</v>
      </c>
      <c r="I1451" s="6" t="s">
        <v>13</v>
      </c>
      <c r="J1451" s="6" t="str">
        <f>IF(Employee[[#This Row],[Attrition]]="Yes","Resigned","Active")</f>
        <v>Active</v>
      </c>
    </row>
    <row r="1452" spans="1:10" x14ac:dyDescent="0.25">
      <c r="A1452" s="6">
        <v>2040</v>
      </c>
      <c r="B1452" s="6">
        <v>35</v>
      </c>
      <c r="C1452" s="5" t="s">
        <v>20</v>
      </c>
      <c r="D1452" s="5" t="s">
        <v>20</v>
      </c>
      <c r="E1452" s="6">
        <v>3</v>
      </c>
      <c r="F1452" s="6">
        <v>8837</v>
      </c>
      <c r="G1452" s="6">
        <v>9</v>
      </c>
      <c r="H1452" s="6">
        <v>3</v>
      </c>
      <c r="I1452" s="6" t="s">
        <v>13</v>
      </c>
      <c r="J1452" s="6" t="str">
        <f>IF(Employee[[#This Row],[Attrition]]="Yes","Resigned","Active")</f>
        <v>Active</v>
      </c>
    </row>
    <row r="1453" spans="1:10" x14ac:dyDescent="0.25">
      <c r="A1453" s="6">
        <v>2041</v>
      </c>
      <c r="B1453" s="6">
        <v>38</v>
      </c>
      <c r="C1453" s="5" t="s">
        <v>8</v>
      </c>
      <c r="D1453" s="5" t="s">
        <v>9</v>
      </c>
      <c r="E1453" s="6">
        <v>2</v>
      </c>
      <c r="F1453" s="6">
        <v>5343</v>
      </c>
      <c r="G1453" s="6">
        <v>10</v>
      </c>
      <c r="H1453" s="6">
        <v>3</v>
      </c>
      <c r="I1453" s="6" t="s">
        <v>13</v>
      </c>
      <c r="J1453" s="6" t="str">
        <f>IF(Employee[[#This Row],[Attrition]]="Yes","Resigned","Active")</f>
        <v>Active</v>
      </c>
    </row>
    <row r="1454" spans="1:10" x14ac:dyDescent="0.25">
      <c r="A1454" s="6">
        <v>2044</v>
      </c>
      <c r="B1454" s="6">
        <v>50</v>
      </c>
      <c r="C1454" s="5" t="s">
        <v>8</v>
      </c>
      <c r="D1454" s="5" t="s">
        <v>9</v>
      </c>
      <c r="E1454" s="6">
        <v>2</v>
      </c>
      <c r="F1454" s="6">
        <v>6728</v>
      </c>
      <c r="G1454" s="6">
        <v>6</v>
      </c>
      <c r="H1454" s="6">
        <v>3</v>
      </c>
      <c r="I1454" s="6" t="s">
        <v>10</v>
      </c>
      <c r="J1454" s="6" t="str">
        <f>IF(Employee[[#This Row],[Attrition]]="Yes","Resigned","Active")</f>
        <v>Resigned</v>
      </c>
    </row>
    <row r="1455" spans="1:10" x14ac:dyDescent="0.25">
      <c r="A1455" s="6">
        <v>2045</v>
      </c>
      <c r="B1455" s="6">
        <v>36</v>
      </c>
      <c r="C1455" s="5" t="s">
        <v>8</v>
      </c>
      <c r="D1455" s="5" t="s">
        <v>9</v>
      </c>
      <c r="E1455" s="6">
        <v>2</v>
      </c>
      <c r="F1455" s="6">
        <v>6652</v>
      </c>
      <c r="G1455" s="6">
        <v>6</v>
      </c>
      <c r="H1455" s="6">
        <v>2</v>
      </c>
      <c r="I1455" s="6" t="s">
        <v>13</v>
      </c>
      <c r="J1455" s="6" t="str">
        <f>IF(Employee[[#This Row],[Attrition]]="Yes","Resigned","Active")</f>
        <v>Active</v>
      </c>
    </row>
    <row r="1456" spans="1:10" x14ac:dyDescent="0.25">
      <c r="A1456" s="6">
        <v>2046</v>
      </c>
      <c r="B1456" s="6">
        <v>45</v>
      </c>
      <c r="C1456" s="5" t="s">
        <v>8</v>
      </c>
      <c r="D1456" s="5" t="s">
        <v>9</v>
      </c>
      <c r="E1456" s="6">
        <v>2</v>
      </c>
      <c r="F1456" s="6">
        <v>4850</v>
      </c>
      <c r="G1456" s="6">
        <v>5</v>
      </c>
      <c r="H1456" s="6">
        <v>3</v>
      </c>
      <c r="I1456" s="6" t="s">
        <v>13</v>
      </c>
      <c r="J1456" s="6" t="str">
        <f>IF(Employee[[#This Row],[Attrition]]="Yes","Resigned","Active")</f>
        <v>Active</v>
      </c>
    </row>
    <row r="1457" spans="1:10" x14ac:dyDescent="0.25">
      <c r="A1457" s="6">
        <v>2048</v>
      </c>
      <c r="B1457" s="6">
        <v>40</v>
      </c>
      <c r="C1457" s="5" t="s">
        <v>11</v>
      </c>
      <c r="D1457" s="5" t="s">
        <v>12</v>
      </c>
      <c r="E1457" s="6">
        <v>1</v>
      </c>
      <c r="F1457" s="6">
        <v>2809</v>
      </c>
      <c r="G1457" s="6">
        <v>2</v>
      </c>
      <c r="H1457" s="6">
        <v>3</v>
      </c>
      <c r="I1457" s="6" t="s">
        <v>13</v>
      </c>
      <c r="J1457" s="6" t="str">
        <f>IF(Employee[[#This Row],[Attrition]]="Yes","Resigned","Active")</f>
        <v>Active</v>
      </c>
    </row>
    <row r="1458" spans="1:10" x14ac:dyDescent="0.25">
      <c r="A1458" s="6">
        <v>2049</v>
      </c>
      <c r="B1458" s="6">
        <v>35</v>
      </c>
      <c r="C1458" s="5" t="s">
        <v>11</v>
      </c>
      <c r="D1458" s="5" t="s">
        <v>16</v>
      </c>
      <c r="E1458" s="6">
        <v>2</v>
      </c>
      <c r="F1458" s="6">
        <v>5689</v>
      </c>
      <c r="G1458" s="6">
        <v>10</v>
      </c>
      <c r="H1458" s="6">
        <v>4</v>
      </c>
      <c r="I1458" s="6" t="s">
        <v>13</v>
      </c>
      <c r="J1458" s="6" t="str">
        <f>IF(Employee[[#This Row],[Attrition]]="Yes","Resigned","Active")</f>
        <v>Active</v>
      </c>
    </row>
    <row r="1459" spans="1:10" x14ac:dyDescent="0.25">
      <c r="A1459" s="6">
        <v>2051</v>
      </c>
      <c r="B1459" s="6">
        <v>40</v>
      </c>
      <c r="C1459" s="5" t="s">
        <v>11</v>
      </c>
      <c r="D1459" s="5" t="s">
        <v>12</v>
      </c>
      <c r="E1459" s="6">
        <v>1</v>
      </c>
      <c r="F1459" s="6">
        <v>2001</v>
      </c>
      <c r="G1459" s="6">
        <v>5</v>
      </c>
      <c r="H1459" s="6">
        <v>3</v>
      </c>
      <c r="I1459" s="6" t="s">
        <v>13</v>
      </c>
      <c r="J1459" s="6" t="str">
        <f>IF(Employee[[#This Row],[Attrition]]="Yes","Resigned","Active")</f>
        <v>Active</v>
      </c>
    </row>
    <row r="1460" spans="1:10" x14ac:dyDescent="0.25">
      <c r="A1460" s="6">
        <v>2052</v>
      </c>
      <c r="B1460" s="6">
        <v>35</v>
      </c>
      <c r="C1460" s="5" t="s">
        <v>11</v>
      </c>
      <c r="D1460" s="5" t="s">
        <v>12</v>
      </c>
      <c r="E1460" s="6">
        <v>1</v>
      </c>
      <c r="F1460" s="6">
        <v>2977</v>
      </c>
      <c r="G1460" s="6">
        <v>4</v>
      </c>
      <c r="H1460" s="6">
        <v>3</v>
      </c>
      <c r="I1460" s="6" t="s">
        <v>13</v>
      </c>
      <c r="J1460" s="6" t="str">
        <f>IF(Employee[[#This Row],[Attrition]]="Yes","Resigned","Active")</f>
        <v>Active</v>
      </c>
    </row>
    <row r="1461" spans="1:10" x14ac:dyDescent="0.25">
      <c r="A1461" s="6">
        <v>2053</v>
      </c>
      <c r="B1461" s="6">
        <v>29</v>
      </c>
      <c r="C1461" s="5" t="s">
        <v>11</v>
      </c>
      <c r="D1461" s="5" t="s">
        <v>14</v>
      </c>
      <c r="E1461" s="6">
        <v>2</v>
      </c>
      <c r="F1461" s="6">
        <v>4025</v>
      </c>
      <c r="G1461" s="6">
        <v>4</v>
      </c>
      <c r="H1461" s="6">
        <v>3</v>
      </c>
      <c r="I1461" s="6" t="s">
        <v>13</v>
      </c>
      <c r="J1461" s="6" t="str">
        <f>IF(Employee[[#This Row],[Attrition]]="Yes","Resigned","Active")</f>
        <v>Active</v>
      </c>
    </row>
    <row r="1462" spans="1:10" x14ac:dyDescent="0.25">
      <c r="A1462" s="6">
        <v>2054</v>
      </c>
      <c r="B1462" s="6">
        <v>29</v>
      </c>
      <c r="C1462" s="5" t="s">
        <v>11</v>
      </c>
      <c r="D1462" s="5" t="s">
        <v>12</v>
      </c>
      <c r="E1462" s="6">
        <v>1</v>
      </c>
      <c r="F1462" s="6">
        <v>3785</v>
      </c>
      <c r="G1462" s="6">
        <v>5</v>
      </c>
      <c r="H1462" s="6">
        <v>1</v>
      </c>
      <c r="I1462" s="6" t="s">
        <v>13</v>
      </c>
      <c r="J1462" s="6" t="str">
        <f>IF(Employee[[#This Row],[Attrition]]="Yes","Resigned","Active")</f>
        <v>Active</v>
      </c>
    </row>
    <row r="1463" spans="1:10" x14ac:dyDescent="0.25">
      <c r="A1463" s="6">
        <v>2055</v>
      </c>
      <c r="B1463" s="6">
        <v>50</v>
      </c>
      <c r="C1463" s="5" t="s">
        <v>8</v>
      </c>
      <c r="D1463" s="5" t="s">
        <v>9</v>
      </c>
      <c r="E1463" s="6">
        <v>3</v>
      </c>
      <c r="F1463" s="6">
        <v>10854</v>
      </c>
      <c r="G1463" s="6">
        <v>3</v>
      </c>
      <c r="H1463" s="6">
        <v>3</v>
      </c>
      <c r="I1463" s="6" t="s">
        <v>10</v>
      </c>
      <c r="J1463" s="6" t="str">
        <f>IF(Employee[[#This Row],[Attrition]]="Yes","Resigned","Active")</f>
        <v>Resigned</v>
      </c>
    </row>
    <row r="1464" spans="1:10" x14ac:dyDescent="0.25">
      <c r="A1464" s="6">
        <v>2056</v>
      </c>
      <c r="B1464" s="6">
        <v>39</v>
      </c>
      <c r="C1464" s="5" t="s">
        <v>8</v>
      </c>
      <c r="D1464" s="5" t="s">
        <v>9</v>
      </c>
      <c r="E1464" s="6">
        <v>4</v>
      </c>
      <c r="F1464" s="6">
        <v>12031</v>
      </c>
      <c r="G1464" s="6">
        <v>20</v>
      </c>
      <c r="H1464" s="6">
        <v>2</v>
      </c>
      <c r="I1464" s="6" t="s">
        <v>13</v>
      </c>
      <c r="J1464" s="6" t="str">
        <f>IF(Employee[[#This Row],[Attrition]]="Yes","Resigned","Active")</f>
        <v>Active</v>
      </c>
    </row>
    <row r="1465" spans="1:10" x14ac:dyDescent="0.25">
      <c r="A1465" s="6">
        <v>2057</v>
      </c>
      <c r="B1465" s="6">
        <v>31</v>
      </c>
      <c r="C1465" s="5" t="s">
        <v>11</v>
      </c>
      <c r="D1465" s="5" t="s">
        <v>15</v>
      </c>
      <c r="E1465" s="6">
        <v>2</v>
      </c>
      <c r="F1465" s="6">
        <v>9936</v>
      </c>
      <c r="G1465" s="6">
        <v>9</v>
      </c>
      <c r="H1465" s="6">
        <v>3</v>
      </c>
      <c r="I1465" s="6" t="s">
        <v>13</v>
      </c>
      <c r="J1465" s="6" t="str">
        <f>IF(Employee[[#This Row],[Attrition]]="Yes","Resigned","Active")</f>
        <v>Active</v>
      </c>
    </row>
    <row r="1466" spans="1:10" x14ac:dyDescent="0.25">
      <c r="A1466" s="6">
        <v>2060</v>
      </c>
      <c r="B1466" s="6">
        <v>26</v>
      </c>
      <c r="C1466" s="5" t="s">
        <v>8</v>
      </c>
      <c r="D1466" s="5" t="s">
        <v>18</v>
      </c>
      <c r="E1466" s="6">
        <v>1</v>
      </c>
      <c r="F1466" s="6">
        <v>2966</v>
      </c>
      <c r="G1466" s="6">
        <v>4</v>
      </c>
      <c r="H1466" s="6">
        <v>3</v>
      </c>
      <c r="I1466" s="6" t="s">
        <v>13</v>
      </c>
      <c r="J1466" s="6" t="str">
        <f>IF(Employee[[#This Row],[Attrition]]="Yes","Resigned","Active")</f>
        <v>Active</v>
      </c>
    </row>
    <row r="1467" spans="1:10" x14ac:dyDescent="0.25">
      <c r="A1467" s="6">
        <v>2061</v>
      </c>
      <c r="B1467" s="6">
        <v>36</v>
      </c>
      <c r="C1467" s="5" t="s">
        <v>11</v>
      </c>
      <c r="D1467" s="5" t="s">
        <v>14</v>
      </c>
      <c r="E1467" s="6">
        <v>2</v>
      </c>
      <c r="F1467" s="6">
        <v>2571</v>
      </c>
      <c r="G1467" s="6">
        <v>5</v>
      </c>
      <c r="H1467" s="6">
        <v>3</v>
      </c>
      <c r="I1467" s="6" t="s">
        <v>13</v>
      </c>
      <c r="J1467" s="6" t="str">
        <f>IF(Employee[[#This Row],[Attrition]]="Yes","Resigned","Active")</f>
        <v>Active</v>
      </c>
    </row>
    <row r="1468" spans="1:10" x14ac:dyDescent="0.25">
      <c r="A1468" s="6">
        <v>2062</v>
      </c>
      <c r="B1468" s="6">
        <v>39</v>
      </c>
      <c r="C1468" s="5" t="s">
        <v>11</v>
      </c>
      <c r="D1468" s="5" t="s">
        <v>16</v>
      </c>
      <c r="E1468" s="6">
        <v>3</v>
      </c>
      <c r="F1468" s="6">
        <v>9991</v>
      </c>
      <c r="G1468" s="6">
        <v>7</v>
      </c>
      <c r="H1468" s="6">
        <v>3</v>
      </c>
      <c r="I1468" s="6" t="s">
        <v>13</v>
      </c>
      <c r="J1468" s="6" t="str">
        <f>IF(Employee[[#This Row],[Attrition]]="Yes","Resigned","Active")</f>
        <v>Active</v>
      </c>
    </row>
    <row r="1469" spans="1:10" x14ac:dyDescent="0.25">
      <c r="A1469" s="6">
        <v>2064</v>
      </c>
      <c r="B1469" s="6">
        <v>27</v>
      </c>
      <c r="C1469" s="5" t="s">
        <v>11</v>
      </c>
      <c r="D1469" s="5" t="s">
        <v>15</v>
      </c>
      <c r="E1469" s="6">
        <v>2</v>
      </c>
      <c r="F1469" s="6">
        <v>6142</v>
      </c>
      <c r="G1469" s="6">
        <v>6</v>
      </c>
      <c r="H1469" s="6">
        <v>3</v>
      </c>
      <c r="I1469" s="6" t="s">
        <v>13</v>
      </c>
      <c r="J1469" s="6" t="str">
        <f>IF(Employee[[#This Row],[Attrition]]="Yes","Resigned","Active")</f>
        <v>Active</v>
      </c>
    </row>
    <row r="1470" spans="1:10" x14ac:dyDescent="0.25">
      <c r="A1470" s="6">
        <v>2065</v>
      </c>
      <c r="B1470" s="6">
        <v>49</v>
      </c>
      <c r="C1470" s="5" t="s">
        <v>8</v>
      </c>
      <c r="D1470" s="5" t="s">
        <v>9</v>
      </c>
      <c r="E1470" s="6">
        <v>2</v>
      </c>
      <c r="F1470" s="6">
        <v>5390</v>
      </c>
      <c r="G1470" s="6">
        <v>9</v>
      </c>
      <c r="H1470" s="6">
        <v>2</v>
      </c>
      <c r="I1470" s="6" t="s">
        <v>13</v>
      </c>
      <c r="J1470" s="6" t="str">
        <f>IF(Employee[[#This Row],[Attrition]]="Yes","Resigned","Active")</f>
        <v>Active</v>
      </c>
    </row>
    <row r="1471" spans="1:10" x14ac:dyDescent="0.25">
      <c r="A1471" s="6">
        <v>2068</v>
      </c>
      <c r="B1471" s="6">
        <v>34</v>
      </c>
      <c r="C1471" s="5" t="s">
        <v>11</v>
      </c>
      <c r="D1471" s="5" t="s">
        <v>14</v>
      </c>
      <c r="E1471" s="6">
        <v>2</v>
      </c>
      <c r="F1471" s="6">
        <v>4404</v>
      </c>
      <c r="G1471" s="6">
        <v>4</v>
      </c>
      <c r="H1471" s="6">
        <v>4</v>
      </c>
      <c r="I1471" s="6" t="s">
        <v>13</v>
      </c>
      <c r="J1471" s="6" t="str">
        <f>IF(Employee[[#This Row],[Attrition]]="Yes","Resigned","Active")</f>
        <v>Active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190D-3892-427C-8B04-4B456A7099C3}">
  <dimension ref="A1:I1471"/>
  <sheetViews>
    <sheetView zoomScaleNormal="100" workbookViewId="0">
      <selection activeCell="B1" sqref="B1"/>
    </sheetView>
  </sheetViews>
  <sheetFormatPr defaultRowHeight="15" x14ac:dyDescent="0.25"/>
  <cols>
    <col min="1" max="1" width="13.85546875" customWidth="1"/>
    <col min="2" max="2" width="28.140625" style="3" customWidth="1"/>
    <col min="3" max="3" width="18" style="1" customWidth="1"/>
    <col min="4" max="4" width="13.140625" style="1" customWidth="1"/>
    <col min="5" max="5" width="11.5703125" style="1" customWidth="1"/>
    <col min="6" max="6" width="12.85546875" style="1" customWidth="1"/>
    <col min="7" max="7" width="12.42578125" style="1" customWidth="1"/>
    <col min="8" max="8" width="13.140625" style="1" customWidth="1"/>
    <col min="9" max="9" width="11.5703125" style="2" bestFit="1" customWidth="1"/>
    <col min="10" max="10" width="19.5703125" bestFit="1" customWidth="1"/>
  </cols>
  <sheetData>
    <row r="1" spans="1:9" s="4" customFormat="1" x14ac:dyDescent="0.25">
      <c r="A1" s="4" t="s">
        <v>0</v>
      </c>
      <c r="B1" s="4" t="s">
        <v>2</v>
      </c>
      <c r="C1" s="11" t="s">
        <v>5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2" t="s">
        <v>28</v>
      </c>
    </row>
    <row r="2" spans="1:9" x14ac:dyDescent="0.25">
      <c r="A2" s="6">
        <v>1</v>
      </c>
      <c r="B2" s="5" t="str">
        <f>VLOOKUP(A2, EmployeeMaster!$A:$D, 3, FALSE)</f>
        <v>Sales</v>
      </c>
      <c r="C2" s="8">
        <v>5993</v>
      </c>
      <c r="D2" s="8">
        <f>C2*20%</f>
        <v>1198.6000000000001</v>
      </c>
      <c r="E2" s="8">
        <f>C2*12%</f>
        <v>719.16</v>
      </c>
      <c r="F2" s="8">
        <f>C2*10%</f>
        <v>599.30000000000007</v>
      </c>
      <c r="G2" s="8">
        <f>C2+D2</f>
        <v>7191.6</v>
      </c>
      <c r="H2" s="8">
        <f>E2+F2</f>
        <v>1318.46</v>
      </c>
      <c r="I2" s="10">
        <f>G2-H2</f>
        <v>5873.14</v>
      </c>
    </row>
    <row r="3" spans="1:9" x14ac:dyDescent="0.25">
      <c r="A3" s="6">
        <v>2</v>
      </c>
      <c r="B3" s="5" t="str">
        <f>VLOOKUP(A3, EmployeeMaster!$A:$D, 3, FALSE)</f>
        <v>Research &amp; Development</v>
      </c>
      <c r="C3" s="8">
        <v>5130</v>
      </c>
      <c r="D3" s="8">
        <f t="shared" ref="D3:D66" si="0">C3*20%</f>
        <v>1026</v>
      </c>
      <c r="E3" s="8">
        <f t="shared" ref="E3:E66" si="1">C3*12%</f>
        <v>615.6</v>
      </c>
      <c r="F3" s="8">
        <f t="shared" ref="F3:F66" si="2">C3*10%</f>
        <v>513</v>
      </c>
      <c r="G3" s="8">
        <f t="shared" ref="G3:G66" si="3">C3+D3</f>
        <v>6156</v>
      </c>
      <c r="H3" s="8">
        <f t="shared" ref="H3:H66" si="4">E3+F3</f>
        <v>1128.5999999999999</v>
      </c>
      <c r="I3" s="10">
        <f t="shared" ref="I3:I66" si="5">G3-H3</f>
        <v>5027.3999999999996</v>
      </c>
    </row>
    <row r="4" spans="1:9" x14ac:dyDescent="0.25">
      <c r="A4" s="6">
        <v>4</v>
      </c>
      <c r="B4" s="5" t="str">
        <f>VLOOKUP(A4, EmployeeMaster!$A:$D, 3, FALSE)</f>
        <v>Research &amp; Development</v>
      </c>
      <c r="C4" s="8">
        <v>2090</v>
      </c>
      <c r="D4" s="8">
        <f t="shared" si="0"/>
        <v>418</v>
      </c>
      <c r="E4" s="8">
        <f t="shared" si="1"/>
        <v>250.79999999999998</v>
      </c>
      <c r="F4" s="8">
        <f t="shared" si="2"/>
        <v>209</v>
      </c>
      <c r="G4" s="8">
        <f t="shared" si="3"/>
        <v>2508</v>
      </c>
      <c r="H4" s="8">
        <f t="shared" si="4"/>
        <v>459.79999999999995</v>
      </c>
      <c r="I4" s="10">
        <f t="shared" si="5"/>
        <v>2048.1999999999998</v>
      </c>
    </row>
    <row r="5" spans="1:9" x14ac:dyDescent="0.25">
      <c r="A5" s="6">
        <v>5</v>
      </c>
      <c r="B5" s="5" t="str">
        <f>VLOOKUP(A5, EmployeeMaster!$A:$D, 3, FALSE)</f>
        <v>Research &amp; Development</v>
      </c>
      <c r="C5" s="8">
        <v>2909</v>
      </c>
      <c r="D5" s="8">
        <f t="shared" si="0"/>
        <v>581.80000000000007</v>
      </c>
      <c r="E5" s="8">
        <f t="shared" si="1"/>
        <v>349.08</v>
      </c>
      <c r="F5" s="8">
        <f t="shared" si="2"/>
        <v>290.90000000000003</v>
      </c>
      <c r="G5" s="8">
        <f t="shared" si="3"/>
        <v>3490.8</v>
      </c>
      <c r="H5" s="8">
        <f t="shared" si="4"/>
        <v>639.98</v>
      </c>
      <c r="I5" s="10">
        <f t="shared" si="5"/>
        <v>2850.82</v>
      </c>
    </row>
    <row r="6" spans="1:9" x14ac:dyDescent="0.25">
      <c r="A6" s="6">
        <v>7</v>
      </c>
      <c r="B6" s="5" t="str">
        <f>VLOOKUP(A6, EmployeeMaster!$A:$D, 3, FALSE)</f>
        <v>Research &amp; Development</v>
      </c>
      <c r="C6" s="8">
        <v>3468</v>
      </c>
      <c r="D6" s="8">
        <f t="shared" si="0"/>
        <v>693.6</v>
      </c>
      <c r="E6" s="8">
        <f t="shared" si="1"/>
        <v>416.15999999999997</v>
      </c>
      <c r="F6" s="8">
        <f t="shared" si="2"/>
        <v>346.8</v>
      </c>
      <c r="G6" s="8">
        <f t="shared" si="3"/>
        <v>4161.6000000000004</v>
      </c>
      <c r="H6" s="8">
        <f t="shared" si="4"/>
        <v>762.96</v>
      </c>
      <c r="I6" s="10">
        <f t="shared" si="5"/>
        <v>3398.6400000000003</v>
      </c>
    </row>
    <row r="7" spans="1:9" x14ac:dyDescent="0.25">
      <c r="A7" s="6">
        <v>8</v>
      </c>
      <c r="B7" s="5" t="str">
        <f>VLOOKUP(A7, EmployeeMaster!$A:$D, 3, FALSE)</f>
        <v>Research &amp; Development</v>
      </c>
      <c r="C7" s="8">
        <v>3068</v>
      </c>
      <c r="D7" s="8">
        <f t="shared" si="0"/>
        <v>613.6</v>
      </c>
      <c r="E7" s="8">
        <f t="shared" si="1"/>
        <v>368.15999999999997</v>
      </c>
      <c r="F7" s="8">
        <f t="shared" si="2"/>
        <v>306.8</v>
      </c>
      <c r="G7" s="8">
        <f t="shared" si="3"/>
        <v>3681.6</v>
      </c>
      <c r="H7" s="8">
        <f t="shared" si="4"/>
        <v>674.96</v>
      </c>
      <c r="I7" s="10">
        <f t="shared" si="5"/>
        <v>3006.64</v>
      </c>
    </row>
    <row r="8" spans="1:9" x14ac:dyDescent="0.25">
      <c r="A8" s="6">
        <v>10</v>
      </c>
      <c r="B8" s="5" t="str">
        <f>VLOOKUP(A8, EmployeeMaster!$A:$D, 3, FALSE)</f>
        <v>Research &amp; Development</v>
      </c>
      <c r="C8" s="8">
        <v>2670</v>
      </c>
      <c r="D8" s="8">
        <f t="shared" si="0"/>
        <v>534</v>
      </c>
      <c r="E8" s="8">
        <f t="shared" si="1"/>
        <v>320.39999999999998</v>
      </c>
      <c r="F8" s="8">
        <f t="shared" si="2"/>
        <v>267</v>
      </c>
      <c r="G8" s="8">
        <f t="shared" si="3"/>
        <v>3204</v>
      </c>
      <c r="H8" s="8">
        <f t="shared" si="4"/>
        <v>587.4</v>
      </c>
      <c r="I8" s="10">
        <f t="shared" si="5"/>
        <v>2616.6</v>
      </c>
    </row>
    <row r="9" spans="1:9" x14ac:dyDescent="0.25">
      <c r="A9" s="6">
        <v>11</v>
      </c>
      <c r="B9" s="5" t="str">
        <f>VLOOKUP(A9, EmployeeMaster!$A:$D, 3, FALSE)</f>
        <v>Research &amp; Development</v>
      </c>
      <c r="C9" s="8">
        <v>2693</v>
      </c>
      <c r="D9" s="8">
        <f t="shared" si="0"/>
        <v>538.6</v>
      </c>
      <c r="E9" s="8">
        <f t="shared" si="1"/>
        <v>323.15999999999997</v>
      </c>
      <c r="F9" s="8">
        <f t="shared" si="2"/>
        <v>269.3</v>
      </c>
      <c r="G9" s="8">
        <f t="shared" si="3"/>
        <v>3231.6</v>
      </c>
      <c r="H9" s="8">
        <f t="shared" si="4"/>
        <v>592.46</v>
      </c>
      <c r="I9" s="10">
        <f t="shared" si="5"/>
        <v>2639.14</v>
      </c>
    </row>
    <row r="10" spans="1:9" x14ac:dyDescent="0.25">
      <c r="A10" s="6">
        <v>12</v>
      </c>
      <c r="B10" s="5" t="str">
        <f>VLOOKUP(A10, EmployeeMaster!$A:$D, 3, FALSE)</f>
        <v>Research &amp; Development</v>
      </c>
      <c r="C10" s="8">
        <v>9526</v>
      </c>
      <c r="D10" s="8">
        <f t="shared" si="0"/>
        <v>1905.2</v>
      </c>
      <c r="E10" s="8">
        <f t="shared" si="1"/>
        <v>1143.1199999999999</v>
      </c>
      <c r="F10" s="8">
        <f t="shared" si="2"/>
        <v>952.6</v>
      </c>
      <c r="G10" s="8">
        <f t="shared" si="3"/>
        <v>11431.2</v>
      </c>
      <c r="H10" s="8">
        <f t="shared" si="4"/>
        <v>2095.7199999999998</v>
      </c>
      <c r="I10" s="10">
        <f t="shared" si="5"/>
        <v>9335.4800000000014</v>
      </c>
    </row>
    <row r="11" spans="1:9" x14ac:dyDescent="0.25">
      <c r="A11" s="6">
        <v>13</v>
      </c>
      <c r="B11" s="5" t="str">
        <f>VLOOKUP(A11, EmployeeMaster!$A:$D, 3, FALSE)</f>
        <v>Research &amp; Development</v>
      </c>
      <c r="C11" s="8">
        <v>5237</v>
      </c>
      <c r="D11" s="8">
        <f t="shared" si="0"/>
        <v>1047.4000000000001</v>
      </c>
      <c r="E11" s="8">
        <f t="shared" si="1"/>
        <v>628.43999999999994</v>
      </c>
      <c r="F11" s="8">
        <f t="shared" si="2"/>
        <v>523.70000000000005</v>
      </c>
      <c r="G11" s="8">
        <f t="shared" si="3"/>
        <v>6284.4</v>
      </c>
      <c r="H11" s="8">
        <f t="shared" si="4"/>
        <v>1152.1399999999999</v>
      </c>
      <c r="I11" s="10">
        <f t="shared" si="5"/>
        <v>5132.26</v>
      </c>
    </row>
    <row r="12" spans="1:9" x14ac:dyDescent="0.25">
      <c r="A12" s="6">
        <v>14</v>
      </c>
      <c r="B12" s="5" t="str">
        <f>VLOOKUP(A12, EmployeeMaster!$A:$D, 3, FALSE)</f>
        <v>Research &amp; Development</v>
      </c>
      <c r="C12" s="8">
        <v>2426</v>
      </c>
      <c r="D12" s="8">
        <f t="shared" si="0"/>
        <v>485.20000000000005</v>
      </c>
      <c r="E12" s="8">
        <f t="shared" si="1"/>
        <v>291.12</v>
      </c>
      <c r="F12" s="8">
        <f t="shared" si="2"/>
        <v>242.60000000000002</v>
      </c>
      <c r="G12" s="8">
        <f t="shared" si="3"/>
        <v>2911.2</v>
      </c>
      <c r="H12" s="8">
        <f t="shared" si="4"/>
        <v>533.72</v>
      </c>
      <c r="I12" s="10">
        <f t="shared" si="5"/>
        <v>2377.4799999999996</v>
      </c>
    </row>
    <row r="13" spans="1:9" x14ac:dyDescent="0.25">
      <c r="A13" s="6">
        <v>15</v>
      </c>
      <c r="B13" s="5" t="str">
        <f>VLOOKUP(A13, EmployeeMaster!$A:$D, 3, FALSE)</f>
        <v>Research &amp; Development</v>
      </c>
      <c r="C13" s="8">
        <v>4193</v>
      </c>
      <c r="D13" s="8">
        <f t="shared" si="0"/>
        <v>838.6</v>
      </c>
      <c r="E13" s="8">
        <f t="shared" si="1"/>
        <v>503.15999999999997</v>
      </c>
      <c r="F13" s="8">
        <f t="shared" si="2"/>
        <v>419.3</v>
      </c>
      <c r="G13" s="8">
        <f t="shared" si="3"/>
        <v>5031.6000000000004</v>
      </c>
      <c r="H13" s="8">
        <f t="shared" si="4"/>
        <v>922.46</v>
      </c>
      <c r="I13" s="10">
        <f t="shared" si="5"/>
        <v>4109.1400000000003</v>
      </c>
    </row>
    <row r="14" spans="1:9" x14ac:dyDescent="0.25">
      <c r="A14" s="6">
        <v>16</v>
      </c>
      <c r="B14" s="5" t="str">
        <f>VLOOKUP(A14, EmployeeMaster!$A:$D, 3, FALSE)</f>
        <v>Research &amp; Development</v>
      </c>
      <c r="C14" s="8">
        <v>2911</v>
      </c>
      <c r="D14" s="8">
        <f t="shared" si="0"/>
        <v>582.20000000000005</v>
      </c>
      <c r="E14" s="8">
        <f t="shared" si="1"/>
        <v>349.32</v>
      </c>
      <c r="F14" s="8">
        <f t="shared" si="2"/>
        <v>291.10000000000002</v>
      </c>
      <c r="G14" s="8">
        <f t="shared" si="3"/>
        <v>3493.2</v>
      </c>
      <c r="H14" s="8">
        <f t="shared" si="4"/>
        <v>640.42000000000007</v>
      </c>
      <c r="I14" s="10">
        <f t="shared" si="5"/>
        <v>2852.7799999999997</v>
      </c>
    </row>
    <row r="15" spans="1:9" x14ac:dyDescent="0.25">
      <c r="A15" s="6">
        <v>18</v>
      </c>
      <c r="B15" s="5" t="str">
        <f>VLOOKUP(A15, EmployeeMaster!$A:$D, 3, FALSE)</f>
        <v>Research &amp; Development</v>
      </c>
      <c r="C15" s="8">
        <v>2661</v>
      </c>
      <c r="D15" s="8">
        <f t="shared" si="0"/>
        <v>532.20000000000005</v>
      </c>
      <c r="E15" s="8">
        <f t="shared" si="1"/>
        <v>319.32</v>
      </c>
      <c r="F15" s="8">
        <f t="shared" si="2"/>
        <v>266.10000000000002</v>
      </c>
      <c r="G15" s="8">
        <f t="shared" si="3"/>
        <v>3193.2</v>
      </c>
      <c r="H15" s="8">
        <f t="shared" si="4"/>
        <v>585.42000000000007</v>
      </c>
      <c r="I15" s="10">
        <f t="shared" si="5"/>
        <v>2607.7799999999997</v>
      </c>
    </row>
    <row r="16" spans="1:9" x14ac:dyDescent="0.25">
      <c r="A16" s="6">
        <v>19</v>
      </c>
      <c r="B16" s="5" t="str">
        <f>VLOOKUP(A16, EmployeeMaster!$A:$D, 3, FALSE)</f>
        <v>Research &amp; Development</v>
      </c>
      <c r="C16" s="8">
        <v>2028</v>
      </c>
      <c r="D16" s="8">
        <f t="shared" si="0"/>
        <v>405.6</v>
      </c>
      <c r="E16" s="8">
        <f t="shared" si="1"/>
        <v>243.35999999999999</v>
      </c>
      <c r="F16" s="8">
        <f t="shared" si="2"/>
        <v>202.8</v>
      </c>
      <c r="G16" s="8">
        <f t="shared" si="3"/>
        <v>2433.6</v>
      </c>
      <c r="H16" s="8">
        <f t="shared" si="4"/>
        <v>446.15999999999997</v>
      </c>
      <c r="I16" s="10">
        <f t="shared" si="5"/>
        <v>1987.44</v>
      </c>
    </row>
    <row r="17" spans="1:9" x14ac:dyDescent="0.25">
      <c r="A17" s="6">
        <v>20</v>
      </c>
      <c r="B17" s="5" t="str">
        <f>VLOOKUP(A17, EmployeeMaster!$A:$D, 3, FALSE)</f>
        <v>Research &amp; Development</v>
      </c>
      <c r="C17" s="8">
        <v>9980</v>
      </c>
      <c r="D17" s="8">
        <f t="shared" si="0"/>
        <v>1996</v>
      </c>
      <c r="E17" s="8">
        <f t="shared" si="1"/>
        <v>1197.5999999999999</v>
      </c>
      <c r="F17" s="8">
        <f t="shared" si="2"/>
        <v>998</v>
      </c>
      <c r="G17" s="8">
        <f t="shared" si="3"/>
        <v>11976</v>
      </c>
      <c r="H17" s="8">
        <f t="shared" si="4"/>
        <v>2195.6</v>
      </c>
      <c r="I17" s="10">
        <f t="shared" si="5"/>
        <v>9780.4</v>
      </c>
    </row>
    <row r="18" spans="1:9" x14ac:dyDescent="0.25">
      <c r="A18" s="6">
        <v>21</v>
      </c>
      <c r="B18" s="5" t="str">
        <f>VLOOKUP(A18, EmployeeMaster!$A:$D, 3, FALSE)</f>
        <v>Research &amp; Development</v>
      </c>
      <c r="C18" s="8">
        <v>3298</v>
      </c>
      <c r="D18" s="8">
        <f t="shared" si="0"/>
        <v>659.6</v>
      </c>
      <c r="E18" s="8">
        <f t="shared" si="1"/>
        <v>395.76</v>
      </c>
      <c r="F18" s="8">
        <f t="shared" si="2"/>
        <v>329.8</v>
      </c>
      <c r="G18" s="8">
        <f t="shared" si="3"/>
        <v>3957.6</v>
      </c>
      <c r="H18" s="8">
        <f t="shared" si="4"/>
        <v>725.56</v>
      </c>
      <c r="I18" s="10">
        <f t="shared" si="5"/>
        <v>3232.04</v>
      </c>
    </row>
    <row r="19" spans="1:9" x14ac:dyDescent="0.25">
      <c r="A19" s="6">
        <v>22</v>
      </c>
      <c r="B19" s="5" t="str">
        <f>VLOOKUP(A19, EmployeeMaster!$A:$D, 3, FALSE)</f>
        <v>Research &amp; Development</v>
      </c>
      <c r="C19" s="8">
        <v>2935</v>
      </c>
      <c r="D19" s="8">
        <f t="shared" si="0"/>
        <v>587</v>
      </c>
      <c r="E19" s="8">
        <f t="shared" si="1"/>
        <v>352.2</v>
      </c>
      <c r="F19" s="8">
        <f t="shared" si="2"/>
        <v>293.5</v>
      </c>
      <c r="G19" s="8">
        <f t="shared" si="3"/>
        <v>3522</v>
      </c>
      <c r="H19" s="8">
        <f t="shared" si="4"/>
        <v>645.70000000000005</v>
      </c>
      <c r="I19" s="10">
        <f t="shared" si="5"/>
        <v>2876.3</v>
      </c>
    </row>
    <row r="20" spans="1:9" x14ac:dyDescent="0.25">
      <c r="A20" s="6">
        <v>23</v>
      </c>
      <c r="B20" s="5" t="str">
        <f>VLOOKUP(A20, EmployeeMaster!$A:$D, 3, FALSE)</f>
        <v>Sales</v>
      </c>
      <c r="C20" s="8">
        <v>15427</v>
      </c>
      <c r="D20" s="8">
        <f t="shared" si="0"/>
        <v>3085.4</v>
      </c>
      <c r="E20" s="8">
        <f t="shared" si="1"/>
        <v>1851.24</v>
      </c>
      <c r="F20" s="8">
        <f t="shared" si="2"/>
        <v>1542.7</v>
      </c>
      <c r="G20" s="8">
        <f t="shared" si="3"/>
        <v>18512.400000000001</v>
      </c>
      <c r="H20" s="8">
        <f t="shared" si="4"/>
        <v>3393.94</v>
      </c>
      <c r="I20" s="10">
        <f t="shared" si="5"/>
        <v>15118.460000000001</v>
      </c>
    </row>
    <row r="21" spans="1:9" x14ac:dyDescent="0.25">
      <c r="A21" s="6">
        <v>24</v>
      </c>
      <c r="B21" s="5" t="str">
        <f>VLOOKUP(A21, EmployeeMaster!$A:$D, 3, FALSE)</f>
        <v>Research &amp; Development</v>
      </c>
      <c r="C21" s="8">
        <v>3944</v>
      </c>
      <c r="D21" s="8">
        <f t="shared" si="0"/>
        <v>788.80000000000007</v>
      </c>
      <c r="E21" s="8">
        <f t="shared" si="1"/>
        <v>473.28</v>
      </c>
      <c r="F21" s="8">
        <f t="shared" si="2"/>
        <v>394.40000000000003</v>
      </c>
      <c r="G21" s="8">
        <f t="shared" si="3"/>
        <v>4732.8</v>
      </c>
      <c r="H21" s="8">
        <f t="shared" si="4"/>
        <v>867.68000000000006</v>
      </c>
      <c r="I21" s="10">
        <f t="shared" si="5"/>
        <v>3865.12</v>
      </c>
    </row>
    <row r="22" spans="1:9" x14ac:dyDescent="0.25">
      <c r="A22" s="6">
        <v>26</v>
      </c>
      <c r="B22" s="5" t="str">
        <f>VLOOKUP(A22, EmployeeMaster!$A:$D, 3, FALSE)</f>
        <v>Research &amp; Development</v>
      </c>
      <c r="C22" s="8">
        <v>4011</v>
      </c>
      <c r="D22" s="8">
        <f t="shared" si="0"/>
        <v>802.2</v>
      </c>
      <c r="E22" s="8">
        <f t="shared" si="1"/>
        <v>481.32</v>
      </c>
      <c r="F22" s="8">
        <f t="shared" si="2"/>
        <v>401.1</v>
      </c>
      <c r="G22" s="8">
        <f t="shared" si="3"/>
        <v>4813.2</v>
      </c>
      <c r="H22" s="8">
        <f t="shared" si="4"/>
        <v>882.42000000000007</v>
      </c>
      <c r="I22" s="10">
        <f t="shared" si="5"/>
        <v>3930.7799999999997</v>
      </c>
    </row>
    <row r="23" spans="1:9" x14ac:dyDescent="0.25">
      <c r="A23" s="6">
        <v>27</v>
      </c>
      <c r="B23" s="5" t="str">
        <f>VLOOKUP(A23, EmployeeMaster!$A:$D, 3, FALSE)</f>
        <v>Sales</v>
      </c>
      <c r="C23" s="8">
        <v>3407</v>
      </c>
      <c r="D23" s="8">
        <f t="shared" si="0"/>
        <v>681.40000000000009</v>
      </c>
      <c r="E23" s="8">
        <f t="shared" si="1"/>
        <v>408.84</v>
      </c>
      <c r="F23" s="8">
        <f t="shared" si="2"/>
        <v>340.70000000000005</v>
      </c>
      <c r="G23" s="8">
        <f t="shared" si="3"/>
        <v>4088.4</v>
      </c>
      <c r="H23" s="8">
        <f t="shared" si="4"/>
        <v>749.54</v>
      </c>
      <c r="I23" s="10">
        <f t="shared" si="5"/>
        <v>3338.86</v>
      </c>
    </row>
    <row r="24" spans="1:9" x14ac:dyDescent="0.25">
      <c r="A24" s="6">
        <v>28</v>
      </c>
      <c r="B24" s="5" t="str">
        <f>VLOOKUP(A24, EmployeeMaster!$A:$D, 3, FALSE)</f>
        <v>Research &amp; Development</v>
      </c>
      <c r="C24" s="8">
        <v>11994</v>
      </c>
      <c r="D24" s="8">
        <f t="shared" si="0"/>
        <v>2398.8000000000002</v>
      </c>
      <c r="E24" s="8">
        <f t="shared" si="1"/>
        <v>1439.28</v>
      </c>
      <c r="F24" s="8">
        <f t="shared" si="2"/>
        <v>1199.4000000000001</v>
      </c>
      <c r="G24" s="8">
        <f t="shared" si="3"/>
        <v>14392.8</v>
      </c>
      <c r="H24" s="8">
        <f t="shared" si="4"/>
        <v>2638.6800000000003</v>
      </c>
      <c r="I24" s="10">
        <f t="shared" si="5"/>
        <v>11754.119999999999</v>
      </c>
    </row>
    <row r="25" spans="1:9" x14ac:dyDescent="0.25">
      <c r="A25" s="6">
        <v>30</v>
      </c>
      <c r="B25" s="5" t="str">
        <f>VLOOKUP(A25, EmployeeMaster!$A:$D, 3, FALSE)</f>
        <v>Research &amp; Development</v>
      </c>
      <c r="C25" s="8">
        <v>1232</v>
      </c>
      <c r="D25" s="8">
        <f t="shared" si="0"/>
        <v>246.4</v>
      </c>
      <c r="E25" s="8">
        <f t="shared" si="1"/>
        <v>147.84</v>
      </c>
      <c r="F25" s="8">
        <f t="shared" si="2"/>
        <v>123.2</v>
      </c>
      <c r="G25" s="8">
        <f t="shared" si="3"/>
        <v>1478.4</v>
      </c>
      <c r="H25" s="8">
        <f t="shared" si="4"/>
        <v>271.04000000000002</v>
      </c>
      <c r="I25" s="10">
        <f t="shared" si="5"/>
        <v>1207.3600000000001</v>
      </c>
    </row>
    <row r="26" spans="1:9" x14ac:dyDescent="0.25">
      <c r="A26" s="6">
        <v>31</v>
      </c>
      <c r="B26" s="5" t="str">
        <f>VLOOKUP(A26, EmployeeMaster!$A:$D, 3, FALSE)</f>
        <v>Research &amp; Development</v>
      </c>
      <c r="C26" s="8">
        <v>2960</v>
      </c>
      <c r="D26" s="8">
        <f t="shared" si="0"/>
        <v>592</v>
      </c>
      <c r="E26" s="8">
        <f t="shared" si="1"/>
        <v>355.2</v>
      </c>
      <c r="F26" s="8">
        <f t="shared" si="2"/>
        <v>296</v>
      </c>
      <c r="G26" s="8">
        <f t="shared" si="3"/>
        <v>3552</v>
      </c>
      <c r="H26" s="8">
        <f t="shared" si="4"/>
        <v>651.20000000000005</v>
      </c>
      <c r="I26" s="10">
        <f t="shared" si="5"/>
        <v>2900.8</v>
      </c>
    </row>
    <row r="27" spans="1:9" x14ac:dyDescent="0.25">
      <c r="A27" s="6">
        <v>32</v>
      </c>
      <c r="B27" s="5" t="str">
        <f>VLOOKUP(A27, EmployeeMaster!$A:$D, 3, FALSE)</f>
        <v>Research &amp; Development</v>
      </c>
      <c r="C27" s="8">
        <v>19094</v>
      </c>
      <c r="D27" s="8">
        <f t="shared" si="0"/>
        <v>3818.8</v>
      </c>
      <c r="E27" s="8">
        <f t="shared" si="1"/>
        <v>2291.2799999999997</v>
      </c>
      <c r="F27" s="8">
        <f t="shared" si="2"/>
        <v>1909.4</v>
      </c>
      <c r="G27" s="8">
        <f t="shared" si="3"/>
        <v>22912.799999999999</v>
      </c>
      <c r="H27" s="8">
        <f t="shared" si="4"/>
        <v>4200.68</v>
      </c>
      <c r="I27" s="10">
        <f t="shared" si="5"/>
        <v>18712.12</v>
      </c>
    </row>
    <row r="28" spans="1:9" x14ac:dyDescent="0.25">
      <c r="A28" s="6">
        <v>33</v>
      </c>
      <c r="B28" s="5" t="str">
        <f>VLOOKUP(A28, EmployeeMaster!$A:$D, 3, FALSE)</f>
        <v>Research &amp; Development</v>
      </c>
      <c r="C28" s="8">
        <v>3919</v>
      </c>
      <c r="D28" s="8">
        <f t="shared" si="0"/>
        <v>783.80000000000007</v>
      </c>
      <c r="E28" s="8">
        <f t="shared" si="1"/>
        <v>470.28</v>
      </c>
      <c r="F28" s="8">
        <f t="shared" si="2"/>
        <v>391.90000000000003</v>
      </c>
      <c r="G28" s="8">
        <f t="shared" si="3"/>
        <v>4702.8</v>
      </c>
      <c r="H28" s="8">
        <f t="shared" si="4"/>
        <v>862.18000000000006</v>
      </c>
      <c r="I28" s="10">
        <f t="shared" si="5"/>
        <v>3840.62</v>
      </c>
    </row>
    <row r="29" spans="1:9" x14ac:dyDescent="0.25">
      <c r="A29" s="6">
        <v>35</v>
      </c>
      <c r="B29" s="5" t="str">
        <f>VLOOKUP(A29, EmployeeMaster!$A:$D, 3, FALSE)</f>
        <v>Sales</v>
      </c>
      <c r="C29" s="8">
        <v>6825</v>
      </c>
      <c r="D29" s="8">
        <f t="shared" si="0"/>
        <v>1365</v>
      </c>
      <c r="E29" s="8">
        <f t="shared" si="1"/>
        <v>819</v>
      </c>
      <c r="F29" s="8">
        <f t="shared" si="2"/>
        <v>682.5</v>
      </c>
      <c r="G29" s="8">
        <f t="shared" si="3"/>
        <v>8190</v>
      </c>
      <c r="H29" s="8">
        <f t="shared" si="4"/>
        <v>1501.5</v>
      </c>
      <c r="I29" s="10">
        <f t="shared" si="5"/>
        <v>6688.5</v>
      </c>
    </row>
    <row r="30" spans="1:9" x14ac:dyDescent="0.25">
      <c r="A30" s="6">
        <v>36</v>
      </c>
      <c r="B30" s="5" t="str">
        <f>VLOOKUP(A30, EmployeeMaster!$A:$D, 3, FALSE)</f>
        <v>Research &amp; Development</v>
      </c>
      <c r="C30" s="8">
        <v>10248</v>
      </c>
      <c r="D30" s="8">
        <f t="shared" si="0"/>
        <v>2049.6</v>
      </c>
      <c r="E30" s="8">
        <f t="shared" si="1"/>
        <v>1229.76</v>
      </c>
      <c r="F30" s="8">
        <f t="shared" si="2"/>
        <v>1024.8</v>
      </c>
      <c r="G30" s="8">
        <f t="shared" si="3"/>
        <v>12297.6</v>
      </c>
      <c r="H30" s="8">
        <f t="shared" si="4"/>
        <v>2254.56</v>
      </c>
      <c r="I30" s="10">
        <f t="shared" si="5"/>
        <v>10043.040000000001</v>
      </c>
    </row>
    <row r="31" spans="1:9" x14ac:dyDescent="0.25">
      <c r="A31" s="6">
        <v>38</v>
      </c>
      <c r="B31" s="5" t="str">
        <f>VLOOKUP(A31, EmployeeMaster!$A:$D, 3, FALSE)</f>
        <v>Sales</v>
      </c>
      <c r="C31" s="8">
        <v>18947</v>
      </c>
      <c r="D31" s="8">
        <f t="shared" si="0"/>
        <v>3789.4</v>
      </c>
      <c r="E31" s="8">
        <f t="shared" si="1"/>
        <v>2273.64</v>
      </c>
      <c r="F31" s="8">
        <f t="shared" si="2"/>
        <v>1894.7</v>
      </c>
      <c r="G31" s="8">
        <f t="shared" si="3"/>
        <v>22736.400000000001</v>
      </c>
      <c r="H31" s="8">
        <f t="shared" si="4"/>
        <v>4168.34</v>
      </c>
      <c r="I31" s="10">
        <f t="shared" si="5"/>
        <v>18568.060000000001</v>
      </c>
    </row>
    <row r="32" spans="1:9" x14ac:dyDescent="0.25">
      <c r="A32" s="6">
        <v>39</v>
      </c>
      <c r="B32" s="5" t="str">
        <f>VLOOKUP(A32, EmployeeMaster!$A:$D, 3, FALSE)</f>
        <v>Research &amp; Development</v>
      </c>
      <c r="C32" s="8">
        <v>2496</v>
      </c>
      <c r="D32" s="8">
        <f t="shared" si="0"/>
        <v>499.20000000000005</v>
      </c>
      <c r="E32" s="8">
        <f t="shared" si="1"/>
        <v>299.52</v>
      </c>
      <c r="F32" s="8">
        <f t="shared" si="2"/>
        <v>249.60000000000002</v>
      </c>
      <c r="G32" s="8">
        <f t="shared" si="3"/>
        <v>2995.2</v>
      </c>
      <c r="H32" s="8">
        <f t="shared" si="4"/>
        <v>549.12</v>
      </c>
      <c r="I32" s="10">
        <f t="shared" si="5"/>
        <v>2446.08</v>
      </c>
    </row>
    <row r="33" spans="1:9" x14ac:dyDescent="0.25">
      <c r="A33" s="6">
        <v>40</v>
      </c>
      <c r="B33" s="5" t="str">
        <f>VLOOKUP(A33, EmployeeMaster!$A:$D, 3, FALSE)</f>
        <v>Research &amp; Development</v>
      </c>
      <c r="C33" s="8">
        <v>6465</v>
      </c>
      <c r="D33" s="8">
        <f t="shared" si="0"/>
        <v>1293</v>
      </c>
      <c r="E33" s="8">
        <f t="shared" si="1"/>
        <v>775.8</v>
      </c>
      <c r="F33" s="8">
        <f t="shared" si="2"/>
        <v>646.5</v>
      </c>
      <c r="G33" s="8">
        <f t="shared" si="3"/>
        <v>7758</v>
      </c>
      <c r="H33" s="8">
        <f t="shared" si="4"/>
        <v>1422.3</v>
      </c>
      <c r="I33" s="10">
        <f t="shared" si="5"/>
        <v>6335.7</v>
      </c>
    </row>
    <row r="34" spans="1:9" x14ac:dyDescent="0.25">
      <c r="A34" s="6">
        <v>41</v>
      </c>
      <c r="B34" s="5" t="str">
        <f>VLOOKUP(A34, EmployeeMaster!$A:$D, 3, FALSE)</f>
        <v>Research &amp; Development</v>
      </c>
      <c r="C34" s="8">
        <v>2206</v>
      </c>
      <c r="D34" s="8">
        <f t="shared" si="0"/>
        <v>441.20000000000005</v>
      </c>
      <c r="E34" s="8">
        <f t="shared" si="1"/>
        <v>264.71999999999997</v>
      </c>
      <c r="F34" s="8">
        <f t="shared" si="2"/>
        <v>220.60000000000002</v>
      </c>
      <c r="G34" s="8">
        <f t="shared" si="3"/>
        <v>2647.2</v>
      </c>
      <c r="H34" s="8">
        <f t="shared" si="4"/>
        <v>485.32</v>
      </c>
      <c r="I34" s="10">
        <f t="shared" si="5"/>
        <v>2161.8799999999997</v>
      </c>
    </row>
    <row r="35" spans="1:9" x14ac:dyDescent="0.25">
      <c r="A35" s="6">
        <v>42</v>
      </c>
      <c r="B35" s="5" t="str">
        <f>VLOOKUP(A35, EmployeeMaster!$A:$D, 3, FALSE)</f>
        <v>Sales</v>
      </c>
      <c r="C35" s="8">
        <v>2086</v>
      </c>
      <c r="D35" s="8">
        <f t="shared" si="0"/>
        <v>417.20000000000005</v>
      </c>
      <c r="E35" s="8">
        <f t="shared" si="1"/>
        <v>250.32</v>
      </c>
      <c r="F35" s="8">
        <f t="shared" si="2"/>
        <v>208.60000000000002</v>
      </c>
      <c r="G35" s="8">
        <f t="shared" si="3"/>
        <v>2503.1999999999998</v>
      </c>
      <c r="H35" s="8">
        <f t="shared" si="4"/>
        <v>458.92</v>
      </c>
      <c r="I35" s="10">
        <f t="shared" si="5"/>
        <v>2044.2799999999997</v>
      </c>
    </row>
    <row r="36" spans="1:9" x14ac:dyDescent="0.25">
      <c r="A36" s="6">
        <v>45</v>
      </c>
      <c r="B36" s="5" t="str">
        <f>VLOOKUP(A36, EmployeeMaster!$A:$D, 3, FALSE)</f>
        <v>Research &amp; Development</v>
      </c>
      <c r="C36" s="8">
        <v>2293</v>
      </c>
      <c r="D36" s="8">
        <f t="shared" si="0"/>
        <v>458.6</v>
      </c>
      <c r="E36" s="8">
        <f t="shared" si="1"/>
        <v>275.15999999999997</v>
      </c>
      <c r="F36" s="8">
        <f t="shared" si="2"/>
        <v>229.3</v>
      </c>
      <c r="G36" s="8">
        <f t="shared" si="3"/>
        <v>2751.6</v>
      </c>
      <c r="H36" s="8">
        <f t="shared" si="4"/>
        <v>504.46</v>
      </c>
      <c r="I36" s="10">
        <f t="shared" si="5"/>
        <v>2247.14</v>
      </c>
    </row>
    <row r="37" spans="1:9" x14ac:dyDescent="0.25">
      <c r="A37" s="6">
        <v>46</v>
      </c>
      <c r="B37" s="5" t="str">
        <f>VLOOKUP(A37, EmployeeMaster!$A:$D, 3, FALSE)</f>
        <v>Research &amp; Development</v>
      </c>
      <c r="C37" s="8">
        <v>2645</v>
      </c>
      <c r="D37" s="8">
        <f t="shared" si="0"/>
        <v>529</v>
      </c>
      <c r="E37" s="8">
        <f t="shared" si="1"/>
        <v>317.39999999999998</v>
      </c>
      <c r="F37" s="8">
        <f t="shared" si="2"/>
        <v>264.5</v>
      </c>
      <c r="G37" s="8">
        <f t="shared" si="3"/>
        <v>3174</v>
      </c>
      <c r="H37" s="8">
        <f t="shared" si="4"/>
        <v>581.9</v>
      </c>
      <c r="I37" s="10">
        <f t="shared" si="5"/>
        <v>2592.1</v>
      </c>
    </row>
    <row r="38" spans="1:9" x14ac:dyDescent="0.25">
      <c r="A38" s="6">
        <v>47</v>
      </c>
      <c r="B38" s="5" t="str">
        <f>VLOOKUP(A38, EmployeeMaster!$A:$D, 3, FALSE)</f>
        <v>Sales</v>
      </c>
      <c r="C38" s="8">
        <v>2683</v>
      </c>
      <c r="D38" s="8">
        <f t="shared" si="0"/>
        <v>536.6</v>
      </c>
      <c r="E38" s="8">
        <f t="shared" si="1"/>
        <v>321.95999999999998</v>
      </c>
      <c r="F38" s="8">
        <f t="shared" si="2"/>
        <v>268.3</v>
      </c>
      <c r="G38" s="8">
        <f t="shared" si="3"/>
        <v>3219.6</v>
      </c>
      <c r="H38" s="8">
        <f t="shared" si="4"/>
        <v>590.26</v>
      </c>
      <c r="I38" s="10">
        <f t="shared" si="5"/>
        <v>2629.34</v>
      </c>
    </row>
    <row r="39" spans="1:9" x14ac:dyDescent="0.25">
      <c r="A39" s="6">
        <v>49</v>
      </c>
      <c r="B39" s="5" t="str">
        <f>VLOOKUP(A39, EmployeeMaster!$A:$D, 3, FALSE)</f>
        <v>Sales</v>
      </c>
      <c r="C39" s="8">
        <v>2014</v>
      </c>
      <c r="D39" s="8">
        <f t="shared" si="0"/>
        <v>402.8</v>
      </c>
      <c r="E39" s="8">
        <f t="shared" si="1"/>
        <v>241.67999999999998</v>
      </c>
      <c r="F39" s="8">
        <f t="shared" si="2"/>
        <v>201.4</v>
      </c>
      <c r="G39" s="8">
        <f t="shared" si="3"/>
        <v>2416.8000000000002</v>
      </c>
      <c r="H39" s="8">
        <f t="shared" si="4"/>
        <v>443.08</v>
      </c>
      <c r="I39" s="10">
        <f t="shared" si="5"/>
        <v>1973.7200000000003</v>
      </c>
    </row>
    <row r="40" spans="1:9" x14ac:dyDescent="0.25">
      <c r="A40" s="6">
        <v>51</v>
      </c>
      <c r="B40" s="5" t="str">
        <f>VLOOKUP(A40, EmployeeMaster!$A:$D, 3, FALSE)</f>
        <v>Research &amp; Development</v>
      </c>
      <c r="C40" s="8">
        <v>3419</v>
      </c>
      <c r="D40" s="8">
        <f t="shared" si="0"/>
        <v>683.80000000000007</v>
      </c>
      <c r="E40" s="8">
        <f t="shared" si="1"/>
        <v>410.28</v>
      </c>
      <c r="F40" s="8">
        <f t="shared" si="2"/>
        <v>341.90000000000003</v>
      </c>
      <c r="G40" s="8">
        <f t="shared" si="3"/>
        <v>4102.8</v>
      </c>
      <c r="H40" s="8">
        <f t="shared" si="4"/>
        <v>752.18000000000006</v>
      </c>
      <c r="I40" s="10">
        <f t="shared" si="5"/>
        <v>3350.62</v>
      </c>
    </row>
    <row r="41" spans="1:9" x14ac:dyDescent="0.25">
      <c r="A41" s="6">
        <v>52</v>
      </c>
      <c r="B41" s="5" t="str">
        <f>VLOOKUP(A41, EmployeeMaster!$A:$D, 3, FALSE)</f>
        <v>Sales</v>
      </c>
      <c r="C41" s="8">
        <v>5376</v>
      </c>
      <c r="D41" s="8">
        <f t="shared" si="0"/>
        <v>1075.2</v>
      </c>
      <c r="E41" s="8">
        <f t="shared" si="1"/>
        <v>645.12</v>
      </c>
      <c r="F41" s="8">
        <f t="shared" si="2"/>
        <v>537.6</v>
      </c>
      <c r="G41" s="8">
        <f t="shared" si="3"/>
        <v>6451.2</v>
      </c>
      <c r="H41" s="8">
        <f t="shared" si="4"/>
        <v>1182.72</v>
      </c>
      <c r="I41" s="10">
        <f t="shared" si="5"/>
        <v>5268.48</v>
      </c>
    </row>
    <row r="42" spans="1:9" x14ac:dyDescent="0.25">
      <c r="A42" s="6">
        <v>53</v>
      </c>
      <c r="B42" s="5" t="str">
        <f>VLOOKUP(A42, EmployeeMaster!$A:$D, 3, FALSE)</f>
        <v>Research &amp; Development</v>
      </c>
      <c r="C42" s="8">
        <v>1951</v>
      </c>
      <c r="D42" s="8">
        <f t="shared" si="0"/>
        <v>390.20000000000005</v>
      </c>
      <c r="E42" s="8">
        <f t="shared" si="1"/>
        <v>234.12</v>
      </c>
      <c r="F42" s="8">
        <f t="shared" si="2"/>
        <v>195.10000000000002</v>
      </c>
      <c r="G42" s="8">
        <f t="shared" si="3"/>
        <v>2341.1999999999998</v>
      </c>
      <c r="H42" s="8">
        <f t="shared" si="4"/>
        <v>429.22</v>
      </c>
      <c r="I42" s="10">
        <f t="shared" si="5"/>
        <v>1911.9799999999998</v>
      </c>
    </row>
    <row r="43" spans="1:9" x14ac:dyDescent="0.25">
      <c r="A43" s="6">
        <v>54</v>
      </c>
      <c r="B43" s="5" t="str">
        <f>VLOOKUP(A43, EmployeeMaster!$A:$D, 3, FALSE)</f>
        <v>Research &amp; Development</v>
      </c>
      <c r="C43" s="8">
        <v>2341</v>
      </c>
      <c r="D43" s="8">
        <f t="shared" si="0"/>
        <v>468.20000000000005</v>
      </c>
      <c r="E43" s="8">
        <f t="shared" si="1"/>
        <v>280.92</v>
      </c>
      <c r="F43" s="8">
        <f t="shared" si="2"/>
        <v>234.10000000000002</v>
      </c>
      <c r="G43" s="8">
        <f t="shared" si="3"/>
        <v>2809.2</v>
      </c>
      <c r="H43" s="8">
        <f t="shared" si="4"/>
        <v>515.02</v>
      </c>
      <c r="I43" s="10">
        <f t="shared" si="5"/>
        <v>2294.1799999999998</v>
      </c>
    </row>
    <row r="44" spans="1:9" x14ac:dyDescent="0.25">
      <c r="A44" s="6">
        <v>55</v>
      </c>
      <c r="B44" s="5" t="str">
        <f>VLOOKUP(A44, EmployeeMaster!$A:$D, 3, FALSE)</f>
        <v>Research &amp; Development</v>
      </c>
      <c r="C44" s="8">
        <v>2293</v>
      </c>
      <c r="D44" s="8">
        <f t="shared" si="0"/>
        <v>458.6</v>
      </c>
      <c r="E44" s="8">
        <f t="shared" si="1"/>
        <v>275.15999999999997</v>
      </c>
      <c r="F44" s="8">
        <f t="shared" si="2"/>
        <v>229.3</v>
      </c>
      <c r="G44" s="8">
        <f t="shared" si="3"/>
        <v>2751.6</v>
      </c>
      <c r="H44" s="8">
        <f t="shared" si="4"/>
        <v>504.46</v>
      </c>
      <c r="I44" s="10">
        <f t="shared" si="5"/>
        <v>2247.14</v>
      </c>
    </row>
    <row r="45" spans="1:9" x14ac:dyDescent="0.25">
      <c r="A45" s="6">
        <v>56</v>
      </c>
      <c r="B45" s="5" t="str">
        <f>VLOOKUP(A45, EmployeeMaster!$A:$D, 3, FALSE)</f>
        <v>Sales</v>
      </c>
      <c r="C45" s="8">
        <v>8726</v>
      </c>
      <c r="D45" s="8">
        <f t="shared" si="0"/>
        <v>1745.2</v>
      </c>
      <c r="E45" s="8">
        <f t="shared" si="1"/>
        <v>1047.1199999999999</v>
      </c>
      <c r="F45" s="8">
        <f t="shared" si="2"/>
        <v>872.6</v>
      </c>
      <c r="G45" s="8">
        <f t="shared" si="3"/>
        <v>10471.200000000001</v>
      </c>
      <c r="H45" s="8">
        <f t="shared" si="4"/>
        <v>1919.7199999999998</v>
      </c>
      <c r="I45" s="10">
        <f t="shared" si="5"/>
        <v>8551.4800000000014</v>
      </c>
    </row>
    <row r="46" spans="1:9" x14ac:dyDescent="0.25">
      <c r="A46" s="6">
        <v>57</v>
      </c>
      <c r="B46" s="5" t="str">
        <f>VLOOKUP(A46, EmployeeMaster!$A:$D, 3, FALSE)</f>
        <v>Research &amp; Development</v>
      </c>
      <c r="C46" s="8">
        <v>4011</v>
      </c>
      <c r="D46" s="8">
        <f t="shared" si="0"/>
        <v>802.2</v>
      </c>
      <c r="E46" s="8">
        <f t="shared" si="1"/>
        <v>481.32</v>
      </c>
      <c r="F46" s="8">
        <f t="shared" si="2"/>
        <v>401.1</v>
      </c>
      <c r="G46" s="8">
        <f t="shared" si="3"/>
        <v>4813.2</v>
      </c>
      <c r="H46" s="8">
        <f t="shared" si="4"/>
        <v>882.42000000000007</v>
      </c>
      <c r="I46" s="10">
        <f t="shared" si="5"/>
        <v>3930.7799999999997</v>
      </c>
    </row>
    <row r="47" spans="1:9" x14ac:dyDescent="0.25">
      <c r="A47" s="6">
        <v>58</v>
      </c>
      <c r="B47" s="5" t="str">
        <f>VLOOKUP(A47, EmployeeMaster!$A:$D, 3, FALSE)</f>
        <v>Research &amp; Development</v>
      </c>
      <c r="C47" s="8">
        <v>19545</v>
      </c>
      <c r="D47" s="8">
        <f t="shared" si="0"/>
        <v>3909</v>
      </c>
      <c r="E47" s="8">
        <f t="shared" si="1"/>
        <v>2345.4</v>
      </c>
      <c r="F47" s="8">
        <f t="shared" si="2"/>
        <v>1954.5</v>
      </c>
      <c r="G47" s="8">
        <f t="shared" si="3"/>
        <v>23454</v>
      </c>
      <c r="H47" s="8">
        <f t="shared" si="4"/>
        <v>4299.8999999999996</v>
      </c>
      <c r="I47" s="10">
        <f t="shared" si="5"/>
        <v>19154.099999999999</v>
      </c>
    </row>
    <row r="48" spans="1:9" x14ac:dyDescent="0.25">
      <c r="A48" s="6">
        <v>60</v>
      </c>
      <c r="B48" s="5" t="str">
        <f>VLOOKUP(A48, EmployeeMaster!$A:$D, 3, FALSE)</f>
        <v>Sales</v>
      </c>
      <c r="C48" s="8">
        <v>4568</v>
      </c>
      <c r="D48" s="8">
        <f t="shared" si="0"/>
        <v>913.6</v>
      </c>
      <c r="E48" s="8">
        <f t="shared" si="1"/>
        <v>548.16</v>
      </c>
      <c r="F48" s="8">
        <f t="shared" si="2"/>
        <v>456.8</v>
      </c>
      <c r="G48" s="8">
        <f t="shared" si="3"/>
        <v>5481.6</v>
      </c>
      <c r="H48" s="8">
        <f t="shared" si="4"/>
        <v>1004.96</v>
      </c>
      <c r="I48" s="10">
        <f t="shared" si="5"/>
        <v>4476.6400000000003</v>
      </c>
    </row>
    <row r="49" spans="1:9" x14ac:dyDescent="0.25">
      <c r="A49" s="6">
        <v>61</v>
      </c>
      <c r="B49" s="5" t="str">
        <f>VLOOKUP(A49, EmployeeMaster!$A:$D, 3, FALSE)</f>
        <v>Research &amp; Development</v>
      </c>
      <c r="C49" s="8">
        <v>3022</v>
      </c>
      <c r="D49" s="8">
        <f t="shared" si="0"/>
        <v>604.4</v>
      </c>
      <c r="E49" s="8">
        <f t="shared" si="1"/>
        <v>362.64</v>
      </c>
      <c r="F49" s="8">
        <f t="shared" si="2"/>
        <v>302.2</v>
      </c>
      <c r="G49" s="8">
        <f t="shared" si="3"/>
        <v>3626.4</v>
      </c>
      <c r="H49" s="8">
        <f t="shared" si="4"/>
        <v>664.83999999999992</v>
      </c>
      <c r="I49" s="10">
        <f t="shared" si="5"/>
        <v>2961.5600000000004</v>
      </c>
    </row>
    <row r="50" spans="1:9" x14ac:dyDescent="0.25">
      <c r="A50" s="6">
        <v>62</v>
      </c>
      <c r="B50" s="5" t="str">
        <f>VLOOKUP(A50, EmployeeMaster!$A:$D, 3, FALSE)</f>
        <v>Sales</v>
      </c>
      <c r="C50" s="8">
        <v>5772</v>
      </c>
      <c r="D50" s="8">
        <f t="shared" si="0"/>
        <v>1154.4000000000001</v>
      </c>
      <c r="E50" s="8">
        <f t="shared" si="1"/>
        <v>692.64</v>
      </c>
      <c r="F50" s="8">
        <f t="shared" si="2"/>
        <v>577.20000000000005</v>
      </c>
      <c r="G50" s="8">
        <f t="shared" si="3"/>
        <v>6926.4</v>
      </c>
      <c r="H50" s="8">
        <f t="shared" si="4"/>
        <v>1269.8400000000001</v>
      </c>
      <c r="I50" s="10">
        <f t="shared" si="5"/>
        <v>5656.5599999999995</v>
      </c>
    </row>
    <row r="51" spans="1:9" x14ac:dyDescent="0.25">
      <c r="A51" s="6">
        <v>63</v>
      </c>
      <c r="B51" s="5" t="str">
        <f>VLOOKUP(A51, EmployeeMaster!$A:$D, 3, FALSE)</f>
        <v>Research &amp; Development</v>
      </c>
      <c r="C51" s="8">
        <v>2269</v>
      </c>
      <c r="D51" s="8">
        <f t="shared" si="0"/>
        <v>453.8</v>
      </c>
      <c r="E51" s="8">
        <f t="shared" si="1"/>
        <v>272.27999999999997</v>
      </c>
      <c r="F51" s="8">
        <f t="shared" si="2"/>
        <v>226.9</v>
      </c>
      <c r="G51" s="8">
        <f t="shared" si="3"/>
        <v>2722.8</v>
      </c>
      <c r="H51" s="8">
        <f t="shared" si="4"/>
        <v>499.17999999999995</v>
      </c>
      <c r="I51" s="10">
        <f t="shared" si="5"/>
        <v>2223.6200000000003</v>
      </c>
    </row>
    <row r="52" spans="1:9" x14ac:dyDescent="0.25">
      <c r="A52" s="6">
        <v>64</v>
      </c>
      <c r="B52" s="5" t="str">
        <f>VLOOKUP(A52, EmployeeMaster!$A:$D, 3, FALSE)</f>
        <v>Research &amp; Development</v>
      </c>
      <c r="C52" s="8">
        <v>5381</v>
      </c>
      <c r="D52" s="8">
        <f t="shared" si="0"/>
        <v>1076.2</v>
      </c>
      <c r="E52" s="8">
        <f t="shared" si="1"/>
        <v>645.72</v>
      </c>
      <c r="F52" s="8">
        <f t="shared" si="2"/>
        <v>538.1</v>
      </c>
      <c r="G52" s="8">
        <f t="shared" si="3"/>
        <v>6457.2</v>
      </c>
      <c r="H52" s="8">
        <f t="shared" si="4"/>
        <v>1183.8200000000002</v>
      </c>
      <c r="I52" s="10">
        <f t="shared" si="5"/>
        <v>5273.3799999999992</v>
      </c>
    </row>
    <row r="53" spans="1:9" x14ac:dyDescent="0.25">
      <c r="A53" s="6">
        <v>65</v>
      </c>
      <c r="B53" s="5" t="str">
        <f>VLOOKUP(A53, EmployeeMaster!$A:$D, 3, FALSE)</f>
        <v>Research &amp; Development</v>
      </c>
      <c r="C53" s="8">
        <v>3441</v>
      </c>
      <c r="D53" s="8">
        <f t="shared" si="0"/>
        <v>688.2</v>
      </c>
      <c r="E53" s="8">
        <f t="shared" si="1"/>
        <v>412.91999999999996</v>
      </c>
      <c r="F53" s="8">
        <f t="shared" si="2"/>
        <v>344.1</v>
      </c>
      <c r="G53" s="8">
        <f t="shared" si="3"/>
        <v>4129.2</v>
      </c>
      <c r="H53" s="8">
        <f t="shared" si="4"/>
        <v>757.02</v>
      </c>
      <c r="I53" s="10">
        <f t="shared" si="5"/>
        <v>3372.18</v>
      </c>
    </row>
    <row r="54" spans="1:9" x14ac:dyDescent="0.25">
      <c r="A54" s="6">
        <v>68</v>
      </c>
      <c r="B54" s="5" t="str">
        <f>VLOOKUP(A54, EmployeeMaster!$A:$D, 3, FALSE)</f>
        <v>Sales</v>
      </c>
      <c r="C54" s="8">
        <v>5454</v>
      </c>
      <c r="D54" s="8">
        <f t="shared" si="0"/>
        <v>1090.8</v>
      </c>
      <c r="E54" s="8">
        <f t="shared" si="1"/>
        <v>654.48</v>
      </c>
      <c r="F54" s="8">
        <f t="shared" si="2"/>
        <v>545.4</v>
      </c>
      <c r="G54" s="8">
        <f t="shared" si="3"/>
        <v>6544.8</v>
      </c>
      <c r="H54" s="8">
        <f t="shared" si="4"/>
        <v>1199.8800000000001</v>
      </c>
      <c r="I54" s="10">
        <f t="shared" si="5"/>
        <v>5344.92</v>
      </c>
    </row>
    <row r="55" spans="1:9" x14ac:dyDescent="0.25">
      <c r="A55" s="6">
        <v>70</v>
      </c>
      <c r="B55" s="5" t="str">
        <f>VLOOKUP(A55, EmployeeMaster!$A:$D, 3, FALSE)</f>
        <v>Research &amp; Development</v>
      </c>
      <c r="C55" s="8">
        <v>9884</v>
      </c>
      <c r="D55" s="8">
        <f t="shared" si="0"/>
        <v>1976.8000000000002</v>
      </c>
      <c r="E55" s="8">
        <f t="shared" si="1"/>
        <v>1186.08</v>
      </c>
      <c r="F55" s="8">
        <f t="shared" si="2"/>
        <v>988.40000000000009</v>
      </c>
      <c r="G55" s="8">
        <f t="shared" si="3"/>
        <v>11860.8</v>
      </c>
      <c r="H55" s="8">
        <f t="shared" si="4"/>
        <v>2174.48</v>
      </c>
      <c r="I55" s="10">
        <f t="shared" si="5"/>
        <v>9686.32</v>
      </c>
    </row>
    <row r="56" spans="1:9" x14ac:dyDescent="0.25">
      <c r="A56" s="6">
        <v>72</v>
      </c>
      <c r="B56" s="5" t="str">
        <f>VLOOKUP(A56, EmployeeMaster!$A:$D, 3, FALSE)</f>
        <v>Sales</v>
      </c>
      <c r="C56" s="8">
        <v>4157</v>
      </c>
      <c r="D56" s="8">
        <f t="shared" si="0"/>
        <v>831.40000000000009</v>
      </c>
      <c r="E56" s="8">
        <f t="shared" si="1"/>
        <v>498.84</v>
      </c>
      <c r="F56" s="8">
        <f t="shared" si="2"/>
        <v>415.70000000000005</v>
      </c>
      <c r="G56" s="8">
        <f t="shared" si="3"/>
        <v>4988.3999999999996</v>
      </c>
      <c r="H56" s="8">
        <f t="shared" si="4"/>
        <v>914.54</v>
      </c>
      <c r="I56" s="10">
        <f t="shared" si="5"/>
        <v>4073.8599999999997</v>
      </c>
    </row>
    <row r="57" spans="1:9" x14ac:dyDescent="0.25">
      <c r="A57" s="6">
        <v>73</v>
      </c>
      <c r="B57" s="5" t="str">
        <f>VLOOKUP(A57, EmployeeMaster!$A:$D, 3, FALSE)</f>
        <v>Research &amp; Development</v>
      </c>
      <c r="C57" s="8">
        <v>13458</v>
      </c>
      <c r="D57" s="8">
        <f t="shared" si="0"/>
        <v>2691.6000000000004</v>
      </c>
      <c r="E57" s="8">
        <f t="shared" si="1"/>
        <v>1614.96</v>
      </c>
      <c r="F57" s="8">
        <f t="shared" si="2"/>
        <v>1345.8000000000002</v>
      </c>
      <c r="G57" s="8">
        <f t="shared" si="3"/>
        <v>16149.6</v>
      </c>
      <c r="H57" s="8">
        <f t="shared" si="4"/>
        <v>2960.76</v>
      </c>
      <c r="I57" s="10">
        <f t="shared" si="5"/>
        <v>13188.84</v>
      </c>
    </row>
    <row r="58" spans="1:9" x14ac:dyDescent="0.25">
      <c r="A58" s="6">
        <v>74</v>
      </c>
      <c r="B58" s="5" t="str">
        <f>VLOOKUP(A58, EmployeeMaster!$A:$D, 3, FALSE)</f>
        <v>Sales</v>
      </c>
      <c r="C58" s="8">
        <v>9069</v>
      </c>
      <c r="D58" s="8">
        <f t="shared" si="0"/>
        <v>1813.8000000000002</v>
      </c>
      <c r="E58" s="8">
        <f t="shared" si="1"/>
        <v>1088.28</v>
      </c>
      <c r="F58" s="8">
        <f t="shared" si="2"/>
        <v>906.90000000000009</v>
      </c>
      <c r="G58" s="8">
        <f t="shared" si="3"/>
        <v>10882.8</v>
      </c>
      <c r="H58" s="8">
        <f t="shared" si="4"/>
        <v>1995.18</v>
      </c>
      <c r="I58" s="10">
        <f t="shared" si="5"/>
        <v>8887.619999999999</v>
      </c>
    </row>
    <row r="59" spans="1:9" x14ac:dyDescent="0.25">
      <c r="A59" s="6">
        <v>75</v>
      </c>
      <c r="B59" s="5" t="str">
        <f>VLOOKUP(A59, EmployeeMaster!$A:$D, 3, FALSE)</f>
        <v>Research &amp; Development</v>
      </c>
      <c r="C59" s="8">
        <v>4014</v>
      </c>
      <c r="D59" s="8">
        <f t="shared" si="0"/>
        <v>802.80000000000007</v>
      </c>
      <c r="E59" s="8">
        <f t="shared" si="1"/>
        <v>481.68</v>
      </c>
      <c r="F59" s="8">
        <f t="shared" si="2"/>
        <v>401.40000000000003</v>
      </c>
      <c r="G59" s="8">
        <f t="shared" si="3"/>
        <v>4816.8</v>
      </c>
      <c r="H59" s="8">
        <f t="shared" si="4"/>
        <v>883.08</v>
      </c>
      <c r="I59" s="10">
        <f t="shared" si="5"/>
        <v>3933.7200000000003</v>
      </c>
    </row>
    <row r="60" spans="1:9" x14ac:dyDescent="0.25">
      <c r="A60" s="6">
        <v>76</v>
      </c>
      <c r="B60" s="5" t="str">
        <f>VLOOKUP(A60, EmployeeMaster!$A:$D, 3, FALSE)</f>
        <v>Research &amp; Development</v>
      </c>
      <c r="C60" s="8">
        <v>5915</v>
      </c>
      <c r="D60" s="8">
        <f t="shared" si="0"/>
        <v>1183</v>
      </c>
      <c r="E60" s="8">
        <f t="shared" si="1"/>
        <v>709.8</v>
      </c>
      <c r="F60" s="8">
        <f t="shared" si="2"/>
        <v>591.5</v>
      </c>
      <c r="G60" s="8">
        <f t="shared" si="3"/>
        <v>7098</v>
      </c>
      <c r="H60" s="8">
        <f t="shared" si="4"/>
        <v>1301.3</v>
      </c>
      <c r="I60" s="10">
        <f t="shared" si="5"/>
        <v>5796.7</v>
      </c>
    </row>
    <row r="61" spans="1:9" x14ac:dyDescent="0.25">
      <c r="A61" s="6">
        <v>77</v>
      </c>
      <c r="B61" s="5" t="str">
        <f>VLOOKUP(A61, EmployeeMaster!$A:$D, 3, FALSE)</f>
        <v>Research &amp; Development</v>
      </c>
      <c r="C61" s="8">
        <v>5993</v>
      </c>
      <c r="D61" s="8">
        <f t="shared" si="0"/>
        <v>1198.6000000000001</v>
      </c>
      <c r="E61" s="8">
        <f t="shared" si="1"/>
        <v>719.16</v>
      </c>
      <c r="F61" s="8">
        <f t="shared" si="2"/>
        <v>599.30000000000007</v>
      </c>
      <c r="G61" s="8">
        <f t="shared" si="3"/>
        <v>7191.6</v>
      </c>
      <c r="H61" s="8">
        <f t="shared" si="4"/>
        <v>1318.46</v>
      </c>
      <c r="I61" s="10">
        <f t="shared" si="5"/>
        <v>5873.14</v>
      </c>
    </row>
    <row r="62" spans="1:9" x14ac:dyDescent="0.25">
      <c r="A62" s="6">
        <v>78</v>
      </c>
      <c r="B62" s="5" t="str">
        <f>VLOOKUP(A62, EmployeeMaster!$A:$D, 3, FALSE)</f>
        <v>Research &amp; Development</v>
      </c>
      <c r="C62" s="8">
        <v>6162</v>
      </c>
      <c r="D62" s="8">
        <f t="shared" si="0"/>
        <v>1232.4000000000001</v>
      </c>
      <c r="E62" s="8">
        <f t="shared" si="1"/>
        <v>739.43999999999994</v>
      </c>
      <c r="F62" s="8">
        <f t="shared" si="2"/>
        <v>616.20000000000005</v>
      </c>
      <c r="G62" s="8">
        <f t="shared" si="3"/>
        <v>7394.4</v>
      </c>
      <c r="H62" s="8">
        <f t="shared" si="4"/>
        <v>1355.6399999999999</v>
      </c>
      <c r="I62" s="10">
        <f t="shared" si="5"/>
        <v>6038.76</v>
      </c>
    </row>
    <row r="63" spans="1:9" x14ac:dyDescent="0.25">
      <c r="A63" s="6">
        <v>79</v>
      </c>
      <c r="B63" s="5" t="str">
        <f>VLOOKUP(A63, EmployeeMaster!$A:$D, 3, FALSE)</f>
        <v>Research &amp; Development</v>
      </c>
      <c r="C63" s="8">
        <v>2406</v>
      </c>
      <c r="D63" s="8">
        <f t="shared" si="0"/>
        <v>481.20000000000005</v>
      </c>
      <c r="E63" s="8">
        <f t="shared" si="1"/>
        <v>288.71999999999997</v>
      </c>
      <c r="F63" s="8">
        <f t="shared" si="2"/>
        <v>240.60000000000002</v>
      </c>
      <c r="G63" s="8">
        <f t="shared" si="3"/>
        <v>2887.2</v>
      </c>
      <c r="H63" s="8">
        <f t="shared" si="4"/>
        <v>529.31999999999994</v>
      </c>
      <c r="I63" s="10">
        <f t="shared" si="5"/>
        <v>2357.88</v>
      </c>
    </row>
    <row r="64" spans="1:9" x14ac:dyDescent="0.25">
      <c r="A64" s="6">
        <v>80</v>
      </c>
      <c r="B64" s="5" t="str">
        <f>VLOOKUP(A64, EmployeeMaster!$A:$D, 3, FALSE)</f>
        <v>Research &amp; Development</v>
      </c>
      <c r="C64" s="8">
        <v>18740</v>
      </c>
      <c r="D64" s="8">
        <f t="shared" si="0"/>
        <v>3748</v>
      </c>
      <c r="E64" s="8">
        <f t="shared" si="1"/>
        <v>2248.7999999999997</v>
      </c>
      <c r="F64" s="8">
        <f t="shared" si="2"/>
        <v>1874</v>
      </c>
      <c r="G64" s="8">
        <f t="shared" si="3"/>
        <v>22488</v>
      </c>
      <c r="H64" s="8">
        <f t="shared" si="4"/>
        <v>4122.7999999999993</v>
      </c>
      <c r="I64" s="10">
        <f t="shared" si="5"/>
        <v>18365.2</v>
      </c>
    </row>
    <row r="65" spans="1:9" x14ac:dyDescent="0.25">
      <c r="A65" s="6">
        <v>81</v>
      </c>
      <c r="B65" s="5" t="str">
        <f>VLOOKUP(A65, EmployeeMaster!$A:$D, 3, FALSE)</f>
        <v>Sales</v>
      </c>
      <c r="C65" s="8">
        <v>7637</v>
      </c>
      <c r="D65" s="8">
        <f t="shared" si="0"/>
        <v>1527.4</v>
      </c>
      <c r="E65" s="8">
        <f t="shared" si="1"/>
        <v>916.43999999999994</v>
      </c>
      <c r="F65" s="8">
        <f t="shared" si="2"/>
        <v>763.7</v>
      </c>
      <c r="G65" s="8">
        <f t="shared" si="3"/>
        <v>9164.4</v>
      </c>
      <c r="H65" s="8">
        <f t="shared" si="4"/>
        <v>1680.1399999999999</v>
      </c>
      <c r="I65" s="10">
        <f t="shared" si="5"/>
        <v>7484.26</v>
      </c>
    </row>
    <row r="66" spans="1:9" x14ac:dyDescent="0.25">
      <c r="A66" s="6">
        <v>83</v>
      </c>
      <c r="B66" s="5" t="str">
        <f>VLOOKUP(A66, EmployeeMaster!$A:$D, 3, FALSE)</f>
        <v>Research &amp; Development</v>
      </c>
      <c r="C66" s="8">
        <v>10096</v>
      </c>
      <c r="D66" s="8">
        <f t="shared" si="0"/>
        <v>2019.2</v>
      </c>
      <c r="E66" s="8">
        <f t="shared" si="1"/>
        <v>1211.52</v>
      </c>
      <c r="F66" s="8">
        <f t="shared" si="2"/>
        <v>1009.6</v>
      </c>
      <c r="G66" s="8">
        <f t="shared" si="3"/>
        <v>12115.2</v>
      </c>
      <c r="H66" s="8">
        <f t="shared" si="4"/>
        <v>2221.12</v>
      </c>
      <c r="I66" s="10">
        <f t="shared" si="5"/>
        <v>9894.0800000000017</v>
      </c>
    </row>
    <row r="67" spans="1:9" x14ac:dyDescent="0.25">
      <c r="A67" s="6">
        <v>84</v>
      </c>
      <c r="B67" s="5" t="str">
        <f>VLOOKUP(A67, EmployeeMaster!$A:$D, 3, FALSE)</f>
        <v>Research &amp; Development</v>
      </c>
      <c r="C67" s="8">
        <v>14756</v>
      </c>
      <c r="D67" s="8">
        <f t="shared" ref="D67:D130" si="6">C67*20%</f>
        <v>2951.2000000000003</v>
      </c>
      <c r="E67" s="8">
        <f t="shared" ref="E67:E130" si="7">C67*12%</f>
        <v>1770.72</v>
      </c>
      <c r="F67" s="8">
        <f t="shared" ref="F67:F130" si="8">C67*10%</f>
        <v>1475.6000000000001</v>
      </c>
      <c r="G67" s="8">
        <f t="shared" ref="G67:G130" si="9">C67+D67</f>
        <v>17707.2</v>
      </c>
      <c r="H67" s="8">
        <f t="shared" ref="H67:H130" si="10">E67+F67</f>
        <v>3246.32</v>
      </c>
      <c r="I67" s="10">
        <f t="shared" ref="I67:I130" si="11">G67-H67</f>
        <v>14460.880000000001</v>
      </c>
    </row>
    <row r="68" spans="1:9" x14ac:dyDescent="0.25">
      <c r="A68" s="6">
        <v>85</v>
      </c>
      <c r="B68" s="5" t="str">
        <f>VLOOKUP(A68, EmployeeMaster!$A:$D, 3, FALSE)</f>
        <v>Research &amp; Development</v>
      </c>
      <c r="C68" s="8">
        <v>6499</v>
      </c>
      <c r="D68" s="8">
        <f t="shared" si="6"/>
        <v>1299.8000000000002</v>
      </c>
      <c r="E68" s="8">
        <f t="shared" si="7"/>
        <v>779.88</v>
      </c>
      <c r="F68" s="8">
        <f t="shared" si="8"/>
        <v>649.90000000000009</v>
      </c>
      <c r="G68" s="8">
        <f t="shared" si="9"/>
        <v>7798.8</v>
      </c>
      <c r="H68" s="8">
        <f t="shared" si="10"/>
        <v>1429.7800000000002</v>
      </c>
      <c r="I68" s="10">
        <f t="shared" si="11"/>
        <v>6369.02</v>
      </c>
    </row>
    <row r="69" spans="1:9" x14ac:dyDescent="0.25">
      <c r="A69" s="6">
        <v>86</v>
      </c>
      <c r="B69" s="5" t="str">
        <f>VLOOKUP(A69, EmployeeMaster!$A:$D, 3, FALSE)</f>
        <v>Research &amp; Development</v>
      </c>
      <c r="C69" s="8">
        <v>9724</v>
      </c>
      <c r="D69" s="8">
        <f t="shared" si="6"/>
        <v>1944.8000000000002</v>
      </c>
      <c r="E69" s="8">
        <f t="shared" si="7"/>
        <v>1166.8799999999999</v>
      </c>
      <c r="F69" s="8">
        <f t="shared" si="8"/>
        <v>972.40000000000009</v>
      </c>
      <c r="G69" s="8">
        <f t="shared" si="9"/>
        <v>11668.8</v>
      </c>
      <c r="H69" s="8">
        <f t="shared" si="10"/>
        <v>2139.2799999999997</v>
      </c>
      <c r="I69" s="10">
        <f t="shared" si="11"/>
        <v>9529.52</v>
      </c>
    </row>
    <row r="70" spans="1:9" x14ac:dyDescent="0.25">
      <c r="A70" s="6">
        <v>88</v>
      </c>
      <c r="B70" s="5" t="str">
        <f>VLOOKUP(A70, EmployeeMaster!$A:$D, 3, FALSE)</f>
        <v>Research &amp; Development</v>
      </c>
      <c r="C70" s="8">
        <v>2194</v>
      </c>
      <c r="D70" s="8">
        <f t="shared" si="6"/>
        <v>438.8</v>
      </c>
      <c r="E70" s="8">
        <f t="shared" si="7"/>
        <v>263.27999999999997</v>
      </c>
      <c r="F70" s="8">
        <f t="shared" si="8"/>
        <v>219.4</v>
      </c>
      <c r="G70" s="8">
        <f t="shared" si="9"/>
        <v>2632.8</v>
      </c>
      <c r="H70" s="8">
        <f t="shared" si="10"/>
        <v>482.67999999999995</v>
      </c>
      <c r="I70" s="10">
        <f t="shared" si="11"/>
        <v>2150.1200000000003</v>
      </c>
    </row>
    <row r="71" spans="1:9" x14ac:dyDescent="0.25">
      <c r="A71" s="6">
        <v>90</v>
      </c>
      <c r="B71" s="5" t="str">
        <f>VLOOKUP(A71, EmployeeMaster!$A:$D, 3, FALSE)</f>
        <v>Research &amp; Development</v>
      </c>
      <c r="C71" s="8">
        <v>3388</v>
      </c>
      <c r="D71" s="8">
        <f t="shared" si="6"/>
        <v>677.6</v>
      </c>
      <c r="E71" s="8">
        <f t="shared" si="7"/>
        <v>406.56</v>
      </c>
      <c r="F71" s="8">
        <f t="shared" si="8"/>
        <v>338.8</v>
      </c>
      <c r="G71" s="8">
        <f t="shared" si="9"/>
        <v>4065.6</v>
      </c>
      <c r="H71" s="8">
        <f t="shared" si="10"/>
        <v>745.36</v>
      </c>
      <c r="I71" s="10">
        <f t="shared" si="11"/>
        <v>3320.24</v>
      </c>
    </row>
    <row r="72" spans="1:9" x14ac:dyDescent="0.25">
      <c r="A72" s="6">
        <v>91</v>
      </c>
      <c r="B72" s="5" t="str">
        <f>VLOOKUP(A72, EmployeeMaster!$A:$D, 3, FALSE)</f>
        <v>Sales</v>
      </c>
      <c r="C72" s="8">
        <v>5473</v>
      </c>
      <c r="D72" s="8">
        <f t="shared" si="6"/>
        <v>1094.6000000000001</v>
      </c>
      <c r="E72" s="8">
        <f t="shared" si="7"/>
        <v>656.76</v>
      </c>
      <c r="F72" s="8">
        <f t="shared" si="8"/>
        <v>547.30000000000007</v>
      </c>
      <c r="G72" s="8">
        <f t="shared" si="9"/>
        <v>6567.6</v>
      </c>
      <c r="H72" s="8">
        <f t="shared" si="10"/>
        <v>1204.06</v>
      </c>
      <c r="I72" s="10">
        <f t="shared" si="11"/>
        <v>5363.5400000000009</v>
      </c>
    </row>
    <row r="73" spans="1:9" x14ac:dyDescent="0.25">
      <c r="A73" s="6">
        <v>94</v>
      </c>
      <c r="B73" s="5" t="str">
        <f>VLOOKUP(A73, EmployeeMaster!$A:$D, 3, FALSE)</f>
        <v>Research &amp; Development</v>
      </c>
      <c r="C73" s="8">
        <v>2703</v>
      </c>
      <c r="D73" s="8">
        <f t="shared" si="6"/>
        <v>540.6</v>
      </c>
      <c r="E73" s="8">
        <f t="shared" si="7"/>
        <v>324.36</v>
      </c>
      <c r="F73" s="8">
        <f t="shared" si="8"/>
        <v>270.3</v>
      </c>
      <c r="G73" s="8">
        <f t="shared" si="9"/>
        <v>3243.6</v>
      </c>
      <c r="H73" s="8">
        <f t="shared" si="10"/>
        <v>594.66000000000008</v>
      </c>
      <c r="I73" s="10">
        <f t="shared" si="11"/>
        <v>2648.9399999999996</v>
      </c>
    </row>
    <row r="74" spans="1:9" x14ac:dyDescent="0.25">
      <c r="A74" s="6">
        <v>95</v>
      </c>
      <c r="B74" s="5" t="str">
        <f>VLOOKUP(A74, EmployeeMaster!$A:$D, 3, FALSE)</f>
        <v>Research &amp; Development</v>
      </c>
      <c r="C74" s="8">
        <v>2501</v>
      </c>
      <c r="D74" s="8">
        <f t="shared" si="6"/>
        <v>500.20000000000005</v>
      </c>
      <c r="E74" s="8">
        <f t="shared" si="7"/>
        <v>300.12</v>
      </c>
      <c r="F74" s="8">
        <f t="shared" si="8"/>
        <v>250.10000000000002</v>
      </c>
      <c r="G74" s="8">
        <f t="shared" si="9"/>
        <v>3001.2</v>
      </c>
      <c r="H74" s="8">
        <f t="shared" si="10"/>
        <v>550.22</v>
      </c>
      <c r="I74" s="10">
        <f t="shared" si="11"/>
        <v>2450.9799999999996</v>
      </c>
    </row>
    <row r="75" spans="1:9" x14ac:dyDescent="0.25">
      <c r="A75" s="6">
        <v>96</v>
      </c>
      <c r="B75" s="5" t="str">
        <f>VLOOKUP(A75, EmployeeMaster!$A:$D, 3, FALSE)</f>
        <v>Research &amp; Development</v>
      </c>
      <c r="C75" s="8">
        <v>6220</v>
      </c>
      <c r="D75" s="8">
        <f t="shared" si="6"/>
        <v>1244</v>
      </c>
      <c r="E75" s="8">
        <f t="shared" si="7"/>
        <v>746.4</v>
      </c>
      <c r="F75" s="8">
        <f t="shared" si="8"/>
        <v>622</v>
      </c>
      <c r="G75" s="8">
        <f t="shared" si="9"/>
        <v>7464</v>
      </c>
      <c r="H75" s="8">
        <f t="shared" si="10"/>
        <v>1368.4</v>
      </c>
      <c r="I75" s="10">
        <f t="shared" si="11"/>
        <v>6095.6</v>
      </c>
    </row>
    <row r="76" spans="1:9" x14ac:dyDescent="0.25">
      <c r="A76" s="6">
        <v>97</v>
      </c>
      <c r="B76" s="5" t="str">
        <f>VLOOKUP(A76, EmployeeMaster!$A:$D, 3, FALSE)</f>
        <v>Research &amp; Development</v>
      </c>
      <c r="C76" s="8">
        <v>3038</v>
      </c>
      <c r="D76" s="8">
        <f t="shared" si="6"/>
        <v>607.6</v>
      </c>
      <c r="E76" s="8">
        <f t="shared" si="7"/>
        <v>364.56</v>
      </c>
      <c r="F76" s="8">
        <f t="shared" si="8"/>
        <v>303.8</v>
      </c>
      <c r="G76" s="8">
        <f t="shared" si="9"/>
        <v>3645.6</v>
      </c>
      <c r="H76" s="8">
        <f t="shared" si="10"/>
        <v>668.36</v>
      </c>
      <c r="I76" s="10">
        <f t="shared" si="11"/>
        <v>2977.24</v>
      </c>
    </row>
    <row r="77" spans="1:9" x14ac:dyDescent="0.25">
      <c r="A77" s="6">
        <v>98</v>
      </c>
      <c r="B77" s="5" t="str">
        <f>VLOOKUP(A77, EmployeeMaster!$A:$D, 3, FALSE)</f>
        <v>Research &amp; Development</v>
      </c>
      <c r="C77" s="8">
        <v>4424</v>
      </c>
      <c r="D77" s="8">
        <f t="shared" si="6"/>
        <v>884.80000000000007</v>
      </c>
      <c r="E77" s="8">
        <f t="shared" si="7"/>
        <v>530.88</v>
      </c>
      <c r="F77" s="8">
        <f t="shared" si="8"/>
        <v>442.40000000000003</v>
      </c>
      <c r="G77" s="8">
        <f t="shared" si="9"/>
        <v>5308.8</v>
      </c>
      <c r="H77" s="8">
        <f t="shared" si="10"/>
        <v>973.28</v>
      </c>
      <c r="I77" s="10">
        <f t="shared" si="11"/>
        <v>4335.5200000000004</v>
      </c>
    </row>
    <row r="78" spans="1:9" x14ac:dyDescent="0.25">
      <c r="A78" s="6">
        <v>100</v>
      </c>
      <c r="B78" s="5" t="str">
        <f>VLOOKUP(A78, EmployeeMaster!$A:$D, 3, FALSE)</f>
        <v>Sales</v>
      </c>
      <c r="C78" s="8">
        <v>4312</v>
      </c>
      <c r="D78" s="8">
        <f t="shared" si="6"/>
        <v>862.40000000000009</v>
      </c>
      <c r="E78" s="8">
        <f t="shared" si="7"/>
        <v>517.43999999999994</v>
      </c>
      <c r="F78" s="8">
        <f t="shared" si="8"/>
        <v>431.20000000000005</v>
      </c>
      <c r="G78" s="8">
        <f t="shared" si="9"/>
        <v>5174.3999999999996</v>
      </c>
      <c r="H78" s="8">
        <f t="shared" si="10"/>
        <v>948.64</v>
      </c>
      <c r="I78" s="10">
        <f t="shared" si="11"/>
        <v>4225.7599999999993</v>
      </c>
    </row>
    <row r="79" spans="1:9" x14ac:dyDescent="0.25">
      <c r="A79" s="6">
        <v>101</v>
      </c>
      <c r="B79" s="5" t="str">
        <f>VLOOKUP(A79, EmployeeMaster!$A:$D, 3, FALSE)</f>
        <v>Research &amp; Development</v>
      </c>
      <c r="C79" s="8">
        <v>13245</v>
      </c>
      <c r="D79" s="8">
        <f t="shared" si="6"/>
        <v>2649</v>
      </c>
      <c r="E79" s="8">
        <f t="shared" si="7"/>
        <v>1589.3999999999999</v>
      </c>
      <c r="F79" s="8">
        <f t="shared" si="8"/>
        <v>1324.5</v>
      </c>
      <c r="G79" s="8">
        <f t="shared" si="9"/>
        <v>15894</v>
      </c>
      <c r="H79" s="8">
        <f t="shared" si="10"/>
        <v>2913.8999999999996</v>
      </c>
      <c r="I79" s="10">
        <f t="shared" si="11"/>
        <v>12980.1</v>
      </c>
    </row>
    <row r="80" spans="1:9" x14ac:dyDescent="0.25">
      <c r="A80" s="6">
        <v>102</v>
      </c>
      <c r="B80" s="5" t="str">
        <f>VLOOKUP(A80, EmployeeMaster!$A:$D, 3, FALSE)</f>
        <v>Research &amp; Development</v>
      </c>
      <c r="C80" s="8">
        <v>13664</v>
      </c>
      <c r="D80" s="8">
        <f t="shared" si="6"/>
        <v>2732.8</v>
      </c>
      <c r="E80" s="8">
        <f t="shared" si="7"/>
        <v>1639.6799999999998</v>
      </c>
      <c r="F80" s="8">
        <f t="shared" si="8"/>
        <v>1366.4</v>
      </c>
      <c r="G80" s="8">
        <f t="shared" si="9"/>
        <v>16396.8</v>
      </c>
      <c r="H80" s="8">
        <f t="shared" si="10"/>
        <v>3006.08</v>
      </c>
      <c r="I80" s="10">
        <f t="shared" si="11"/>
        <v>13390.72</v>
      </c>
    </row>
    <row r="81" spans="1:9" x14ac:dyDescent="0.25">
      <c r="A81" s="6">
        <v>103</v>
      </c>
      <c r="B81" s="5" t="str">
        <f>VLOOKUP(A81, EmployeeMaster!$A:$D, 3, FALSE)</f>
        <v>Human Resources</v>
      </c>
      <c r="C81" s="8">
        <v>5021</v>
      </c>
      <c r="D81" s="8">
        <f t="shared" si="6"/>
        <v>1004.2</v>
      </c>
      <c r="E81" s="8">
        <f t="shared" si="7"/>
        <v>602.52</v>
      </c>
      <c r="F81" s="8">
        <f t="shared" si="8"/>
        <v>502.1</v>
      </c>
      <c r="G81" s="8">
        <f t="shared" si="9"/>
        <v>6025.2</v>
      </c>
      <c r="H81" s="8">
        <f t="shared" si="10"/>
        <v>1104.6199999999999</v>
      </c>
      <c r="I81" s="10">
        <f t="shared" si="11"/>
        <v>4920.58</v>
      </c>
    </row>
    <row r="82" spans="1:9" x14ac:dyDescent="0.25">
      <c r="A82" s="6">
        <v>104</v>
      </c>
      <c r="B82" s="5" t="str">
        <f>VLOOKUP(A82, EmployeeMaster!$A:$D, 3, FALSE)</f>
        <v>Research &amp; Development</v>
      </c>
      <c r="C82" s="8">
        <v>5126</v>
      </c>
      <c r="D82" s="8">
        <f t="shared" si="6"/>
        <v>1025.2</v>
      </c>
      <c r="E82" s="8">
        <f t="shared" si="7"/>
        <v>615.12</v>
      </c>
      <c r="F82" s="8">
        <f t="shared" si="8"/>
        <v>512.6</v>
      </c>
      <c r="G82" s="8">
        <f t="shared" si="9"/>
        <v>6151.2</v>
      </c>
      <c r="H82" s="8">
        <f t="shared" si="10"/>
        <v>1127.72</v>
      </c>
      <c r="I82" s="10">
        <f t="shared" si="11"/>
        <v>5023.4799999999996</v>
      </c>
    </row>
    <row r="83" spans="1:9" x14ac:dyDescent="0.25">
      <c r="A83" s="6">
        <v>105</v>
      </c>
      <c r="B83" s="5" t="str">
        <f>VLOOKUP(A83, EmployeeMaster!$A:$D, 3, FALSE)</f>
        <v>Research &amp; Development</v>
      </c>
      <c r="C83" s="8">
        <v>2859</v>
      </c>
      <c r="D83" s="8">
        <f t="shared" si="6"/>
        <v>571.80000000000007</v>
      </c>
      <c r="E83" s="8">
        <f t="shared" si="7"/>
        <v>343.08</v>
      </c>
      <c r="F83" s="8">
        <f t="shared" si="8"/>
        <v>285.90000000000003</v>
      </c>
      <c r="G83" s="8">
        <f t="shared" si="9"/>
        <v>3430.8</v>
      </c>
      <c r="H83" s="8">
        <f t="shared" si="10"/>
        <v>628.98</v>
      </c>
      <c r="I83" s="10">
        <f t="shared" si="11"/>
        <v>2801.82</v>
      </c>
    </row>
    <row r="84" spans="1:9" x14ac:dyDescent="0.25">
      <c r="A84" s="6">
        <v>106</v>
      </c>
      <c r="B84" s="5" t="str">
        <f>VLOOKUP(A84, EmployeeMaster!$A:$D, 3, FALSE)</f>
        <v>Sales</v>
      </c>
      <c r="C84" s="8">
        <v>10239</v>
      </c>
      <c r="D84" s="8">
        <f t="shared" si="6"/>
        <v>2047.8000000000002</v>
      </c>
      <c r="E84" s="8">
        <f t="shared" si="7"/>
        <v>1228.68</v>
      </c>
      <c r="F84" s="8">
        <f t="shared" si="8"/>
        <v>1023.9000000000001</v>
      </c>
      <c r="G84" s="8">
        <f t="shared" si="9"/>
        <v>12286.8</v>
      </c>
      <c r="H84" s="8">
        <f t="shared" si="10"/>
        <v>2252.58</v>
      </c>
      <c r="I84" s="10">
        <f t="shared" si="11"/>
        <v>10034.219999999999</v>
      </c>
    </row>
    <row r="85" spans="1:9" x14ac:dyDescent="0.25">
      <c r="A85" s="6">
        <v>107</v>
      </c>
      <c r="B85" s="5" t="str">
        <f>VLOOKUP(A85, EmployeeMaster!$A:$D, 3, FALSE)</f>
        <v>Research &amp; Development</v>
      </c>
      <c r="C85" s="8">
        <v>5329</v>
      </c>
      <c r="D85" s="8">
        <f t="shared" si="6"/>
        <v>1065.8</v>
      </c>
      <c r="E85" s="8">
        <f t="shared" si="7"/>
        <v>639.48</v>
      </c>
      <c r="F85" s="8">
        <f t="shared" si="8"/>
        <v>532.9</v>
      </c>
      <c r="G85" s="8">
        <f t="shared" si="9"/>
        <v>6394.8</v>
      </c>
      <c r="H85" s="8">
        <f t="shared" si="10"/>
        <v>1172.3800000000001</v>
      </c>
      <c r="I85" s="10">
        <f t="shared" si="11"/>
        <v>5222.42</v>
      </c>
    </row>
    <row r="86" spans="1:9" x14ac:dyDescent="0.25">
      <c r="A86" s="6">
        <v>110</v>
      </c>
      <c r="B86" s="5" t="str">
        <f>VLOOKUP(A86, EmployeeMaster!$A:$D, 3, FALSE)</f>
        <v>Research &amp; Development</v>
      </c>
      <c r="C86" s="8">
        <v>4325</v>
      </c>
      <c r="D86" s="8">
        <f t="shared" si="6"/>
        <v>865</v>
      </c>
      <c r="E86" s="8">
        <f t="shared" si="7"/>
        <v>519</v>
      </c>
      <c r="F86" s="8">
        <f t="shared" si="8"/>
        <v>432.5</v>
      </c>
      <c r="G86" s="8">
        <f t="shared" si="9"/>
        <v>5190</v>
      </c>
      <c r="H86" s="8">
        <f t="shared" si="10"/>
        <v>951.5</v>
      </c>
      <c r="I86" s="10">
        <f t="shared" si="11"/>
        <v>4238.5</v>
      </c>
    </row>
    <row r="87" spans="1:9" x14ac:dyDescent="0.25">
      <c r="A87" s="6">
        <v>112</v>
      </c>
      <c r="B87" s="5" t="str">
        <f>VLOOKUP(A87, EmployeeMaster!$A:$D, 3, FALSE)</f>
        <v>Research &amp; Development</v>
      </c>
      <c r="C87" s="8">
        <v>7260</v>
      </c>
      <c r="D87" s="8">
        <f t="shared" si="6"/>
        <v>1452</v>
      </c>
      <c r="E87" s="8">
        <f t="shared" si="7"/>
        <v>871.19999999999993</v>
      </c>
      <c r="F87" s="8">
        <f t="shared" si="8"/>
        <v>726</v>
      </c>
      <c r="G87" s="8">
        <f t="shared" si="9"/>
        <v>8712</v>
      </c>
      <c r="H87" s="8">
        <f t="shared" si="10"/>
        <v>1597.1999999999998</v>
      </c>
      <c r="I87" s="10">
        <f t="shared" si="11"/>
        <v>7114.8</v>
      </c>
    </row>
    <row r="88" spans="1:9" x14ac:dyDescent="0.25">
      <c r="A88" s="6">
        <v>113</v>
      </c>
      <c r="B88" s="5" t="str">
        <f>VLOOKUP(A88, EmployeeMaster!$A:$D, 3, FALSE)</f>
        <v>Sales</v>
      </c>
      <c r="C88" s="8">
        <v>2322</v>
      </c>
      <c r="D88" s="8">
        <f t="shared" si="6"/>
        <v>464.40000000000003</v>
      </c>
      <c r="E88" s="8">
        <f t="shared" si="7"/>
        <v>278.64</v>
      </c>
      <c r="F88" s="8">
        <f t="shared" si="8"/>
        <v>232.20000000000002</v>
      </c>
      <c r="G88" s="8">
        <f t="shared" si="9"/>
        <v>2786.4</v>
      </c>
      <c r="H88" s="8">
        <f t="shared" si="10"/>
        <v>510.84000000000003</v>
      </c>
      <c r="I88" s="10">
        <f t="shared" si="11"/>
        <v>2275.56</v>
      </c>
    </row>
    <row r="89" spans="1:9" x14ac:dyDescent="0.25">
      <c r="A89" s="6">
        <v>116</v>
      </c>
      <c r="B89" s="5" t="str">
        <f>VLOOKUP(A89, EmployeeMaster!$A:$D, 3, FALSE)</f>
        <v>Research &amp; Development</v>
      </c>
      <c r="C89" s="8">
        <v>2075</v>
      </c>
      <c r="D89" s="8">
        <f t="shared" si="6"/>
        <v>415</v>
      </c>
      <c r="E89" s="8">
        <f t="shared" si="7"/>
        <v>249</v>
      </c>
      <c r="F89" s="8">
        <f t="shared" si="8"/>
        <v>207.5</v>
      </c>
      <c r="G89" s="8">
        <f t="shared" si="9"/>
        <v>2490</v>
      </c>
      <c r="H89" s="8">
        <f t="shared" si="10"/>
        <v>456.5</v>
      </c>
      <c r="I89" s="10">
        <f t="shared" si="11"/>
        <v>2033.5</v>
      </c>
    </row>
    <row r="90" spans="1:9" x14ac:dyDescent="0.25">
      <c r="A90" s="6">
        <v>117</v>
      </c>
      <c r="B90" s="5" t="str">
        <f>VLOOKUP(A90, EmployeeMaster!$A:$D, 3, FALSE)</f>
        <v>Research &amp; Development</v>
      </c>
      <c r="C90" s="8">
        <v>4152</v>
      </c>
      <c r="D90" s="8">
        <f t="shared" si="6"/>
        <v>830.40000000000009</v>
      </c>
      <c r="E90" s="8">
        <f t="shared" si="7"/>
        <v>498.24</v>
      </c>
      <c r="F90" s="8">
        <f t="shared" si="8"/>
        <v>415.20000000000005</v>
      </c>
      <c r="G90" s="8">
        <f t="shared" si="9"/>
        <v>4982.3999999999996</v>
      </c>
      <c r="H90" s="8">
        <f t="shared" si="10"/>
        <v>913.44</v>
      </c>
      <c r="I90" s="10">
        <f t="shared" si="11"/>
        <v>4068.9599999999996</v>
      </c>
    </row>
    <row r="91" spans="1:9" x14ac:dyDescent="0.25">
      <c r="A91" s="6">
        <v>118</v>
      </c>
      <c r="B91" s="5" t="str">
        <f>VLOOKUP(A91, EmployeeMaster!$A:$D, 3, FALSE)</f>
        <v>Sales</v>
      </c>
      <c r="C91" s="8">
        <v>9619</v>
      </c>
      <c r="D91" s="8">
        <f t="shared" si="6"/>
        <v>1923.8000000000002</v>
      </c>
      <c r="E91" s="8">
        <f t="shared" si="7"/>
        <v>1154.28</v>
      </c>
      <c r="F91" s="8">
        <f t="shared" si="8"/>
        <v>961.90000000000009</v>
      </c>
      <c r="G91" s="8">
        <f t="shared" si="9"/>
        <v>11542.8</v>
      </c>
      <c r="H91" s="8">
        <f t="shared" si="10"/>
        <v>2116.1800000000003</v>
      </c>
      <c r="I91" s="10">
        <f t="shared" si="11"/>
        <v>9426.619999999999</v>
      </c>
    </row>
    <row r="92" spans="1:9" x14ac:dyDescent="0.25">
      <c r="A92" s="6">
        <v>119</v>
      </c>
      <c r="B92" s="5" t="str">
        <f>VLOOKUP(A92, EmployeeMaster!$A:$D, 3, FALSE)</f>
        <v>Research &amp; Development</v>
      </c>
      <c r="C92" s="8">
        <v>13503</v>
      </c>
      <c r="D92" s="8">
        <f t="shared" si="6"/>
        <v>2700.6000000000004</v>
      </c>
      <c r="E92" s="8">
        <f t="shared" si="7"/>
        <v>1620.36</v>
      </c>
      <c r="F92" s="8">
        <f t="shared" si="8"/>
        <v>1350.3000000000002</v>
      </c>
      <c r="G92" s="8">
        <f t="shared" si="9"/>
        <v>16203.6</v>
      </c>
      <c r="H92" s="8">
        <f t="shared" si="10"/>
        <v>2970.66</v>
      </c>
      <c r="I92" s="10">
        <f t="shared" si="11"/>
        <v>13232.94</v>
      </c>
    </row>
    <row r="93" spans="1:9" x14ac:dyDescent="0.25">
      <c r="A93" s="6">
        <v>120</v>
      </c>
      <c r="B93" s="5" t="str">
        <f>VLOOKUP(A93, EmployeeMaster!$A:$D, 3, FALSE)</f>
        <v>Sales</v>
      </c>
      <c r="C93" s="8">
        <v>5441</v>
      </c>
      <c r="D93" s="8">
        <f t="shared" si="6"/>
        <v>1088.2</v>
      </c>
      <c r="E93" s="8">
        <f t="shared" si="7"/>
        <v>652.91999999999996</v>
      </c>
      <c r="F93" s="8">
        <f t="shared" si="8"/>
        <v>544.1</v>
      </c>
      <c r="G93" s="8">
        <f t="shared" si="9"/>
        <v>6529.2</v>
      </c>
      <c r="H93" s="8">
        <f t="shared" si="10"/>
        <v>1197.02</v>
      </c>
      <c r="I93" s="10">
        <f t="shared" si="11"/>
        <v>5332.18</v>
      </c>
    </row>
    <row r="94" spans="1:9" x14ac:dyDescent="0.25">
      <c r="A94" s="6">
        <v>121</v>
      </c>
      <c r="B94" s="5" t="str">
        <f>VLOOKUP(A94, EmployeeMaster!$A:$D, 3, FALSE)</f>
        <v>Sales</v>
      </c>
      <c r="C94" s="8">
        <v>5209</v>
      </c>
      <c r="D94" s="8">
        <f t="shared" si="6"/>
        <v>1041.8</v>
      </c>
      <c r="E94" s="8">
        <f t="shared" si="7"/>
        <v>625.07999999999993</v>
      </c>
      <c r="F94" s="8">
        <f t="shared" si="8"/>
        <v>520.9</v>
      </c>
      <c r="G94" s="8">
        <f t="shared" si="9"/>
        <v>6250.8</v>
      </c>
      <c r="H94" s="8">
        <f t="shared" si="10"/>
        <v>1145.98</v>
      </c>
      <c r="I94" s="10">
        <f t="shared" si="11"/>
        <v>5104.82</v>
      </c>
    </row>
    <row r="95" spans="1:9" x14ac:dyDescent="0.25">
      <c r="A95" s="6">
        <v>124</v>
      </c>
      <c r="B95" s="5" t="str">
        <f>VLOOKUP(A95, EmployeeMaster!$A:$D, 3, FALSE)</f>
        <v>Research &amp; Development</v>
      </c>
      <c r="C95" s="8">
        <v>10673</v>
      </c>
      <c r="D95" s="8">
        <f t="shared" si="6"/>
        <v>2134.6</v>
      </c>
      <c r="E95" s="8">
        <f t="shared" si="7"/>
        <v>1280.76</v>
      </c>
      <c r="F95" s="8">
        <f t="shared" si="8"/>
        <v>1067.3</v>
      </c>
      <c r="G95" s="8">
        <f t="shared" si="9"/>
        <v>12807.6</v>
      </c>
      <c r="H95" s="8">
        <f t="shared" si="10"/>
        <v>2348.06</v>
      </c>
      <c r="I95" s="10">
        <f t="shared" si="11"/>
        <v>10459.540000000001</v>
      </c>
    </row>
    <row r="96" spans="1:9" x14ac:dyDescent="0.25">
      <c r="A96" s="6">
        <v>125</v>
      </c>
      <c r="B96" s="5" t="str">
        <f>VLOOKUP(A96, EmployeeMaster!$A:$D, 3, FALSE)</f>
        <v>Sales</v>
      </c>
      <c r="C96" s="8">
        <v>5010</v>
      </c>
      <c r="D96" s="8">
        <f t="shared" si="6"/>
        <v>1002</v>
      </c>
      <c r="E96" s="8">
        <f t="shared" si="7"/>
        <v>601.19999999999993</v>
      </c>
      <c r="F96" s="8">
        <f t="shared" si="8"/>
        <v>501</v>
      </c>
      <c r="G96" s="8">
        <f t="shared" si="9"/>
        <v>6012</v>
      </c>
      <c r="H96" s="8">
        <f t="shared" si="10"/>
        <v>1102.1999999999998</v>
      </c>
      <c r="I96" s="10">
        <f t="shared" si="11"/>
        <v>4909.8</v>
      </c>
    </row>
    <row r="97" spans="1:9" x14ac:dyDescent="0.25">
      <c r="A97" s="6">
        <v>126</v>
      </c>
      <c r="B97" s="5" t="str">
        <f>VLOOKUP(A97, EmployeeMaster!$A:$D, 3, FALSE)</f>
        <v>Research &amp; Development</v>
      </c>
      <c r="C97" s="8">
        <v>13549</v>
      </c>
      <c r="D97" s="8">
        <f t="shared" si="6"/>
        <v>2709.8</v>
      </c>
      <c r="E97" s="8">
        <f t="shared" si="7"/>
        <v>1625.8799999999999</v>
      </c>
      <c r="F97" s="8">
        <f t="shared" si="8"/>
        <v>1354.9</v>
      </c>
      <c r="G97" s="8">
        <f t="shared" si="9"/>
        <v>16258.8</v>
      </c>
      <c r="H97" s="8">
        <f t="shared" si="10"/>
        <v>2980.7799999999997</v>
      </c>
      <c r="I97" s="10">
        <f t="shared" si="11"/>
        <v>13278.02</v>
      </c>
    </row>
    <row r="98" spans="1:9" x14ac:dyDescent="0.25">
      <c r="A98" s="6">
        <v>128</v>
      </c>
      <c r="B98" s="5" t="str">
        <f>VLOOKUP(A98, EmployeeMaster!$A:$D, 3, FALSE)</f>
        <v>Sales</v>
      </c>
      <c r="C98" s="8">
        <v>4999</v>
      </c>
      <c r="D98" s="8">
        <f t="shared" si="6"/>
        <v>999.80000000000007</v>
      </c>
      <c r="E98" s="8">
        <f t="shared" si="7"/>
        <v>599.88</v>
      </c>
      <c r="F98" s="8">
        <f t="shared" si="8"/>
        <v>499.90000000000003</v>
      </c>
      <c r="G98" s="8">
        <f t="shared" si="9"/>
        <v>5998.8</v>
      </c>
      <c r="H98" s="8">
        <f t="shared" si="10"/>
        <v>1099.78</v>
      </c>
      <c r="I98" s="10">
        <f t="shared" si="11"/>
        <v>4899.0200000000004</v>
      </c>
    </row>
    <row r="99" spans="1:9" x14ac:dyDescent="0.25">
      <c r="A99" s="6">
        <v>129</v>
      </c>
      <c r="B99" s="5" t="str">
        <f>VLOOKUP(A99, EmployeeMaster!$A:$D, 3, FALSE)</f>
        <v>Sales</v>
      </c>
      <c r="C99" s="8">
        <v>4221</v>
      </c>
      <c r="D99" s="8">
        <f t="shared" si="6"/>
        <v>844.2</v>
      </c>
      <c r="E99" s="8">
        <f t="shared" si="7"/>
        <v>506.52</v>
      </c>
      <c r="F99" s="8">
        <f t="shared" si="8"/>
        <v>422.1</v>
      </c>
      <c r="G99" s="8">
        <f t="shared" si="9"/>
        <v>5065.2</v>
      </c>
      <c r="H99" s="8">
        <f t="shared" si="10"/>
        <v>928.62</v>
      </c>
      <c r="I99" s="10">
        <f t="shared" si="11"/>
        <v>4136.58</v>
      </c>
    </row>
    <row r="100" spans="1:9" x14ac:dyDescent="0.25">
      <c r="A100" s="6">
        <v>131</v>
      </c>
      <c r="B100" s="5" t="str">
        <f>VLOOKUP(A100, EmployeeMaster!$A:$D, 3, FALSE)</f>
        <v>Sales</v>
      </c>
      <c r="C100" s="8">
        <v>13872</v>
      </c>
      <c r="D100" s="8">
        <f t="shared" si="6"/>
        <v>2774.4</v>
      </c>
      <c r="E100" s="8">
        <f t="shared" si="7"/>
        <v>1664.6399999999999</v>
      </c>
      <c r="F100" s="8">
        <f t="shared" si="8"/>
        <v>1387.2</v>
      </c>
      <c r="G100" s="8">
        <f t="shared" si="9"/>
        <v>16646.400000000001</v>
      </c>
      <c r="H100" s="8">
        <f t="shared" si="10"/>
        <v>3051.84</v>
      </c>
      <c r="I100" s="10">
        <f t="shared" si="11"/>
        <v>13594.560000000001</v>
      </c>
    </row>
    <row r="101" spans="1:9" x14ac:dyDescent="0.25">
      <c r="A101" s="6">
        <v>132</v>
      </c>
      <c r="B101" s="5" t="str">
        <f>VLOOKUP(A101, EmployeeMaster!$A:$D, 3, FALSE)</f>
        <v>Research &amp; Development</v>
      </c>
      <c r="C101" s="8">
        <v>2042</v>
      </c>
      <c r="D101" s="8">
        <f t="shared" si="6"/>
        <v>408.40000000000003</v>
      </c>
      <c r="E101" s="8">
        <f t="shared" si="7"/>
        <v>245.04</v>
      </c>
      <c r="F101" s="8">
        <f t="shared" si="8"/>
        <v>204.20000000000002</v>
      </c>
      <c r="G101" s="8">
        <f t="shared" si="9"/>
        <v>2450.4</v>
      </c>
      <c r="H101" s="8">
        <f t="shared" si="10"/>
        <v>449.24</v>
      </c>
      <c r="I101" s="10">
        <f t="shared" si="11"/>
        <v>2001.16</v>
      </c>
    </row>
    <row r="102" spans="1:9" x14ac:dyDescent="0.25">
      <c r="A102" s="6">
        <v>133</v>
      </c>
      <c r="B102" s="5" t="str">
        <f>VLOOKUP(A102, EmployeeMaster!$A:$D, 3, FALSE)</f>
        <v>Human Resources</v>
      </c>
      <c r="C102" s="8">
        <v>2073</v>
      </c>
      <c r="D102" s="8">
        <f t="shared" si="6"/>
        <v>414.6</v>
      </c>
      <c r="E102" s="8">
        <f t="shared" si="7"/>
        <v>248.76</v>
      </c>
      <c r="F102" s="8">
        <f t="shared" si="8"/>
        <v>207.3</v>
      </c>
      <c r="G102" s="8">
        <f t="shared" si="9"/>
        <v>2487.6</v>
      </c>
      <c r="H102" s="8">
        <f t="shared" si="10"/>
        <v>456.06</v>
      </c>
      <c r="I102" s="10">
        <f t="shared" si="11"/>
        <v>2031.54</v>
      </c>
    </row>
    <row r="103" spans="1:9" x14ac:dyDescent="0.25">
      <c r="A103" s="6">
        <v>134</v>
      </c>
      <c r="B103" s="5" t="str">
        <f>VLOOKUP(A103, EmployeeMaster!$A:$D, 3, FALSE)</f>
        <v>Research &amp; Development</v>
      </c>
      <c r="C103" s="8">
        <v>2956</v>
      </c>
      <c r="D103" s="8">
        <f t="shared" si="6"/>
        <v>591.20000000000005</v>
      </c>
      <c r="E103" s="8">
        <f t="shared" si="7"/>
        <v>354.71999999999997</v>
      </c>
      <c r="F103" s="8">
        <f t="shared" si="8"/>
        <v>295.60000000000002</v>
      </c>
      <c r="G103" s="8">
        <f t="shared" si="9"/>
        <v>3547.2</v>
      </c>
      <c r="H103" s="8">
        <f t="shared" si="10"/>
        <v>650.31999999999994</v>
      </c>
      <c r="I103" s="10">
        <f t="shared" si="11"/>
        <v>2896.88</v>
      </c>
    </row>
    <row r="104" spans="1:9" x14ac:dyDescent="0.25">
      <c r="A104" s="6">
        <v>137</v>
      </c>
      <c r="B104" s="5" t="str">
        <f>VLOOKUP(A104, EmployeeMaster!$A:$D, 3, FALSE)</f>
        <v>Research &amp; Development</v>
      </c>
      <c r="C104" s="8">
        <v>2926</v>
      </c>
      <c r="D104" s="8">
        <f t="shared" si="6"/>
        <v>585.20000000000005</v>
      </c>
      <c r="E104" s="8">
        <f t="shared" si="7"/>
        <v>351.12</v>
      </c>
      <c r="F104" s="8">
        <f t="shared" si="8"/>
        <v>292.60000000000002</v>
      </c>
      <c r="G104" s="8">
        <f t="shared" si="9"/>
        <v>3511.2</v>
      </c>
      <c r="H104" s="8">
        <f t="shared" si="10"/>
        <v>643.72</v>
      </c>
      <c r="I104" s="10">
        <f t="shared" si="11"/>
        <v>2867.4799999999996</v>
      </c>
    </row>
    <row r="105" spans="1:9" x14ac:dyDescent="0.25">
      <c r="A105" s="6">
        <v>138</v>
      </c>
      <c r="B105" s="5" t="str">
        <f>VLOOKUP(A105, EmployeeMaster!$A:$D, 3, FALSE)</f>
        <v>Research &amp; Development</v>
      </c>
      <c r="C105" s="8">
        <v>4809</v>
      </c>
      <c r="D105" s="8">
        <f t="shared" si="6"/>
        <v>961.80000000000007</v>
      </c>
      <c r="E105" s="8">
        <f t="shared" si="7"/>
        <v>577.07999999999993</v>
      </c>
      <c r="F105" s="8">
        <f t="shared" si="8"/>
        <v>480.90000000000003</v>
      </c>
      <c r="G105" s="8">
        <f t="shared" si="9"/>
        <v>5770.8</v>
      </c>
      <c r="H105" s="8">
        <f t="shared" si="10"/>
        <v>1057.98</v>
      </c>
      <c r="I105" s="10">
        <f t="shared" si="11"/>
        <v>4712.82</v>
      </c>
    </row>
    <row r="106" spans="1:9" x14ac:dyDescent="0.25">
      <c r="A106" s="6">
        <v>139</v>
      </c>
      <c r="B106" s="5" t="str">
        <f>VLOOKUP(A106, EmployeeMaster!$A:$D, 3, FALSE)</f>
        <v>Research &amp; Development</v>
      </c>
      <c r="C106" s="8">
        <v>5163</v>
      </c>
      <c r="D106" s="8">
        <f t="shared" si="6"/>
        <v>1032.6000000000001</v>
      </c>
      <c r="E106" s="8">
        <f t="shared" si="7"/>
        <v>619.55999999999995</v>
      </c>
      <c r="F106" s="8">
        <f t="shared" si="8"/>
        <v>516.30000000000007</v>
      </c>
      <c r="G106" s="8">
        <f t="shared" si="9"/>
        <v>6195.6</v>
      </c>
      <c r="H106" s="8">
        <f t="shared" si="10"/>
        <v>1135.8600000000001</v>
      </c>
      <c r="I106" s="10">
        <f t="shared" si="11"/>
        <v>5059.74</v>
      </c>
    </row>
    <row r="107" spans="1:9" x14ac:dyDescent="0.25">
      <c r="A107" s="6">
        <v>140</v>
      </c>
      <c r="B107" s="5" t="str">
        <f>VLOOKUP(A107, EmployeeMaster!$A:$D, 3, FALSE)</f>
        <v>Human Resources</v>
      </c>
      <c r="C107" s="8">
        <v>18844</v>
      </c>
      <c r="D107" s="8">
        <f t="shared" si="6"/>
        <v>3768.8</v>
      </c>
      <c r="E107" s="8">
        <f t="shared" si="7"/>
        <v>2261.2799999999997</v>
      </c>
      <c r="F107" s="8">
        <f t="shared" si="8"/>
        <v>1884.4</v>
      </c>
      <c r="G107" s="8">
        <f t="shared" si="9"/>
        <v>22612.799999999999</v>
      </c>
      <c r="H107" s="8">
        <f t="shared" si="10"/>
        <v>4145.68</v>
      </c>
      <c r="I107" s="10">
        <f t="shared" si="11"/>
        <v>18467.12</v>
      </c>
    </row>
    <row r="108" spans="1:9" x14ac:dyDescent="0.25">
      <c r="A108" s="6">
        <v>141</v>
      </c>
      <c r="B108" s="5" t="str">
        <f>VLOOKUP(A108, EmployeeMaster!$A:$D, 3, FALSE)</f>
        <v>Research &amp; Development</v>
      </c>
      <c r="C108" s="8">
        <v>18172</v>
      </c>
      <c r="D108" s="8">
        <f t="shared" si="6"/>
        <v>3634.4</v>
      </c>
      <c r="E108" s="8">
        <f t="shared" si="7"/>
        <v>2180.64</v>
      </c>
      <c r="F108" s="8">
        <f t="shared" si="8"/>
        <v>1817.2</v>
      </c>
      <c r="G108" s="8">
        <f t="shared" si="9"/>
        <v>21806.400000000001</v>
      </c>
      <c r="H108" s="8">
        <f t="shared" si="10"/>
        <v>3997.84</v>
      </c>
      <c r="I108" s="10">
        <f t="shared" si="11"/>
        <v>17808.560000000001</v>
      </c>
    </row>
    <row r="109" spans="1:9" x14ac:dyDescent="0.25">
      <c r="A109" s="6">
        <v>142</v>
      </c>
      <c r="B109" s="5" t="str">
        <f>VLOOKUP(A109, EmployeeMaster!$A:$D, 3, FALSE)</f>
        <v>Sales</v>
      </c>
      <c r="C109" s="8">
        <v>5744</v>
      </c>
      <c r="D109" s="8">
        <f t="shared" si="6"/>
        <v>1148.8</v>
      </c>
      <c r="E109" s="8">
        <f t="shared" si="7"/>
        <v>689.28</v>
      </c>
      <c r="F109" s="8">
        <f t="shared" si="8"/>
        <v>574.4</v>
      </c>
      <c r="G109" s="8">
        <f t="shared" si="9"/>
        <v>6892.8</v>
      </c>
      <c r="H109" s="8">
        <f t="shared" si="10"/>
        <v>1263.6799999999998</v>
      </c>
      <c r="I109" s="10">
        <f t="shared" si="11"/>
        <v>5629.1200000000008</v>
      </c>
    </row>
    <row r="110" spans="1:9" x14ac:dyDescent="0.25">
      <c r="A110" s="6">
        <v>143</v>
      </c>
      <c r="B110" s="5" t="str">
        <f>VLOOKUP(A110, EmployeeMaster!$A:$D, 3, FALSE)</f>
        <v>Research &amp; Development</v>
      </c>
      <c r="C110" s="8">
        <v>2889</v>
      </c>
      <c r="D110" s="8">
        <f t="shared" si="6"/>
        <v>577.80000000000007</v>
      </c>
      <c r="E110" s="8">
        <f t="shared" si="7"/>
        <v>346.68</v>
      </c>
      <c r="F110" s="8">
        <f t="shared" si="8"/>
        <v>288.90000000000003</v>
      </c>
      <c r="G110" s="8">
        <f t="shared" si="9"/>
        <v>3466.8</v>
      </c>
      <c r="H110" s="8">
        <f t="shared" si="10"/>
        <v>635.58000000000004</v>
      </c>
      <c r="I110" s="10">
        <f t="shared" si="11"/>
        <v>2831.2200000000003</v>
      </c>
    </row>
    <row r="111" spans="1:9" x14ac:dyDescent="0.25">
      <c r="A111" s="6">
        <v>144</v>
      </c>
      <c r="B111" s="5" t="str">
        <f>VLOOKUP(A111, EmployeeMaster!$A:$D, 3, FALSE)</f>
        <v>Research &amp; Development</v>
      </c>
      <c r="C111" s="8">
        <v>2871</v>
      </c>
      <c r="D111" s="8">
        <f t="shared" si="6"/>
        <v>574.20000000000005</v>
      </c>
      <c r="E111" s="8">
        <f t="shared" si="7"/>
        <v>344.52</v>
      </c>
      <c r="F111" s="8">
        <f t="shared" si="8"/>
        <v>287.10000000000002</v>
      </c>
      <c r="G111" s="8">
        <f t="shared" si="9"/>
        <v>3445.2</v>
      </c>
      <c r="H111" s="8">
        <f t="shared" si="10"/>
        <v>631.62</v>
      </c>
      <c r="I111" s="10">
        <f t="shared" si="11"/>
        <v>2813.58</v>
      </c>
    </row>
    <row r="112" spans="1:9" x14ac:dyDescent="0.25">
      <c r="A112" s="6">
        <v>145</v>
      </c>
      <c r="B112" s="5" t="str">
        <f>VLOOKUP(A112, EmployeeMaster!$A:$D, 3, FALSE)</f>
        <v>Research &amp; Development</v>
      </c>
      <c r="C112" s="8">
        <v>7484</v>
      </c>
      <c r="D112" s="8">
        <f t="shared" si="6"/>
        <v>1496.8000000000002</v>
      </c>
      <c r="E112" s="8">
        <f t="shared" si="7"/>
        <v>898.07999999999993</v>
      </c>
      <c r="F112" s="8">
        <f t="shared" si="8"/>
        <v>748.40000000000009</v>
      </c>
      <c r="G112" s="8">
        <f t="shared" si="9"/>
        <v>8980.7999999999993</v>
      </c>
      <c r="H112" s="8">
        <f t="shared" si="10"/>
        <v>1646.48</v>
      </c>
      <c r="I112" s="10">
        <f t="shared" si="11"/>
        <v>7334.32</v>
      </c>
    </row>
    <row r="113" spans="1:9" x14ac:dyDescent="0.25">
      <c r="A113" s="6">
        <v>147</v>
      </c>
      <c r="B113" s="5" t="str">
        <f>VLOOKUP(A113, EmployeeMaster!$A:$D, 3, FALSE)</f>
        <v>Research &amp; Development</v>
      </c>
      <c r="C113" s="8">
        <v>6074</v>
      </c>
      <c r="D113" s="8">
        <f t="shared" si="6"/>
        <v>1214.8</v>
      </c>
      <c r="E113" s="8">
        <f t="shared" si="7"/>
        <v>728.88</v>
      </c>
      <c r="F113" s="8">
        <f t="shared" si="8"/>
        <v>607.4</v>
      </c>
      <c r="G113" s="8">
        <f t="shared" si="9"/>
        <v>7288.8</v>
      </c>
      <c r="H113" s="8">
        <f t="shared" si="10"/>
        <v>1336.28</v>
      </c>
      <c r="I113" s="10">
        <f t="shared" si="11"/>
        <v>5952.52</v>
      </c>
    </row>
    <row r="114" spans="1:9" x14ac:dyDescent="0.25">
      <c r="A114" s="6">
        <v>148</v>
      </c>
      <c r="B114" s="5" t="str">
        <f>VLOOKUP(A114, EmployeeMaster!$A:$D, 3, FALSE)</f>
        <v>Human Resources</v>
      </c>
      <c r="C114" s="8">
        <v>17328</v>
      </c>
      <c r="D114" s="8">
        <f t="shared" si="6"/>
        <v>3465.6000000000004</v>
      </c>
      <c r="E114" s="8">
        <f t="shared" si="7"/>
        <v>2079.36</v>
      </c>
      <c r="F114" s="8">
        <f t="shared" si="8"/>
        <v>1732.8000000000002</v>
      </c>
      <c r="G114" s="8">
        <f t="shared" si="9"/>
        <v>20793.599999999999</v>
      </c>
      <c r="H114" s="8">
        <f t="shared" si="10"/>
        <v>3812.1600000000003</v>
      </c>
      <c r="I114" s="10">
        <f t="shared" si="11"/>
        <v>16981.439999999999</v>
      </c>
    </row>
    <row r="115" spans="1:9" x14ac:dyDescent="0.25">
      <c r="A115" s="6">
        <v>150</v>
      </c>
      <c r="B115" s="5" t="str">
        <f>VLOOKUP(A115, EmployeeMaster!$A:$D, 3, FALSE)</f>
        <v>Research &amp; Development</v>
      </c>
      <c r="C115" s="8">
        <v>2774</v>
      </c>
      <c r="D115" s="8">
        <f t="shared" si="6"/>
        <v>554.80000000000007</v>
      </c>
      <c r="E115" s="8">
        <f t="shared" si="7"/>
        <v>332.88</v>
      </c>
      <c r="F115" s="8">
        <f t="shared" si="8"/>
        <v>277.40000000000003</v>
      </c>
      <c r="G115" s="8">
        <f t="shared" si="9"/>
        <v>3328.8</v>
      </c>
      <c r="H115" s="8">
        <f t="shared" si="10"/>
        <v>610.28</v>
      </c>
      <c r="I115" s="10">
        <f t="shared" si="11"/>
        <v>2718.5200000000004</v>
      </c>
    </row>
    <row r="116" spans="1:9" x14ac:dyDescent="0.25">
      <c r="A116" s="6">
        <v>151</v>
      </c>
      <c r="B116" s="5" t="str">
        <f>VLOOKUP(A116, EmployeeMaster!$A:$D, 3, FALSE)</f>
        <v>Research &amp; Development</v>
      </c>
      <c r="C116" s="8">
        <v>4505</v>
      </c>
      <c r="D116" s="8">
        <f t="shared" si="6"/>
        <v>901</v>
      </c>
      <c r="E116" s="8">
        <f t="shared" si="7"/>
        <v>540.6</v>
      </c>
      <c r="F116" s="8">
        <f t="shared" si="8"/>
        <v>450.5</v>
      </c>
      <c r="G116" s="8">
        <f t="shared" si="9"/>
        <v>5406</v>
      </c>
      <c r="H116" s="8">
        <f t="shared" si="10"/>
        <v>991.1</v>
      </c>
      <c r="I116" s="10">
        <f t="shared" si="11"/>
        <v>4414.8999999999996</v>
      </c>
    </row>
    <row r="117" spans="1:9" x14ac:dyDescent="0.25">
      <c r="A117" s="6">
        <v>152</v>
      </c>
      <c r="B117" s="5" t="str">
        <f>VLOOKUP(A117, EmployeeMaster!$A:$D, 3, FALSE)</f>
        <v>Sales</v>
      </c>
      <c r="C117" s="8">
        <v>7428</v>
      </c>
      <c r="D117" s="8">
        <f t="shared" si="6"/>
        <v>1485.6000000000001</v>
      </c>
      <c r="E117" s="8">
        <f t="shared" si="7"/>
        <v>891.36</v>
      </c>
      <c r="F117" s="8">
        <f t="shared" si="8"/>
        <v>742.80000000000007</v>
      </c>
      <c r="G117" s="8">
        <f t="shared" si="9"/>
        <v>8913.6</v>
      </c>
      <c r="H117" s="8">
        <f t="shared" si="10"/>
        <v>1634.16</v>
      </c>
      <c r="I117" s="10">
        <f t="shared" si="11"/>
        <v>7279.4400000000005</v>
      </c>
    </row>
    <row r="118" spans="1:9" x14ac:dyDescent="0.25">
      <c r="A118" s="6">
        <v>153</v>
      </c>
      <c r="B118" s="5" t="str">
        <f>VLOOKUP(A118, EmployeeMaster!$A:$D, 3, FALSE)</f>
        <v>Research &amp; Development</v>
      </c>
      <c r="C118" s="8">
        <v>11631</v>
      </c>
      <c r="D118" s="8">
        <f t="shared" si="6"/>
        <v>2326.2000000000003</v>
      </c>
      <c r="E118" s="8">
        <f t="shared" si="7"/>
        <v>1395.72</v>
      </c>
      <c r="F118" s="8">
        <f t="shared" si="8"/>
        <v>1163.1000000000001</v>
      </c>
      <c r="G118" s="8">
        <f t="shared" si="9"/>
        <v>13957.2</v>
      </c>
      <c r="H118" s="8">
        <f t="shared" si="10"/>
        <v>2558.8200000000002</v>
      </c>
      <c r="I118" s="10">
        <f t="shared" si="11"/>
        <v>11398.380000000001</v>
      </c>
    </row>
    <row r="119" spans="1:9" x14ac:dyDescent="0.25">
      <c r="A119" s="6">
        <v>154</v>
      </c>
      <c r="B119" s="5" t="str">
        <f>VLOOKUP(A119, EmployeeMaster!$A:$D, 3, FALSE)</f>
        <v>Sales</v>
      </c>
      <c r="C119" s="8">
        <v>9738</v>
      </c>
      <c r="D119" s="8">
        <f t="shared" si="6"/>
        <v>1947.6000000000001</v>
      </c>
      <c r="E119" s="8">
        <f t="shared" si="7"/>
        <v>1168.56</v>
      </c>
      <c r="F119" s="8">
        <f t="shared" si="8"/>
        <v>973.80000000000007</v>
      </c>
      <c r="G119" s="8">
        <f t="shared" si="9"/>
        <v>11685.6</v>
      </c>
      <c r="H119" s="8">
        <f t="shared" si="10"/>
        <v>2142.36</v>
      </c>
      <c r="I119" s="10">
        <f t="shared" si="11"/>
        <v>9543.24</v>
      </c>
    </row>
    <row r="120" spans="1:9" x14ac:dyDescent="0.25">
      <c r="A120" s="6">
        <v>155</v>
      </c>
      <c r="B120" s="5" t="str">
        <f>VLOOKUP(A120, EmployeeMaster!$A:$D, 3, FALSE)</f>
        <v>Research &amp; Development</v>
      </c>
      <c r="C120" s="8">
        <v>2835</v>
      </c>
      <c r="D120" s="8">
        <f t="shared" si="6"/>
        <v>567</v>
      </c>
      <c r="E120" s="8">
        <f t="shared" si="7"/>
        <v>340.2</v>
      </c>
      <c r="F120" s="8">
        <f t="shared" si="8"/>
        <v>283.5</v>
      </c>
      <c r="G120" s="8">
        <f t="shared" si="9"/>
        <v>3402</v>
      </c>
      <c r="H120" s="8">
        <f t="shared" si="10"/>
        <v>623.70000000000005</v>
      </c>
      <c r="I120" s="10">
        <f t="shared" si="11"/>
        <v>2778.3</v>
      </c>
    </row>
    <row r="121" spans="1:9" x14ac:dyDescent="0.25">
      <c r="A121" s="6">
        <v>158</v>
      </c>
      <c r="B121" s="5" t="str">
        <f>VLOOKUP(A121, EmployeeMaster!$A:$D, 3, FALSE)</f>
        <v>Sales</v>
      </c>
      <c r="C121" s="8">
        <v>16959</v>
      </c>
      <c r="D121" s="8">
        <f t="shared" si="6"/>
        <v>3391.8</v>
      </c>
      <c r="E121" s="8">
        <f t="shared" si="7"/>
        <v>2035.08</v>
      </c>
      <c r="F121" s="8">
        <f t="shared" si="8"/>
        <v>1695.9</v>
      </c>
      <c r="G121" s="8">
        <f t="shared" si="9"/>
        <v>20350.8</v>
      </c>
      <c r="H121" s="8">
        <f t="shared" si="10"/>
        <v>3730.98</v>
      </c>
      <c r="I121" s="10">
        <f t="shared" si="11"/>
        <v>16619.82</v>
      </c>
    </row>
    <row r="122" spans="1:9" x14ac:dyDescent="0.25">
      <c r="A122" s="6">
        <v>159</v>
      </c>
      <c r="B122" s="5" t="str">
        <f>VLOOKUP(A122, EmployeeMaster!$A:$D, 3, FALSE)</f>
        <v>Research &amp; Development</v>
      </c>
      <c r="C122" s="8">
        <v>2613</v>
      </c>
      <c r="D122" s="8">
        <f t="shared" si="6"/>
        <v>522.6</v>
      </c>
      <c r="E122" s="8">
        <f t="shared" si="7"/>
        <v>313.56</v>
      </c>
      <c r="F122" s="8">
        <f t="shared" si="8"/>
        <v>261.3</v>
      </c>
      <c r="G122" s="8">
        <f t="shared" si="9"/>
        <v>3135.6</v>
      </c>
      <c r="H122" s="8">
        <f t="shared" si="10"/>
        <v>574.86</v>
      </c>
      <c r="I122" s="10">
        <f t="shared" si="11"/>
        <v>2560.7399999999998</v>
      </c>
    </row>
    <row r="123" spans="1:9" x14ac:dyDescent="0.25">
      <c r="A123" s="6">
        <v>160</v>
      </c>
      <c r="B123" s="5" t="str">
        <f>VLOOKUP(A123, EmployeeMaster!$A:$D, 3, FALSE)</f>
        <v>Sales</v>
      </c>
      <c r="C123" s="8">
        <v>6146</v>
      </c>
      <c r="D123" s="8">
        <f t="shared" si="6"/>
        <v>1229.2</v>
      </c>
      <c r="E123" s="8">
        <f t="shared" si="7"/>
        <v>737.52</v>
      </c>
      <c r="F123" s="8">
        <f t="shared" si="8"/>
        <v>614.6</v>
      </c>
      <c r="G123" s="8">
        <f t="shared" si="9"/>
        <v>7375.2</v>
      </c>
      <c r="H123" s="8">
        <f t="shared" si="10"/>
        <v>1352.12</v>
      </c>
      <c r="I123" s="10">
        <f t="shared" si="11"/>
        <v>6023.08</v>
      </c>
    </row>
    <row r="124" spans="1:9" x14ac:dyDescent="0.25">
      <c r="A124" s="6">
        <v>161</v>
      </c>
      <c r="B124" s="5" t="str">
        <f>VLOOKUP(A124, EmployeeMaster!$A:$D, 3, FALSE)</f>
        <v>Research &amp; Development</v>
      </c>
      <c r="C124" s="8">
        <v>4963</v>
      </c>
      <c r="D124" s="8">
        <f t="shared" si="6"/>
        <v>992.6</v>
      </c>
      <c r="E124" s="8">
        <f t="shared" si="7"/>
        <v>595.55999999999995</v>
      </c>
      <c r="F124" s="8">
        <f t="shared" si="8"/>
        <v>496.3</v>
      </c>
      <c r="G124" s="8">
        <f t="shared" si="9"/>
        <v>5955.6</v>
      </c>
      <c r="H124" s="8">
        <f t="shared" si="10"/>
        <v>1091.8599999999999</v>
      </c>
      <c r="I124" s="10">
        <f t="shared" si="11"/>
        <v>4863.7400000000007</v>
      </c>
    </row>
    <row r="125" spans="1:9" x14ac:dyDescent="0.25">
      <c r="A125" s="6">
        <v>162</v>
      </c>
      <c r="B125" s="5" t="str">
        <f>VLOOKUP(A125, EmployeeMaster!$A:$D, 3, FALSE)</f>
        <v>Research &amp; Development</v>
      </c>
      <c r="C125" s="8">
        <v>19537</v>
      </c>
      <c r="D125" s="8">
        <f t="shared" si="6"/>
        <v>3907.4</v>
      </c>
      <c r="E125" s="8">
        <f t="shared" si="7"/>
        <v>2344.44</v>
      </c>
      <c r="F125" s="8">
        <f t="shared" si="8"/>
        <v>1953.7</v>
      </c>
      <c r="G125" s="8">
        <f t="shared" si="9"/>
        <v>23444.400000000001</v>
      </c>
      <c r="H125" s="8">
        <f t="shared" si="10"/>
        <v>4298.1400000000003</v>
      </c>
      <c r="I125" s="10">
        <f t="shared" si="11"/>
        <v>19146.260000000002</v>
      </c>
    </row>
    <row r="126" spans="1:9" x14ac:dyDescent="0.25">
      <c r="A126" s="6">
        <v>163</v>
      </c>
      <c r="B126" s="5" t="str">
        <f>VLOOKUP(A126, EmployeeMaster!$A:$D, 3, FALSE)</f>
        <v>Sales</v>
      </c>
      <c r="C126" s="8">
        <v>6172</v>
      </c>
      <c r="D126" s="8">
        <f t="shared" si="6"/>
        <v>1234.4000000000001</v>
      </c>
      <c r="E126" s="8">
        <f t="shared" si="7"/>
        <v>740.64</v>
      </c>
      <c r="F126" s="8">
        <f t="shared" si="8"/>
        <v>617.20000000000005</v>
      </c>
      <c r="G126" s="8">
        <f t="shared" si="9"/>
        <v>7406.4</v>
      </c>
      <c r="H126" s="8">
        <f t="shared" si="10"/>
        <v>1357.8400000000001</v>
      </c>
      <c r="I126" s="10">
        <f t="shared" si="11"/>
        <v>6048.5599999999995</v>
      </c>
    </row>
    <row r="127" spans="1:9" x14ac:dyDescent="0.25">
      <c r="A127" s="6">
        <v>164</v>
      </c>
      <c r="B127" s="5" t="str">
        <f>VLOOKUP(A127, EmployeeMaster!$A:$D, 3, FALSE)</f>
        <v>Research &amp; Development</v>
      </c>
      <c r="C127" s="8">
        <v>2368</v>
      </c>
      <c r="D127" s="8">
        <f t="shared" si="6"/>
        <v>473.6</v>
      </c>
      <c r="E127" s="8">
        <f t="shared" si="7"/>
        <v>284.15999999999997</v>
      </c>
      <c r="F127" s="8">
        <f t="shared" si="8"/>
        <v>236.8</v>
      </c>
      <c r="G127" s="8">
        <f t="shared" si="9"/>
        <v>2841.6</v>
      </c>
      <c r="H127" s="8">
        <f t="shared" si="10"/>
        <v>520.96</v>
      </c>
      <c r="I127" s="10">
        <f t="shared" si="11"/>
        <v>2320.64</v>
      </c>
    </row>
    <row r="128" spans="1:9" x14ac:dyDescent="0.25">
      <c r="A128" s="6">
        <v>165</v>
      </c>
      <c r="B128" s="5" t="str">
        <f>VLOOKUP(A128, EmployeeMaster!$A:$D, 3, FALSE)</f>
        <v>Research &amp; Development</v>
      </c>
      <c r="C128" s="8">
        <v>10312</v>
      </c>
      <c r="D128" s="8">
        <f t="shared" si="6"/>
        <v>2062.4</v>
      </c>
      <c r="E128" s="8">
        <f t="shared" si="7"/>
        <v>1237.44</v>
      </c>
      <c r="F128" s="8">
        <f t="shared" si="8"/>
        <v>1031.2</v>
      </c>
      <c r="G128" s="8">
        <f t="shared" si="9"/>
        <v>12374.4</v>
      </c>
      <c r="H128" s="8">
        <f t="shared" si="10"/>
        <v>2268.6400000000003</v>
      </c>
      <c r="I128" s="10">
        <f t="shared" si="11"/>
        <v>10105.759999999998</v>
      </c>
    </row>
    <row r="129" spans="1:9" x14ac:dyDescent="0.25">
      <c r="A129" s="6">
        <v>167</v>
      </c>
      <c r="B129" s="5" t="str">
        <f>VLOOKUP(A129, EmployeeMaster!$A:$D, 3, FALSE)</f>
        <v>Sales</v>
      </c>
      <c r="C129" s="8">
        <v>1675</v>
      </c>
      <c r="D129" s="8">
        <f t="shared" si="6"/>
        <v>335</v>
      </c>
      <c r="E129" s="8">
        <f t="shared" si="7"/>
        <v>201</v>
      </c>
      <c r="F129" s="8">
        <f t="shared" si="8"/>
        <v>167.5</v>
      </c>
      <c r="G129" s="8">
        <f t="shared" si="9"/>
        <v>2010</v>
      </c>
      <c r="H129" s="8">
        <f t="shared" si="10"/>
        <v>368.5</v>
      </c>
      <c r="I129" s="10">
        <f t="shared" si="11"/>
        <v>1641.5</v>
      </c>
    </row>
    <row r="130" spans="1:9" x14ac:dyDescent="0.25">
      <c r="A130" s="6">
        <v>169</v>
      </c>
      <c r="B130" s="5" t="str">
        <f>VLOOKUP(A130, EmployeeMaster!$A:$D, 3, FALSE)</f>
        <v>Research &amp; Development</v>
      </c>
      <c r="C130" s="8">
        <v>2523</v>
      </c>
      <c r="D130" s="8">
        <f t="shared" si="6"/>
        <v>504.6</v>
      </c>
      <c r="E130" s="8">
        <f t="shared" si="7"/>
        <v>302.76</v>
      </c>
      <c r="F130" s="8">
        <f t="shared" si="8"/>
        <v>252.3</v>
      </c>
      <c r="G130" s="8">
        <f t="shared" si="9"/>
        <v>3027.6</v>
      </c>
      <c r="H130" s="8">
        <f t="shared" si="10"/>
        <v>555.05999999999995</v>
      </c>
      <c r="I130" s="10">
        <f t="shared" si="11"/>
        <v>2472.54</v>
      </c>
    </row>
    <row r="131" spans="1:9" x14ac:dyDescent="0.25">
      <c r="A131" s="6">
        <v>170</v>
      </c>
      <c r="B131" s="5" t="str">
        <f>VLOOKUP(A131, EmployeeMaster!$A:$D, 3, FALSE)</f>
        <v>Research &amp; Development</v>
      </c>
      <c r="C131" s="8">
        <v>6567</v>
      </c>
      <c r="D131" s="8">
        <f t="shared" ref="D131:D194" si="12">C131*20%</f>
        <v>1313.4</v>
      </c>
      <c r="E131" s="8">
        <f t="shared" ref="E131:E194" si="13">C131*12%</f>
        <v>788.04</v>
      </c>
      <c r="F131" s="8">
        <f t="shared" ref="F131:F194" si="14">C131*10%</f>
        <v>656.7</v>
      </c>
      <c r="G131" s="8">
        <f t="shared" ref="G131:G194" si="15">C131+D131</f>
        <v>7880.4</v>
      </c>
      <c r="H131" s="8">
        <f t="shared" ref="H131:H194" si="16">E131+F131</f>
        <v>1444.74</v>
      </c>
      <c r="I131" s="10">
        <f t="shared" ref="I131:I194" si="17">G131-H131</f>
        <v>6435.66</v>
      </c>
    </row>
    <row r="132" spans="1:9" x14ac:dyDescent="0.25">
      <c r="A132" s="6">
        <v>171</v>
      </c>
      <c r="B132" s="5" t="str">
        <f>VLOOKUP(A132, EmployeeMaster!$A:$D, 3, FALSE)</f>
        <v>Research &amp; Development</v>
      </c>
      <c r="C132" s="8">
        <v>4739</v>
      </c>
      <c r="D132" s="8">
        <f t="shared" si="12"/>
        <v>947.80000000000007</v>
      </c>
      <c r="E132" s="8">
        <f t="shared" si="13"/>
        <v>568.67999999999995</v>
      </c>
      <c r="F132" s="8">
        <f t="shared" si="14"/>
        <v>473.90000000000003</v>
      </c>
      <c r="G132" s="8">
        <f t="shared" si="15"/>
        <v>5686.8</v>
      </c>
      <c r="H132" s="8">
        <f t="shared" si="16"/>
        <v>1042.58</v>
      </c>
      <c r="I132" s="10">
        <f t="shared" si="17"/>
        <v>4644.22</v>
      </c>
    </row>
    <row r="133" spans="1:9" x14ac:dyDescent="0.25">
      <c r="A133" s="6">
        <v>174</v>
      </c>
      <c r="B133" s="5" t="str">
        <f>VLOOKUP(A133, EmployeeMaster!$A:$D, 3, FALSE)</f>
        <v>Sales</v>
      </c>
      <c r="C133" s="8">
        <v>9208</v>
      </c>
      <c r="D133" s="8">
        <f t="shared" si="12"/>
        <v>1841.6000000000001</v>
      </c>
      <c r="E133" s="8">
        <f t="shared" si="13"/>
        <v>1104.96</v>
      </c>
      <c r="F133" s="8">
        <f t="shared" si="14"/>
        <v>920.80000000000007</v>
      </c>
      <c r="G133" s="8">
        <f t="shared" si="15"/>
        <v>11049.6</v>
      </c>
      <c r="H133" s="8">
        <f t="shared" si="16"/>
        <v>2025.7600000000002</v>
      </c>
      <c r="I133" s="10">
        <f t="shared" si="17"/>
        <v>9023.84</v>
      </c>
    </row>
    <row r="134" spans="1:9" x14ac:dyDescent="0.25">
      <c r="A134" s="6">
        <v>175</v>
      </c>
      <c r="B134" s="5" t="str">
        <f>VLOOKUP(A134, EmployeeMaster!$A:$D, 3, FALSE)</f>
        <v>Sales</v>
      </c>
      <c r="C134" s="8">
        <v>4559</v>
      </c>
      <c r="D134" s="8">
        <f t="shared" si="12"/>
        <v>911.80000000000007</v>
      </c>
      <c r="E134" s="8">
        <f t="shared" si="13"/>
        <v>547.07999999999993</v>
      </c>
      <c r="F134" s="8">
        <f t="shared" si="14"/>
        <v>455.90000000000003</v>
      </c>
      <c r="G134" s="8">
        <f t="shared" si="15"/>
        <v>5470.8</v>
      </c>
      <c r="H134" s="8">
        <f t="shared" si="16"/>
        <v>1002.98</v>
      </c>
      <c r="I134" s="10">
        <f t="shared" si="17"/>
        <v>4467.82</v>
      </c>
    </row>
    <row r="135" spans="1:9" x14ac:dyDescent="0.25">
      <c r="A135" s="6">
        <v>176</v>
      </c>
      <c r="B135" s="5" t="str">
        <f>VLOOKUP(A135, EmployeeMaster!$A:$D, 3, FALSE)</f>
        <v>Sales</v>
      </c>
      <c r="C135" s="8">
        <v>8189</v>
      </c>
      <c r="D135" s="8">
        <f t="shared" si="12"/>
        <v>1637.8000000000002</v>
      </c>
      <c r="E135" s="8">
        <f t="shared" si="13"/>
        <v>982.68</v>
      </c>
      <c r="F135" s="8">
        <f t="shared" si="14"/>
        <v>818.90000000000009</v>
      </c>
      <c r="G135" s="8">
        <f t="shared" si="15"/>
        <v>9826.7999999999993</v>
      </c>
      <c r="H135" s="8">
        <f t="shared" si="16"/>
        <v>1801.58</v>
      </c>
      <c r="I135" s="10">
        <f t="shared" si="17"/>
        <v>8025.2199999999993</v>
      </c>
    </row>
    <row r="136" spans="1:9" x14ac:dyDescent="0.25">
      <c r="A136" s="6">
        <v>177</v>
      </c>
      <c r="B136" s="5" t="str">
        <f>VLOOKUP(A136, EmployeeMaster!$A:$D, 3, FALSE)</f>
        <v>Human Resources</v>
      </c>
      <c r="C136" s="8">
        <v>2942</v>
      </c>
      <c r="D136" s="8">
        <f t="shared" si="12"/>
        <v>588.4</v>
      </c>
      <c r="E136" s="8">
        <f t="shared" si="13"/>
        <v>353.03999999999996</v>
      </c>
      <c r="F136" s="8">
        <f t="shared" si="14"/>
        <v>294.2</v>
      </c>
      <c r="G136" s="8">
        <f t="shared" si="15"/>
        <v>3530.4</v>
      </c>
      <c r="H136" s="8">
        <f t="shared" si="16"/>
        <v>647.24</v>
      </c>
      <c r="I136" s="10">
        <f t="shared" si="17"/>
        <v>2883.16</v>
      </c>
    </row>
    <row r="137" spans="1:9" x14ac:dyDescent="0.25">
      <c r="A137" s="6">
        <v>178</v>
      </c>
      <c r="B137" s="5" t="str">
        <f>VLOOKUP(A137, EmployeeMaster!$A:$D, 3, FALSE)</f>
        <v>Research &amp; Development</v>
      </c>
      <c r="C137" s="8">
        <v>4941</v>
      </c>
      <c r="D137" s="8">
        <f t="shared" si="12"/>
        <v>988.2</v>
      </c>
      <c r="E137" s="8">
        <f t="shared" si="13"/>
        <v>592.91999999999996</v>
      </c>
      <c r="F137" s="8">
        <f t="shared" si="14"/>
        <v>494.1</v>
      </c>
      <c r="G137" s="8">
        <f t="shared" si="15"/>
        <v>5929.2</v>
      </c>
      <c r="H137" s="8">
        <f t="shared" si="16"/>
        <v>1087.02</v>
      </c>
      <c r="I137" s="10">
        <f t="shared" si="17"/>
        <v>4842.18</v>
      </c>
    </row>
    <row r="138" spans="1:9" x14ac:dyDescent="0.25">
      <c r="A138" s="6">
        <v>179</v>
      </c>
      <c r="B138" s="5" t="str">
        <f>VLOOKUP(A138, EmployeeMaster!$A:$D, 3, FALSE)</f>
        <v>Research &amp; Development</v>
      </c>
      <c r="C138" s="8">
        <v>10650</v>
      </c>
      <c r="D138" s="8">
        <f t="shared" si="12"/>
        <v>2130</v>
      </c>
      <c r="E138" s="8">
        <f t="shared" si="13"/>
        <v>1278</v>
      </c>
      <c r="F138" s="8">
        <f t="shared" si="14"/>
        <v>1065</v>
      </c>
      <c r="G138" s="8">
        <f t="shared" si="15"/>
        <v>12780</v>
      </c>
      <c r="H138" s="8">
        <f t="shared" si="16"/>
        <v>2343</v>
      </c>
      <c r="I138" s="10">
        <f t="shared" si="17"/>
        <v>10437</v>
      </c>
    </row>
    <row r="139" spans="1:9" x14ac:dyDescent="0.25">
      <c r="A139" s="6">
        <v>182</v>
      </c>
      <c r="B139" s="5" t="str">
        <f>VLOOKUP(A139, EmployeeMaster!$A:$D, 3, FALSE)</f>
        <v>Sales</v>
      </c>
      <c r="C139" s="8">
        <v>5902</v>
      </c>
      <c r="D139" s="8">
        <f t="shared" si="12"/>
        <v>1180.4000000000001</v>
      </c>
      <c r="E139" s="8">
        <f t="shared" si="13"/>
        <v>708.24</v>
      </c>
      <c r="F139" s="8">
        <f t="shared" si="14"/>
        <v>590.20000000000005</v>
      </c>
      <c r="G139" s="8">
        <f t="shared" si="15"/>
        <v>7082.4</v>
      </c>
      <c r="H139" s="8">
        <f t="shared" si="16"/>
        <v>1298.44</v>
      </c>
      <c r="I139" s="10">
        <f t="shared" si="17"/>
        <v>5783.9599999999991</v>
      </c>
    </row>
    <row r="140" spans="1:9" x14ac:dyDescent="0.25">
      <c r="A140" s="6">
        <v>183</v>
      </c>
      <c r="B140" s="5" t="str">
        <f>VLOOKUP(A140, EmployeeMaster!$A:$D, 3, FALSE)</f>
        <v>Sales</v>
      </c>
      <c r="C140" s="8">
        <v>8639</v>
      </c>
      <c r="D140" s="8">
        <f t="shared" si="12"/>
        <v>1727.8000000000002</v>
      </c>
      <c r="E140" s="8">
        <f t="shared" si="13"/>
        <v>1036.68</v>
      </c>
      <c r="F140" s="8">
        <f t="shared" si="14"/>
        <v>863.90000000000009</v>
      </c>
      <c r="G140" s="8">
        <f t="shared" si="15"/>
        <v>10366.799999999999</v>
      </c>
      <c r="H140" s="8">
        <f t="shared" si="16"/>
        <v>1900.5800000000002</v>
      </c>
      <c r="I140" s="10">
        <f t="shared" si="17"/>
        <v>8466.2199999999993</v>
      </c>
    </row>
    <row r="141" spans="1:9" x14ac:dyDescent="0.25">
      <c r="A141" s="6">
        <v>184</v>
      </c>
      <c r="B141" s="5" t="str">
        <f>VLOOKUP(A141, EmployeeMaster!$A:$D, 3, FALSE)</f>
        <v>Human Resources</v>
      </c>
      <c r="C141" s="8">
        <v>6347</v>
      </c>
      <c r="D141" s="8">
        <f t="shared" si="12"/>
        <v>1269.4000000000001</v>
      </c>
      <c r="E141" s="8">
        <f t="shared" si="13"/>
        <v>761.64</v>
      </c>
      <c r="F141" s="8">
        <f t="shared" si="14"/>
        <v>634.70000000000005</v>
      </c>
      <c r="G141" s="8">
        <f t="shared" si="15"/>
        <v>7616.4</v>
      </c>
      <c r="H141" s="8">
        <f t="shared" si="16"/>
        <v>1396.3400000000001</v>
      </c>
      <c r="I141" s="10">
        <f t="shared" si="17"/>
        <v>6220.0599999999995</v>
      </c>
    </row>
    <row r="142" spans="1:9" x14ac:dyDescent="0.25">
      <c r="A142" s="6">
        <v>190</v>
      </c>
      <c r="B142" s="5" t="str">
        <f>VLOOKUP(A142, EmployeeMaster!$A:$D, 3, FALSE)</f>
        <v>Research &amp; Development</v>
      </c>
      <c r="C142" s="8">
        <v>4200</v>
      </c>
      <c r="D142" s="8">
        <f t="shared" si="12"/>
        <v>840</v>
      </c>
      <c r="E142" s="8">
        <f t="shared" si="13"/>
        <v>504</v>
      </c>
      <c r="F142" s="8">
        <f t="shared" si="14"/>
        <v>420</v>
      </c>
      <c r="G142" s="8">
        <f t="shared" si="15"/>
        <v>5040</v>
      </c>
      <c r="H142" s="8">
        <f t="shared" si="16"/>
        <v>924</v>
      </c>
      <c r="I142" s="10">
        <f t="shared" si="17"/>
        <v>4116</v>
      </c>
    </row>
    <row r="143" spans="1:9" x14ac:dyDescent="0.25">
      <c r="A143" s="6">
        <v>192</v>
      </c>
      <c r="B143" s="5" t="str">
        <f>VLOOKUP(A143, EmployeeMaster!$A:$D, 3, FALSE)</f>
        <v>Research &amp; Development</v>
      </c>
      <c r="C143" s="8">
        <v>3452</v>
      </c>
      <c r="D143" s="8">
        <f t="shared" si="12"/>
        <v>690.40000000000009</v>
      </c>
      <c r="E143" s="8">
        <f t="shared" si="13"/>
        <v>414.24</v>
      </c>
      <c r="F143" s="8">
        <f t="shared" si="14"/>
        <v>345.20000000000005</v>
      </c>
      <c r="G143" s="8">
        <f t="shared" si="15"/>
        <v>4142.3999999999996</v>
      </c>
      <c r="H143" s="8">
        <f t="shared" si="16"/>
        <v>759.44</v>
      </c>
      <c r="I143" s="10">
        <f t="shared" si="17"/>
        <v>3382.9599999999996</v>
      </c>
    </row>
    <row r="144" spans="1:9" x14ac:dyDescent="0.25">
      <c r="A144" s="6">
        <v>193</v>
      </c>
      <c r="B144" s="5" t="str">
        <f>VLOOKUP(A144, EmployeeMaster!$A:$D, 3, FALSE)</f>
        <v>Research &amp; Development</v>
      </c>
      <c r="C144" s="8">
        <v>4317</v>
      </c>
      <c r="D144" s="8">
        <f t="shared" si="12"/>
        <v>863.40000000000009</v>
      </c>
      <c r="E144" s="8">
        <f t="shared" si="13"/>
        <v>518.04</v>
      </c>
      <c r="F144" s="8">
        <f t="shared" si="14"/>
        <v>431.70000000000005</v>
      </c>
      <c r="G144" s="8">
        <f t="shared" si="15"/>
        <v>5180.3999999999996</v>
      </c>
      <c r="H144" s="8">
        <f t="shared" si="16"/>
        <v>949.74</v>
      </c>
      <c r="I144" s="10">
        <f t="shared" si="17"/>
        <v>4230.66</v>
      </c>
    </row>
    <row r="145" spans="1:9" x14ac:dyDescent="0.25">
      <c r="A145" s="6">
        <v>194</v>
      </c>
      <c r="B145" s="5" t="str">
        <f>VLOOKUP(A145, EmployeeMaster!$A:$D, 3, FALSE)</f>
        <v>Research &amp; Development</v>
      </c>
      <c r="C145" s="8">
        <v>2632</v>
      </c>
      <c r="D145" s="8">
        <f t="shared" si="12"/>
        <v>526.4</v>
      </c>
      <c r="E145" s="8">
        <f t="shared" si="13"/>
        <v>315.83999999999997</v>
      </c>
      <c r="F145" s="8">
        <f t="shared" si="14"/>
        <v>263.2</v>
      </c>
      <c r="G145" s="8">
        <f t="shared" si="15"/>
        <v>3158.4</v>
      </c>
      <c r="H145" s="8">
        <f t="shared" si="16"/>
        <v>579.04</v>
      </c>
      <c r="I145" s="10">
        <f t="shared" si="17"/>
        <v>2579.36</v>
      </c>
    </row>
    <row r="146" spans="1:9" x14ac:dyDescent="0.25">
      <c r="A146" s="6">
        <v>195</v>
      </c>
      <c r="B146" s="5" t="str">
        <f>VLOOKUP(A146, EmployeeMaster!$A:$D, 3, FALSE)</f>
        <v>Sales</v>
      </c>
      <c r="C146" s="8">
        <v>4668</v>
      </c>
      <c r="D146" s="8">
        <f t="shared" si="12"/>
        <v>933.6</v>
      </c>
      <c r="E146" s="8">
        <f t="shared" si="13"/>
        <v>560.16</v>
      </c>
      <c r="F146" s="8">
        <f t="shared" si="14"/>
        <v>466.8</v>
      </c>
      <c r="G146" s="8">
        <f t="shared" si="15"/>
        <v>5601.6</v>
      </c>
      <c r="H146" s="8">
        <f t="shared" si="16"/>
        <v>1026.96</v>
      </c>
      <c r="I146" s="10">
        <f t="shared" si="17"/>
        <v>4574.6400000000003</v>
      </c>
    </row>
    <row r="147" spans="1:9" x14ac:dyDescent="0.25">
      <c r="A147" s="6">
        <v>197</v>
      </c>
      <c r="B147" s="5" t="str">
        <f>VLOOKUP(A147, EmployeeMaster!$A:$D, 3, FALSE)</f>
        <v>Research &amp; Development</v>
      </c>
      <c r="C147" s="8">
        <v>3204</v>
      </c>
      <c r="D147" s="8">
        <f t="shared" si="12"/>
        <v>640.80000000000007</v>
      </c>
      <c r="E147" s="8">
        <f t="shared" si="13"/>
        <v>384.47999999999996</v>
      </c>
      <c r="F147" s="8">
        <f t="shared" si="14"/>
        <v>320.40000000000003</v>
      </c>
      <c r="G147" s="8">
        <f t="shared" si="15"/>
        <v>3844.8</v>
      </c>
      <c r="H147" s="8">
        <f t="shared" si="16"/>
        <v>704.88</v>
      </c>
      <c r="I147" s="10">
        <f t="shared" si="17"/>
        <v>3139.92</v>
      </c>
    </row>
    <row r="148" spans="1:9" x14ac:dyDescent="0.25">
      <c r="A148" s="6">
        <v>198</v>
      </c>
      <c r="B148" s="5" t="str">
        <f>VLOOKUP(A148, EmployeeMaster!$A:$D, 3, FALSE)</f>
        <v>Research &amp; Development</v>
      </c>
      <c r="C148" s="8">
        <v>2720</v>
      </c>
      <c r="D148" s="8">
        <f t="shared" si="12"/>
        <v>544</v>
      </c>
      <c r="E148" s="8">
        <f t="shared" si="13"/>
        <v>326.39999999999998</v>
      </c>
      <c r="F148" s="8">
        <f t="shared" si="14"/>
        <v>272</v>
      </c>
      <c r="G148" s="8">
        <f t="shared" si="15"/>
        <v>3264</v>
      </c>
      <c r="H148" s="8">
        <f t="shared" si="16"/>
        <v>598.4</v>
      </c>
      <c r="I148" s="10">
        <f t="shared" si="17"/>
        <v>2665.6</v>
      </c>
    </row>
    <row r="149" spans="1:9" x14ac:dyDescent="0.25">
      <c r="A149" s="6">
        <v>199</v>
      </c>
      <c r="B149" s="5" t="str">
        <f>VLOOKUP(A149, EmployeeMaster!$A:$D, 3, FALSE)</f>
        <v>Research &amp; Development</v>
      </c>
      <c r="C149" s="8">
        <v>17181</v>
      </c>
      <c r="D149" s="8">
        <f t="shared" si="12"/>
        <v>3436.2000000000003</v>
      </c>
      <c r="E149" s="8">
        <f t="shared" si="13"/>
        <v>2061.7199999999998</v>
      </c>
      <c r="F149" s="8">
        <f t="shared" si="14"/>
        <v>1718.1000000000001</v>
      </c>
      <c r="G149" s="8">
        <f t="shared" si="15"/>
        <v>20617.2</v>
      </c>
      <c r="H149" s="8">
        <f t="shared" si="16"/>
        <v>3779.8199999999997</v>
      </c>
      <c r="I149" s="10">
        <f t="shared" si="17"/>
        <v>16837.38</v>
      </c>
    </row>
    <row r="150" spans="1:9" x14ac:dyDescent="0.25">
      <c r="A150" s="6">
        <v>200</v>
      </c>
      <c r="B150" s="5" t="str">
        <f>VLOOKUP(A150, EmployeeMaster!$A:$D, 3, FALSE)</f>
        <v>Research &amp; Development</v>
      </c>
      <c r="C150" s="8">
        <v>2238</v>
      </c>
      <c r="D150" s="8">
        <f t="shared" si="12"/>
        <v>447.6</v>
      </c>
      <c r="E150" s="8">
        <f t="shared" si="13"/>
        <v>268.56</v>
      </c>
      <c r="F150" s="8">
        <f t="shared" si="14"/>
        <v>223.8</v>
      </c>
      <c r="G150" s="8">
        <f t="shared" si="15"/>
        <v>2685.6</v>
      </c>
      <c r="H150" s="8">
        <f t="shared" si="16"/>
        <v>492.36</v>
      </c>
      <c r="I150" s="10">
        <f t="shared" si="17"/>
        <v>2193.2399999999998</v>
      </c>
    </row>
    <row r="151" spans="1:9" x14ac:dyDescent="0.25">
      <c r="A151" s="6">
        <v>201</v>
      </c>
      <c r="B151" s="5" t="str">
        <f>VLOOKUP(A151, EmployeeMaster!$A:$D, 3, FALSE)</f>
        <v>Research &amp; Development</v>
      </c>
      <c r="C151" s="8">
        <v>1483</v>
      </c>
      <c r="D151" s="8">
        <f t="shared" si="12"/>
        <v>296.60000000000002</v>
      </c>
      <c r="E151" s="8">
        <f t="shared" si="13"/>
        <v>177.95999999999998</v>
      </c>
      <c r="F151" s="8">
        <f t="shared" si="14"/>
        <v>148.30000000000001</v>
      </c>
      <c r="G151" s="8">
        <f t="shared" si="15"/>
        <v>1779.6</v>
      </c>
      <c r="H151" s="8">
        <f t="shared" si="16"/>
        <v>326.26</v>
      </c>
      <c r="I151" s="10">
        <f t="shared" si="17"/>
        <v>1453.34</v>
      </c>
    </row>
    <row r="152" spans="1:9" x14ac:dyDescent="0.25">
      <c r="A152" s="6">
        <v>202</v>
      </c>
      <c r="B152" s="5" t="str">
        <f>VLOOKUP(A152, EmployeeMaster!$A:$D, 3, FALSE)</f>
        <v>Research &amp; Development</v>
      </c>
      <c r="C152" s="8">
        <v>5605</v>
      </c>
      <c r="D152" s="8">
        <f t="shared" si="12"/>
        <v>1121</v>
      </c>
      <c r="E152" s="8">
        <f t="shared" si="13"/>
        <v>672.6</v>
      </c>
      <c r="F152" s="8">
        <f t="shared" si="14"/>
        <v>560.5</v>
      </c>
      <c r="G152" s="8">
        <f t="shared" si="15"/>
        <v>6726</v>
      </c>
      <c r="H152" s="8">
        <f t="shared" si="16"/>
        <v>1233.0999999999999</v>
      </c>
      <c r="I152" s="10">
        <f t="shared" si="17"/>
        <v>5492.9</v>
      </c>
    </row>
    <row r="153" spans="1:9" x14ac:dyDescent="0.25">
      <c r="A153" s="6">
        <v>204</v>
      </c>
      <c r="B153" s="5" t="str">
        <f>VLOOKUP(A153, EmployeeMaster!$A:$D, 3, FALSE)</f>
        <v>Sales</v>
      </c>
      <c r="C153" s="8">
        <v>7295</v>
      </c>
      <c r="D153" s="8">
        <f t="shared" si="12"/>
        <v>1459</v>
      </c>
      <c r="E153" s="8">
        <f t="shared" si="13"/>
        <v>875.4</v>
      </c>
      <c r="F153" s="8">
        <f t="shared" si="14"/>
        <v>729.5</v>
      </c>
      <c r="G153" s="8">
        <f t="shared" si="15"/>
        <v>8754</v>
      </c>
      <c r="H153" s="8">
        <f t="shared" si="16"/>
        <v>1604.9</v>
      </c>
      <c r="I153" s="10">
        <f t="shared" si="17"/>
        <v>7149.1</v>
      </c>
    </row>
    <row r="154" spans="1:9" x14ac:dyDescent="0.25">
      <c r="A154" s="6">
        <v>205</v>
      </c>
      <c r="B154" s="5" t="str">
        <f>VLOOKUP(A154, EmployeeMaster!$A:$D, 3, FALSE)</f>
        <v>Sales</v>
      </c>
      <c r="C154" s="8">
        <v>2306</v>
      </c>
      <c r="D154" s="8">
        <f t="shared" si="12"/>
        <v>461.20000000000005</v>
      </c>
      <c r="E154" s="8">
        <f t="shared" si="13"/>
        <v>276.71999999999997</v>
      </c>
      <c r="F154" s="8">
        <f t="shared" si="14"/>
        <v>230.60000000000002</v>
      </c>
      <c r="G154" s="8">
        <f t="shared" si="15"/>
        <v>2767.2</v>
      </c>
      <c r="H154" s="8">
        <f t="shared" si="16"/>
        <v>507.32</v>
      </c>
      <c r="I154" s="10">
        <f t="shared" si="17"/>
        <v>2259.8799999999997</v>
      </c>
    </row>
    <row r="155" spans="1:9" x14ac:dyDescent="0.25">
      <c r="A155" s="6">
        <v>206</v>
      </c>
      <c r="B155" s="5" t="str">
        <f>VLOOKUP(A155, EmployeeMaster!$A:$D, 3, FALSE)</f>
        <v>Research &amp; Development</v>
      </c>
      <c r="C155" s="8">
        <v>2348</v>
      </c>
      <c r="D155" s="8">
        <f t="shared" si="12"/>
        <v>469.6</v>
      </c>
      <c r="E155" s="8">
        <f t="shared" si="13"/>
        <v>281.76</v>
      </c>
      <c r="F155" s="8">
        <f t="shared" si="14"/>
        <v>234.8</v>
      </c>
      <c r="G155" s="8">
        <f t="shared" si="15"/>
        <v>2817.6</v>
      </c>
      <c r="H155" s="8">
        <f t="shared" si="16"/>
        <v>516.55999999999995</v>
      </c>
      <c r="I155" s="10">
        <f t="shared" si="17"/>
        <v>2301.04</v>
      </c>
    </row>
    <row r="156" spans="1:9" x14ac:dyDescent="0.25">
      <c r="A156" s="6">
        <v>207</v>
      </c>
      <c r="B156" s="5" t="str">
        <f>VLOOKUP(A156, EmployeeMaster!$A:$D, 3, FALSE)</f>
        <v>Sales</v>
      </c>
      <c r="C156" s="8">
        <v>8998</v>
      </c>
      <c r="D156" s="8">
        <f t="shared" si="12"/>
        <v>1799.6000000000001</v>
      </c>
      <c r="E156" s="8">
        <f t="shared" si="13"/>
        <v>1079.76</v>
      </c>
      <c r="F156" s="8">
        <f t="shared" si="14"/>
        <v>899.80000000000007</v>
      </c>
      <c r="G156" s="8">
        <f t="shared" si="15"/>
        <v>10797.6</v>
      </c>
      <c r="H156" s="8">
        <f t="shared" si="16"/>
        <v>1979.56</v>
      </c>
      <c r="I156" s="10">
        <f t="shared" si="17"/>
        <v>8818.0400000000009</v>
      </c>
    </row>
    <row r="157" spans="1:9" x14ac:dyDescent="0.25">
      <c r="A157" s="6">
        <v>208</v>
      </c>
      <c r="B157" s="5" t="str">
        <f>VLOOKUP(A157, EmployeeMaster!$A:$D, 3, FALSE)</f>
        <v>Research &amp; Development</v>
      </c>
      <c r="C157" s="8">
        <v>4319</v>
      </c>
      <c r="D157" s="8">
        <f t="shared" si="12"/>
        <v>863.80000000000007</v>
      </c>
      <c r="E157" s="8">
        <f t="shared" si="13"/>
        <v>518.28</v>
      </c>
      <c r="F157" s="8">
        <f t="shared" si="14"/>
        <v>431.90000000000003</v>
      </c>
      <c r="G157" s="8">
        <f t="shared" si="15"/>
        <v>5182.8</v>
      </c>
      <c r="H157" s="8">
        <f t="shared" si="16"/>
        <v>950.18000000000006</v>
      </c>
      <c r="I157" s="10">
        <f t="shared" si="17"/>
        <v>4232.62</v>
      </c>
    </row>
    <row r="158" spans="1:9" x14ac:dyDescent="0.25">
      <c r="A158" s="6">
        <v>211</v>
      </c>
      <c r="B158" s="5" t="str">
        <f>VLOOKUP(A158, EmployeeMaster!$A:$D, 3, FALSE)</f>
        <v>Research &amp; Development</v>
      </c>
      <c r="C158" s="8">
        <v>6132</v>
      </c>
      <c r="D158" s="8">
        <f t="shared" si="12"/>
        <v>1226.4000000000001</v>
      </c>
      <c r="E158" s="8">
        <f t="shared" si="13"/>
        <v>735.83999999999992</v>
      </c>
      <c r="F158" s="8">
        <f t="shared" si="14"/>
        <v>613.20000000000005</v>
      </c>
      <c r="G158" s="8">
        <f t="shared" si="15"/>
        <v>7358.4</v>
      </c>
      <c r="H158" s="8">
        <f t="shared" si="16"/>
        <v>1349.04</v>
      </c>
      <c r="I158" s="10">
        <f t="shared" si="17"/>
        <v>6009.36</v>
      </c>
    </row>
    <row r="159" spans="1:9" x14ac:dyDescent="0.25">
      <c r="A159" s="6">
        <v>214</v>
      </c>
      <c r="B159" s="5" t="str">
        <f>VLOOKUP(A159, EmployeeMaster!$A:$D, 3, FALSE)</f>
        <v>Research &amp; Development</v>
      </c>
      <c r="C159" s="8">
        <v>3346</v>
      </c>
      <c r="D159" s="8">
        <f t="shared" si="12"/>
        <v>669.2</v>
      </c>
      <c r="E159" s="8">
        <f t="shared" si="13"/>
        <v>401.52</v>
      </c>
      <c r="F159" s="8">
        <f t="shared" si="14"/>
        <v>334.6</v>
      </c>
      <c r="G159" s="8">
        <f t="shared" si="15"/>
        <v>4015.2</v>
      </c>
      <c r="H159" s="8">
        <f t="shared" si="16"/>
        <v>736.12</v>
      </c>
      <c r="I159" s="10">
        <f t="shared" si="17"/>
        <v>3279.08</v>
      </c>
    </row>
    <row r="160" spans="1:9" x14ac:dyDescent="0.25">
      <c r="A160" s="6">
        <v>215</v>
      </c>
      <c r="B160" s="5" t="str">
        <f>VLOOKUP(A160, EmployeeMaster!$A:$D, 3, FALSE)</f>
        <v>Sales</v>
      </c>
      <c r="C160" s="8">
        <v>10855</v>
      </c>
      <c r="D160" s="8">
        <f t="shared" si="12"/>
        <v>2171</v>
      </c>
      <c r="E160" s="8">
        <f t="shared" si="13"/>
        <v>1302.5999999999999</v>
      </c>
      <c r="F160" s="8">
        <f t="shared" si="14"/>
        <v>1085.5</v>
      </c>
      <c r="G160" s="8">
        <f t="shared" si="15"/>
        <v>13026</v>
      </c>
      <c r="H160" s="8">
        <f t="shared" si="16"/>
        <v>2388.1</v>
      </c>
      <c r="I160" s="10">
        <f t="shared" si="17"/>
        <v>10637.9</v>
      </c>
    </row>
    <row r="161" spans="1:9" x14ac:dyDescent="0.25">
      <c r="A161" s="6">
        <v>216</v>
      </c>
      <c r="B161" s="5" t="str">
        <f>VLOOKUP(A161, EmployeeMaster!$A:$D, 3, FALSE)</f>
        <v>Sales</v>
      </c>
      <c r="C161" s="8">
        <v>2231</v>
      </c>
      <c r="D161" s="8">
        <f t="shared" si="12"/>
        <v>446.20000000000005</v>
      </c>
      <c r="E161" s="8">
        <f t="shared" si="13"/>
        <v>267.71999999999997</v>
      </c>
      <c r="F161" s="8">
        <f t="shared" si="14"/>
        <v>223.10000000000002</v>
      </c>
      <c r="G161" s="8">
        <f t="shared" si="15"/>
        <v>2677.2</v>
      </c>
      <c r="H161" s="8">
        <f t="shared" si="16"/>
        <v>490.82</v>
      </c>
      <c r="I161" s="10">
        <f t="shared" si="17"/>
        <v>2186.3799999999997</v>
      </c>
    </row>
    <row r="162" spans="1:9" x14ac:dyDescent="0.25">
      <c r="A162" s="6">
        <v>217</v>
      </c>
      <c r="B162" s="5" t="str">
        <f>VLOOKUP(A162, EmployeeMaster!$A:$D, 3, FALSE)</f>
        <v>Research &amp; Development</v>
      </c>
      <c r="C162" s="8">
        <v>2323</v>
      </c>
      <c r="D162" s="8">
        <f t="shared" si="12"/>
        <v>464.6</v>
      </c>
      <c r="E162" s="8">
        <f t="shared" si="13"/>
        <v>278.76</v>
      </c>
      <c r="F162" s="8">
        <f t="shared" si="14"/>
        <v>232.3</v>
      </c>
      <c r="G162" s="8">
        <f t="shared" si="15"/>
        <v>2787.6</v>
      </c>
      <c r="H162" s="8">
        <f t="shared" si="16"/>
        <v>511.06</v>
      </c>
      <c r="I162" s="10">
        <f t="shared" si="17"/>
        <v>2276.54</v>
      </c>
    </row>
    <row r="163" spans="1:9" x14ac:dyDescent="0.25">
      <c r="A163" s="6">
        <v>218</v>
      </c>
      <c r="B163" s="5" t="str">
        <f>VLOOKUP(A163, EmployeeMaster!$A:$D, 3, FALSE)</f>
        <v>Research &amp; Development</v>
      </c>
      <c r="C163" s="8">
        <v>2024</v>
      </c>
      <c r="D163" s="8">
        <f t="shared" si="12"/>
        <v>404.8</v>
      </c>
      <c r="E163" s="8">
        <f t="shared" si="13"/>
        <v>242.88</v>
      </c>
      <c r="F163" s="8">
        <f t="shared" si="14"/>
        <v>202.4</v>
      </c>
      <c r="G163" s="8">
        <f t="shared" si="15"/>
        <v>2428.8000000000002</v>
      </c>
      <c r="H163" s="8">
        <f t="shared" si="16"/>
        <v>445.28</v>
      </c>
      <c r="I163" s="10">
        <f t="shared" si="17"/>
        <v>1983.5200000000002</v>
      </c>
    </row>
    <row r="164" spans="1:9" x14ac:dyDescent="0.25">
      <c r="A164" s="6">
        <v>221</v>
      </c>
      <c r="B164" s="5" t="str">
        <f>VLOOKUP(A164, EmployeeMaster!$A:$D, 3, FALSE)</f>
        <v>Research &amp; Development</v>
      </c>
      <c r="C164" s="8">
        <v>2713</v>
      </c>
      <c r="D164" s="8">
        <f t="shared" si="12"/>
        <v>542.6</v>
      </c>
      <c r="E164" s="8">
        <f t="shared" si="13"/>
        <v>325.56</v>
      </c>
      <c r="F164" s="8">
        <f t="shared" si="14"/>
        <v>271.3</v>
      </c>
      <c r="G164" s="8">
        <f t="shared" si="15"/>
        <v>3255.6</v>
      </c>
      <c r="H164" s="8">
        <f t="shared" si="16"/>
        <v>596.86</v>
      </c>
      <c r="I164" s="10">
        <f t="shared" si="17"/>
        <v>2658.74</v>
      </c>
    </row>
    <row r="165" spans="1:9" x14ac:dyDescent="0.25">
      <c r="A165" s="6">
        <v>223</v>
      </c>
      <c r="B165" s="5" t="str">
        <f>VLOOKUP(A165, EmployeeMaster!$A:$D, 3, FALSE)</f>
        <v>Research &amp; Development</v>
      </c>
      <c r="C165" s="8">
        <v>9439</v>
      </c>
      <c r="D165" s="8">
        <f t="shared" si="12"/>
        <v>1887.8000000000002</v>
      </c>
      <c r="E165" s="8">
        <f t="shared" si="13"/>
        <v>1132.68</v>
      </c>
      <c r="F165" s="8">
        <f t="shared" si="14"/>
        <v>943.90000000000009</v>
      </c>
      <c r="G165" s="8">
        <f t="shared" si="15"/>
        <v>11326.8</v>
      </c>
      <c r="H165" s="8">
        <f t="shared" si="16"/>
        <v>2076.58</v>
      </c>
      <c r="I165" s="10">
        <f t="shared" si="17"/>
        <v>9250.2199999999993</v>
      </c>
    </row>
    <row r="166" spans="1:9" x14ac:dyDescent="0.25">
      <c r="A166" s="6">
        <v>224</v>
      </c>
      <c r="B166" s="5" t="str">
        <f>VLOOKUP(A166, EmployeeMaster!$A:$D, 3, FALSE)</f>
        <v>Research &amp; Development</v>
      </c>
      <c r="C166" s="8">
        <v>2566</v>
      </c>
      <c r="D166" s="8">
        <f t="shared" si="12"/>
        <v>513.20000000000005</v>
      </c>
      <c r="E166" s="8">
        <f t="shared" si="13"/>
        <v>307.92</v>
      </c>
      <c r="F166" s="8">
        <f t="shared" si="14"/>
        <v>256.60000000000002</v>
      </c>
      <c r="G166" s="8">
        <f t="shared" si="15"/>
        <v>3079.2</v>
      </c>
      <c r="H166" s="8">
        <f t="shared" si="16"/>
        <v>564.52</v>
      </c>
      <c r="I166" s="10">
        <f t="shared" si="17"/>
        <v>2514.6799999999998</v>
      </c>
    </row>
    <row r="167" spans="1:9" x14ac:dyDescent="0.25">
      <c r="A167" s="6">
        <v>226</v>
      </c>
      <c r="B167" s="5" t="str">
        <f>VLOOKUP(A167, EmployeeMaster!$A:$D, 3, FALSE)</f>
        <v>Research &amp; Development</v>
      </c>
      <c r="C167" s="8">
        <v>19926</v>
      </c>
      <c r="D167" s="8">
        <f t="shared" si="12"/>
        <v>3985.2000000000003</v>
      </c>
      <c r="E167" s="8">
        <f t="shared" si="13"/>
        <v>2391.12</v>
      </c>
      <c r="F167" s="8">
        <f t="shared" si="14"/>
        <v>1992.6000000000001</v>
      </c>
      <c r="G167" s="8">
        <f t="shared" si="15"/>
        <v>23911.200000000001</v>
      </c>
      <c r="H167" s="8">
        <f t="shared" si="16"/>
        <v>4383.72</v>
      </c>
      <c r="I167" s="10">
        <f t="shared" si="17"/>
        <v>19527.48</v>
      </c>
    </row>
    <row r="168" spans="1:9" x14ac:dyDescent="0.25">
      <c r="A168" s="6">
        <v>227</v>
      </c>
      <c r="B168" s="5" t="str">
        <f>VLOOKUP(A168, EmployeeMaster!$A:$D, 3, FALSE)</f>
        <v>Research &amp; Development</v>
      </c>
      <c r="C168" s="8">
        <v>2451</v>
      </c>
      <c r="D168" s="8">
        <f t="shared" si="12"/>
        <v>490.20000000000005</v>
      </c>
      <c r="E168" s="8">
        <f t="shared" si="13"/>
        <v>294.12</v>
      </c>
      <c r="F168" s="8">
        <f t="shared" si="14"/>
        <v>245.10000000000002</v>
      </c>
      <c r="G168" s="8">
        <f t="shared" si="15"/>
        <v>2941.2</v>
      </c>
      <c r="H168" s="8">
        <f t="shared" si="16"/>
        <v>539.22</v>
      </c>
      <c r="I168" s="10">
        <f t="shared" si="17"/>
        <v>2401.9799999999996</v>
      </c>
    </row>
    <row r="169" spans="1:9" x14ac:dyDescent="0.25">
      <c r="A169" s="6">
        <v>228</v>
      </c>
      <c r="B169" s="5" t="str">
        <f>VLOOKUP(A169, EmployeeMaster!$A:$D, 3, FALSE)</f>
        <v>Sales</v>
      </c>
      <c r="C169" s="8">
        <v>9419</v>
      </c>
      <c r="D169" s="8">
        <f t="shared" si="12"/>
        <v>1883.8000000000002</v>
      </c>
      <c r="E169" s="8">
        <f t="shared" si="13"/>
        <v>1130.28</v>
      </c>
      <c r="F169" s="8">
        <f t="shared" si="14"/>
        <v>941.90000000000009</v>
      </c>
      <c r="G169" s="8">
        <f t="shared" si="15"/>
        <v>11302.8</v>
      </c>
      <c r="H169" s="8">
        <f t="shared" si="16"/>
        <v>2072.1800000000003</v>
      </c>
      <c r="I169" s="10">
        <f t="shared" si="17"/>
        <v>9230.619999999999</v>
      </c>
    </row>
    <row r="170" spans="1:9" x14ac:dyDescent="0.25">
      <c r="A170" s="6">
        <v>230</v>
      </c>
      <c r="B170" s="5" t="str">
        <f>VLOOKUP(A170, EmployeeMaster!$A:$D, 3, FALSE)</f>
        <v>Sales</v>
      </c>
      <c r="C170" s="8">
        <v>8686</v>
      </c>
      <c r="D170" s="8">
        <f t="shared" si="12"/>
        <v>1737.2</v>
      </c>
      <c r="E170" s="8">
        <f t="shared" si="13"/>
        <v>1042.32</v>
      </c>
      <c r="F170" s="8">
        <f t="shared" si="14"/>
        <v>868.6</v>
      </c>
      <c r="G170" s="8">
        <f t="shared" si="15"/>
        <v>10423.200000000001</v>
      </c>
      <c r="H170" s="8">
        <f t="shared" si="16"/>
        <v>1910.92</v>
      </c>
      <c r="I170" s="10">
        <f t="shared" si="17"/>
        <v>8512.2800000000007</v>
      </c>
    </row>
    <row r="171" spans="1:9" x14ac:dyDescent="0.25">
      <c r="A171" s="6">
        <v>231</v>
      </c>
      <c r="B171" s="5" t="str">
        <f>VLOOKUP(A171, EmployeeMaster!$A:$D, 3, FALSE)</f>
        <v>Research &amp; Development</v>
      </c>
      <c r="C171" s="8">
        <v>3038</v>
      </c>
      <c r="D171" s="8">
        <f t="shared" si="12"/>
        <v>607.6</v>
      </c>
      <c r="E171" s="8">
        <f t="shared" si="13"/>
        <v>364.56</v>
      </c>
      <c r="F171" s="8">
        <f t="shared" si="14"/>
        <v>303.8</v>
      </c>
      <c r="G171" s="8">
        <f t="shared" si="15"/>
        <v>3645.6</v>
      </c>
      <c r="H171" s="8">
        <f t="shared" si="16"/>
        <v>668.36</v>
      </c>
      <c r="I171" s="10">
        <f t="shared" si="17"/>
        <v>2977.24</v>
      </c>
    </row>
    <row r="172" spans="1:9" x14ac:dyDescent="0.25">
      <c r="A172" s="6">
        <v>233</v>
      </c>
      <c r="B172" s="5" t="str">
        <f>VLOOKUP(A172, EmployeeMaster!$A:$D, 3, FALSE)</f>
        <v>Research &amp; Development</v>
      </c>
      <c r="C172" s="8">
        <v>3058</v>
      </c>
      <c r="D172" s="8">
        <f t="shared" si="12"/>
        <v>611.6</v>
      </c>
      <c r="E172" s="8">
        <f t="shared" si="13"/>
        <v>366.96</v>
      </c>
      <c r="F172" s="8">
        <f t="shared" si="14"/>
        <v>305.8</v>
      </c>
      <c r="G172" s="8">
        <f t="shared" si="15"/>
        <v>3669.6</v>
      </c>
      <c r="H172" s="8">
        <f t="shared" si="16"/>
        <v>672.76</v>
      </c>
      <c r="I172" s="10">
        <f t="shared" si="17"/>
        <v>2996.84</v>
      </c>
    </row>
    <row r="173" spans="1:9" x14ac:dyDescent="0.25">
      <c r="A173" s="6">
        <v>235</v>
      </c>
      <c r="B173" s="5" t="str">
        <f>VLOOKUP(A173, EmployeeMaster!$A:$D, 3, FALSE)</f>
        <v>Sales</v>
      </c>
      <c r="C173" s="8">
        <v>2325</v>
      </c>
      <c r="D173" s="8">
        <f t="shared" si="12"/>
        <v>465</v>
      </c>
      <c r="E173" s="8">
        <f t="shared" si="13"/>
        <v>279</v>
      </c>
      <c r="F173" s="8">
        <f t="shared" si="14"/>
        <v>232.5</v>
      </c>
      <c r="G173" s="8">
        <f t="shared" si="15"/>
        <v>2790</v>
      </c>
      <c r="H173" s="8">
        <f t="shared" si="16"/>
        <v>511.5</v>
      </c>
      <c r="I173" s="10">
        <f t="shared" si="17"/>
        <v>2278.5</v>
      </c>
    </row>
    <row r="174" spans="1:9" x14ac:dyDescent="0.25">
      <c r="A174" s="6">
        <v>238</v>
      </c>
      <c r="B174" s="5" t="str">
        <f>VLOOKUP(A174, EmployeeMaster!$A:$D, 3, FALSE)</f>
        <v>Research &amp; Development</v>
      </c>
      <c r="C174" s="8">
        <v>2088</v>
      </c>
      <c r="D174" s="8">
        <f t="shared" si="12"/>
        <v>417.6</v>
      </c>
      <c r="E174" s="8">
        <f t="shared" si="13"/>
        <v>250.56</v>
      </c>
      <c r="F174" s="8">
        <f t="shared" si="14"/>
        <v>208.8</v>
      </c>
      <c r="G174" s="8">
        <f t="shared" si="15"/>
        <v>2505.6</v>
      </c>
      <c r="H174" s="8">
        <f t="shared" si="16"/>
        <v>459.36</v>
      </c>
      <c r="I174" s="10">
        <f t="shared" si="17"/>
        <v>2046.2399999999998</v>
      </c>
    </row>
    <row r="175" spans="1:9" x14ac:dyDescent="0.25">
      <c r="A175" s="6">
        <v>239</v>
      </c>
      <c r="B175" s="5" t="str">
        <f>VLOOKUP(A175, EmployeeMaster!$A:$D, 3, FALSE)</f>
        <v>Research &amp; Development</v>
      </c>
      <c r="C175" s="8">
        <v>3072</v>
      </c>
      <c r="D175" s="8">
        <f t="shared" si="12"/>
        <v>614.40000000000009</v>
      </c>
      <c r="E175" s="8">
        <f t="shared" si="13"/>
        <v>368.64</v>
      </c>
      <c r="F175" s="8">
        <f t="shared" si="14"/>
        <v>307.20000000000005</v>
      </c>
      <c r="G175" s="8">
        <f t="shared" si="15"/>
        <v>3686.4</v>
      </c>
      <c r="H175" s="8">
        <f t="shared" si="16"/>
        <v>675.84</v>
      </c>
      <c r="I175" s="10">
        <f t="shared" si="17"/>
        <v>3010.56</v>
      </c>
    </row>
    <row r="176" spans="1:9" x14ac:dyDescent="0.25">
      <c r="A176" s="6">
        <v>240</v>
      </c>
      <c r="B176" s="5" t="str">
        <f>VLOOKUP(A176, EmployeeMaster!$A:$D, 3, FALSE)</f>
        <v>Sales</v>
      </c>
      <c r="C176" s="8">
        <v>5006</v>
      </c>
      <c r="D176" s="8">
        <f t="shared" si="12"/>
        <v>1001.2</v>
      </c>
      <c r="E176" s="8">
        <f t="shared" si="13"/>
        <v>600.72</v>
      </c>
      <c r="F176" s="8">
        <f t="shared" si="14"/>
        <v>500.6</v>
      </c>
      <c r="G176" s="8">
        <f t="shared" si="15"/>
        <v>6007.2</v>
      </c>
      <c r="H176" s="8">
        <f t="shared" si="16"/>
        <v>1101.3200000000002</v>
      </c>
      <c r="I176" s="10">
        <f t="shared" si="17"/>
        <v>4905.8799999999992</v>
      </c>
    </row>
    <row r="177" spans="1:9" x14ac:dyDescent="0.25">
      <c r="A177" s="6">
        <v>241</v>
      </c>
      <c r="B177" s="5" t="str">
        <f>VLOOKUP(A177, EmployeeMaster!$A:$D, 3, FALSE)</f>
        <v>Research &amp; Development</v>
      </c>
      <c r="C177" s="8">
        <v>4257</v>
      </c>
      <c r="D177" s="8">
        <f t="shared" si="12"/>
        <v>851.40000000000009</v>
      </c>
      <c r="E177" s="8">
        <f t="shared" si="13"/>
        <v>510.84</v>
      </c>
      <c r="F177" s="8">
        <f t="shared" si="14"/>
        <v>425.70000000000005</v>
      </c>
      <c r="G177" s="8">
        <f t="shared" si="15"/>
        <v>5108.3999999999996</v>
      </c>
      <c r="H177" s="8">
        <f t="shared" si="16"/>
        <v>936.54</v>
      </c>
      <c r="I177" s="10">
        <f t="shared" si="17"/>
        <v>4171.8599999999997</v>
      </c>
    </row>
    <row r="178" spans="1:9" x14ac:dyDescent="0.25">
      <c r="A178" s="6">
        <v>242</v>
      </c>
      <c r="B178" s="5" t="str">
        <f>VLOOKUP(A178, EmployeeMaster!$A:$D, 3, FALSE)</f>
        <v>Research &amp; Development</v>
      </c>
      <c r="C178" s="8">
        <v>2500</v>
      </c>
      <c r="D178" s="8">
        <f t="shared" si="12"/>
        <v>500</v>
      </c>
      <c r="E178" s="8">
        <f t="shared" si="13"/>
        <v>300</v>
      </c>
      <c r="F178" s="8">
        <f t="shared" si="14"/>
        <v>250</v>
      </c>
      <c r="G178" s="8">
        <f t="shared" si="15"/>
        <v>3000</v>
      </c>
      <c r="H178" s="8">
        <f t="shared" si="16"/>
        <v>550</v>
      </c>
      <c r="I178" s="10">
        <f t="shared" si="17"/>
        <v>2450</v>
      </c>
    </row>
    <row r="179" spans="1:9" x14ac:dyDescent="0.25">
      <c r="A179" s="6">
        <v>243</v>
      </c>
      <c r="B179" s="5" t="str">
        <f>VLOOKUP(A179, EmployeeMaster!$A:$D, 3, FALSE)</f>
        <v>Research &amp; Development</v>
      </c>
      <c r="C179" s="8">
        <v>1102</v>
      </c>
      <c r="D179" s="8">
        <f t="shared" si="12"/>
        <v>220.4</v>
      </c>
      <c r="E179" s="8">
        <f t="shared" si="13"/>
        <v>132.24</v>
      </c>
      <c r="F179" s="8">
        <f t="shared" si="14"/>
        <v>110.2</v>
      </c>
      <c r="G179" s="8">
        <f t="shared" si="15"/>
        <v>1322.4</v>
      </c>
      <c r="H179" s="8">
        <f t="shared" si="16"/>
        <v>242.44</v>
      </c>
      <c r="I179" s="10">
        <f t="shared" si="17"/>
        <v>1079.96</v>
      </c>
    </row>
    <row r="180" spans="1:9" x14ac:dyDescent="0.25">
      <c r="A180" s="6">
        <v>244</v>
      </c>
      <c r="B180" s="5" t="str">
        <f>VLOOKUP(A180, EmployeeMaster!$A:$D, 3, FALSE)</f>
        <v>Sales</v>
      </c>
      <c r="C180" s="8">
        <v>10453</v>
      </c>
      <c r="D180" s="8">
        <f t="shared" si="12"/>
        <v>2090.6</v>
      </c>
      <c r="E180" s="8">
        <f t="shared" si="13"/>
        <v>1254.3599999999999</v>
      </c>
      <c r="F180" s="8">
        <f t="shared" si="14"/>
        <v>1045.3</v>
      </c>
      <c r="G180" s="8">
        <f t="shared" si="15"/>
        <v>12543.6</v>
      </c>
      <c r="H180" s="8">
        <f t="shared" si="16"/>
        <v>2299.66</v>
      </c>
      <c r="I180" s="10">
        <f t="shared" si="17"/>
        <v>10243.94</v>
      </c>
    </row>
    <row r="181" spans="1:9" x14ac:dyDescent="0.25">
      <c r="A181" s="6">
        <v>245</v>
      </c>
      <c r="B181" s="5" t="str">
        <f>VLOOKUP(A181, EmployeeMaster!$A:$D, 3, FALSE)</f>
        <v>Research &amp; Development</v>
      </c>
      <c r="C181" s="8">
        <v>2288</v>
      </c>
      <c r="D181" s="8">
        <f t="shared" si="12"/>
        <v>457.6</v>
      </c>
      <c r="E181" s="8">
        <f t="shared" si="13"/>
        <v>274.56</v>
      </c>
      <c r="F181" s="8">
        <f t="shared" si="14"/>
        <v>228.8</v>
      </c>
      <c r="G181" s="8">
        <f t="shared" si="15"/>
        <v>2745.6</v>
      </c>
      <c r="H181" s="8">
        <f t="shared" si="16"/>
        <v>503.36</v>
      </c>
      <c r="I181" s="10">
        <f t="shared" si="17"/>
        <v>2242.2399999999998</v>
      </c>
    </row>
    <row r="182" spans="1:9" x14ac:dyDescent="0.25">
      <c r="A182" s="6">
        <v>246</v>
      </c>
      <c r="B182" s="5" t="str">
        <f>VLOOKUP(A182, EmployeeMaster!$A:$D, 3, FALSE)</f>
        <v>Research &amp; Development</v>
      </c>
      <c r="C182" s="8">
        <v>3929</v>
      </c>
      <c r="D182" s="8">
        <f t="shared" si="12"/>
        <v>785.80000000000007</v>
      </c>
      <c r="E182" s="8">
        <f t="shared" si="13"/>
        <v>471.47999999999996</v>
      </c>
      <c r="F182" s="8">
        <f t="shared" si="14"/>
        <v>392.90000000000003</v>
      </c>
      <c r="G182" s="8">
        <f t="shared" si="15"/>
        <v>4714.8</v>
      </c>
      <c r="H182" s="8">
        <f t="shared" si="16"/>
        <v>864.38</v>
      </c>
      <c r="I182" s="10">
        <f t="shared" si="17"/>
        <v>3850.42</v>
      </c>
    </row>
    <row r="183" spans="1:9" x14ac:dyDescent="0.25">
      <c r="A183" s="6">
        <v>247</v>
      </c>
      <c r="B183" s="5" t="str">
        <f>VLOOKUP(A183, EmployeeMaster!$A:$D, 3, FALSE)</f>
        <v>Research &amp; Development</v>
      </c>
      <c r="C183" s="8">
        <v>2311</v>
      </c>
      <c r="D183" s="8">
        <f t="shared" si="12"/>
        <v>462.20000000000005</v>
      </c>
      <c r="E183" s="8">
        <f t="shared" si="13"/>
        <v>277.32</v>
      </c>
      <c r="F183" s="8">
        <f t="shared" si="14"/>
        <v>231.10000000000002</v>
      </c>
      <c r="G183" s="8">
        <f t="shared" si="15"/>
        <v>2773.2</v>
      </c>
      <c r="H183" s="8">
        <f t="shared" si="16"/>
        <v>508.42</v>
      </c>
      <c r="I183" s="10">
        <f t="shared" si="17"/>
        <v>2264.7799999999997</v>
      </c>
    </row>
    <row r="184" spans="1:9" x14ac:dyDescent="0.25">
      <c r="A184" s="6">
        <v>248</v>
      </c>
      <c r="B184" s="5" t="str">
        <f>VLOOKUP(A184, EmployeeMaster!$A:$D, 3, FALSE)</f>
        <v>Sales</v>
      </c>
      <c r="C184" s="8">
        <v>3140</v>
      </c>
      <c r="D184" s="8">
        <f t="shared" si="12"/>
        <v>628</v>
      </c>
      <c r="E184" s="8">
        <f t="shared" si="13"/>
        <v>376.8</v>
      </c>
      <c r="F184" s="8">
        <f t="shared" si="14"/>
        <v>314</v>
      </c>
      <c r="G184" s="8">
        <f t="shared" si="15"/>
        <v>3768</v>
      </c>
      <c r="H184" s="8">
        <f t="shared" si="16"/>
        <v>690.8</v>
      </c>
      <c r="I184" s="10">
        <f t="shared" si="17"/>
        <v>3077.2</v>
      </c>
    </row>
    <row r="185" spans="1:9" x14ac:dyDescent="0.25">
      <c r="A185" s="6">
        <v>249</v>
      </c>
      <c r="B185" s="5" t="str">
        <f>VLOOKUP(A185, EmployeeMaster!$A:$D, 3, FALSE)</f>
        <v>Research &amp; Development</v>
      </c>
      <c r="C185" s="8">
        <v>3690</v>
      </c>
      <c r="D185" s="8">
        <f t="shared" si="12"/>
        <v>738</v>
      </c>
      <c r="E185" s="8">
        <f t="shared" si="13"/>
        <v>442.8</v>
      </c>
      <c r="F185" s="8">
        <f t="shared" si="14"/>
        <v>369</v>
      </c>
      <c r="G185" s="8">
        <f t="shared" si="15"/>
        <v>4428</v>
      </c>
      <c r="H185" s="8">
        <f t="shared" si="16"/>
        <v>811.8</v>
      </c>
      <c r="I185" s="10">
        <f t="shared" si="17"/>
        <v>3616.2</v>
      </c>
    </row>
    <row r="186" spans="1:9" x14ac:dyDescent="0.25">
      <c r="A186" s="6">
        <v>250</v>
      </c>
      <c r="B186" s="5" t="str">
        <f>VLOOKUP(A186, EmployeeMaster!$A:$D, 3, FALSE)</f>
        <v>Research &amp; Development</v>
      </c>
      <c r="C186" s="8">
        <v>4450</v>
      </c>
      <c r="D186" s="8">
        <f t="shared" si="12"/>
        <v>890</v>
      </c>
      <c r="E186" s="8">
        <f t="shared" si="13"/>
        <v>534</v>
      </c>
      <c r="F186" s="8">
        <f t="shared" si="14"/>
        <v>445</v>
      </c>
      <c r="G186" s="8">
        <f t="shared" si="15"/>
        <v>5340</v>
      </c>
      <c r="H186" s="8">
        <f t="shared" si="16"/>
        <v>979</v>
      </c>
      <c r="I186" s="10">
        <f t="shared" si="17"/>
        <v>4361</v>
      </c>
    </row>
    <row r="187" spans="1:9" x14ac:dyDescent="0.25">
      <c r="A187" s="6">
        <v>252</v>
      </c>
      <c r="B187" s="5" t="str">
        <f>VLOOKUP(A187, EmployeeMaster!$A:$D, 3, FALSE)</f>
        <v>Research &amp; Development</v>
      </c>
      <c r="C187" s="8">
        <v>2756</v>
      </c>
      <c r="D187" s="8">
        <f t="shared" si="12"/>
        <v>551.20000000000005</v>
      </c>
      <c r="E187" s="8">
        <f t="shared" si="13"/>
        <v>330.71999999999997</v>
      </c>
      <c r="F187" s="8">
        <f t="shared" si="14"/>
        <v>275.60000000000002</v>
      </c>
      <c r="G187" s="8">
        <f t="shared" si="15"/>
        <v>3307.2</v>
      </c>
      <c r="H187" s="8">
        <f t="shared" si="16"/>
        <v>606.31999999999994</v>
      </c>
      <c r="I187" s="10">
        <f t="shared" si="17"/>
        <v>2700.88</v>
      </c>
    </row>
    <row r="188" spans="1:9" x14ac:dyDescent="0.25">
      <c r="A188" s="6">
        <v>253</v>
      </c>
      <c r="B188" s="5" t="str">
        <f>VLOOKUP(A188, EmployeeMaster!$A:$D, 3, FALSE)</f>
        <v>Research &amp; Development</v>
      </c>
      <c r="C188" s="8">
        <v>19033</v>
      </c>
      <c r="D188" s="8">
        <f t="shared" si="12"/>
        <v>3806.6000000000004</v>
      </c>
      <c r="E188" s="8">
        <f t="shared" si="13"/>
        <v>2283.96</v>
      </c>
      <c r="F188" s="8">
        <f t="shared" si="14"/>
        <v>1903.3000000000002</v>
      </c>
      <c r="G188" s="8">
        <f t="shared" si="15"/>
        <v>22839.599999999999</v>
      </c>
      <c r="H188" s="8">
        <f t="shared" si="16"/>
        <v>4187.26</v>
      </c>
      <c r="I188" s="10">
        <f t="shared" si="17"/>
        <v>18652.339999999997</v>
      </c>
    </row>
    <row r="189" spans="1:9" x14ac:dyDescent="0.25">
      <c r="A189" s="6">
        <v>254</v>
      </c>
      <c r="B189" s="5" t="str">
        <f>VLOOKUP(A189, EmployeeMaster!$A:$D, 3, FALSE)</f>
        <v>Research &amp; Development</v>
      </c>
      <c r="C189" s="8">
        <v>18722</v>
      </c>
      <c r="D189" s="8">
        <f t="shared" si="12"/>
        <v>3744.4</v>
      </c>
      <c r="E189" s="8">
        <f t="shared" si="13"/>
        <v>2246.64</v>
      </c>
      <c r="F189" s="8">
        <f t="shared" si="14"/>
        <v>1872.2</v>
      </c>
      <c r="G189" s="8">
        <f t="shared" si="15"/>
        <v>22466.400000000001</v>
      </c>
      <c r="H189" s="8">
        <f t="shared" si="16"/>
        <v>4118.84</v>
      </c>
      <c r="I189" s="10">
        <f t="shared" si="17"/>
        <v>18347.560000000001</v>
      </c>
    </row>
    <row r="190" spans="1:9" x14ac:dyDescent="0.25">
      <c r="A190" s="6">
        <v>256</v>
      </c>
      <c r="B190" s="5" t="str">
        <f>VLOOKUP(A190, EmployeeMaster!$A:$D, 3, FALSE)</f>
        <v>Research &amp; Development</v>
      </c>
      <c r="C190" s="8">
        <v>9547</v>
      </c>
      <c r="D190" s="8">
        <f t="shared" si="12"/>
        <v>1909.4</v>
      </c>
      <c r="E190" s="8">
        <f t="shared" si="13"/>
        <v>1145.6399999999999</v>
      </c>
      <c r="F190" s="8">
        <f t="shared" si="14"/>
        <v>954.7</v>
      </c>
      <c r="G190" s="8">
        <f t="shared" si="15"/>
        <v>11456.4</v>
      </c>
      <c r="H190" s="8">
        <f t="shared" si="16"/>
        <v>2100.34</v>
      </c>
      <c r="I190" s="10">
        <f t="shared" si="17"/>
        <v>9356.06</v>
      </c>
    </row>
    <row r="191" spans="1:9" x14ac:dyDescent="0.25">
      <c r="A191" s="6">
        <v>258</v>
      </c>
      <c r="B191" s="5" t="str">
        <f>VLOOKUP(A191, EmployeeMaster!$A:$D, 3, FALSE)</f>
        <v>Research &amp; Development</v>
      </c>
      <c r="C191" s="8">
        <v>13734</v>
      </c>
      <c r="D191" s="8">
        <f t="shared" si="12"/>
        <v>2746.8</v>
      </c>
      <c r="E191" s="8">
        <f t="shared" si="13"/>
        <v>1648.08</v>
      </c>
      <c r="F191" s="8">
        <f t="shared" si="14"/>
        <v>1373.4</v>
      </c>
      <c r="G191" s="8">
        <f t="shared" si="15"/>
        <v>16480.8</v>
      </c>
      <c r="H191" s="8">
        <f t="shared" si="16"/>
        <v>3021.48</v>
      </c>
      <c r="I191" s="10">
        <f t="shared" si="17"/>
        <v>13459.32</v>
      </c>
    </row>
    <row r="192" spans="1:9" x14ac:dyDescent="0.25">
      <c r="A192" s="6">
        <v>259</v>
      </c>
      <c r="B192" s="5" t="str">
        <f>VLOOKUP(A192, EmployeeMaster!$A:$D, 3, FALSE)</f>
        <v>Research &amp; Development</v>
      </c>
      <c r="C192" s="8">
        <v>19999</v>
      </c>
      <c r="D192" s="8">
        <f t="shared" si="12"/>
        <v>3999.8</v>
      </c>
      <c r="E192" s="8">
        <f t="shared" si="13"/>
        <v>2399.88</v>
      </c>
      <c r="F192" s="8">
        <f t="shared" si="14"/>
        <v>1999.9</v>
      </c>
      <c r="G192" s="8">
        <f t="shared" si="15"/>
        <v>23998.799999999999</v>
      </c>
      <c r="H192" s="8">
        <f t="shared" si="16"/>
        <v>4399.7800000000007</v>
      </c>
      <c r="I192" s="10">
        <f t="shared" si="17"/>
        <v>19599.019999999997</v>
      </c>
    </row>
    <row r="193" spans="1:9" x14ac:dyDescent="0.25">
      <c r="A193" s="6">
        <v>260</v>
      </c>
      <c r="B193" s="5" t="str">
        <f>VLOOKUP(A193, EmployeeMaster!$A:$D, 3, FALSE)</f>
        <v>Research &amp; Development</v>
      </c>
      <c r="C193" s="8">
        <v>2279</v>
      </c>
      <c r="D193" s="8">
        <f t="shared" si="12"/>
        <v>455.8</v>
      </c>
      <c r="E193" s="8">
        <f t="shared" si="13"/>
        <v>273.48</v>
      </c>
      <c r="F193" s="8">
        <f t="shared" si="14"/>
        <v>227.9</v>
      </c>
      <c r="G193" s="8">
        <f t="shared" si="15"/>
        <v>2734.8</v>
      </c>
      <c r="H193" s="8">
        <f t="shared" si="16"/>
        <v>501.38</v>
      </c>
      <c r="I193" s="10">
        <f t="shared" si="17"/>
        <v>2233.42</v>
      </c>
    </row>
    <row r="194" spans="1:9" x14ac:dyDescent="0.25">
      <c r="A194" s="6">
        <v>261</v>
      </c>
      <c r="B194" s="5" t="str">
        <f>VLOOKUP(A194, EmployeeMaster!$A:$D, 3, FALSE)</f>
        <v>Research &amp; Development</v>
      </c>
      <c r="C194" s="8">
        <v>5916</v>
      </c>
      <c r="D194" s="8">
        <f t="shared" si="12"/>
        <v>1183.2</v>
      </c>
      <c r="E194" s="8">
        <f t="shared" si="13"/>
        <v>709.92</v>
      </c>
      <c r="F194" s="8">
        <f t="shared" si="14"/>
        <v>591.6</v>
      </c>
      <c r="G194" s="8">
        <f t="shared" si="15"/>
        <v>7099.2</v>
      </c>
      <c r="H194" s="8">
        <f t="shared" si="16"/>
        <v>1301.52</v>
      </c>
      <c r="I194" s="10">
        <f t="shared" si="17"/>
        <v>5797.68</v>
      </c>
    </row>
    <row r="195" spans="1:9" x14ac:dyDescent="0.25">
      <c r="A195" s="6">
        <v>262</v>
      </c>
      <c r="B195" s="5" t="str">
        <f>VLOOKUP(A195, EmployeeMaster!$A:$D, 3, FALSE)</f>
        <v>Research &amp; Development</v>
      </c>
      <c r="C195" s="8">
        <v>2089</v>
      </c>
      <c r="D195" s="8">
        <f t="shared" ref="D195:D258" si="18">C195*20%</f>
        <v>417.8</v>
      </c>
      <c r="E195" s="8">
        <f t="shared" ref="E195:E258" si="19">C195*12%</f>
        <v>250.67999999999998</v>
      </c>
      <c r="F195" s="8">
        <f t="shared" ref="F195:F258" si="20">C195*10%</f>
        <v>208.9</v>
      </c>
      <c r="G195" s="8">
        <f t="shared" ref="G195:G258" si="21">C195+D195</f>
        <v>2506.8000000000002</v>
      </c>
      <c r="H195" s="8">
        <f t="shared" ref="H195:H258" si="22">E195+F195</f>
        <v>459.58</v>
      </c>
      <c r="I195" s="10">
        <f t="shared" ref="I195:I258" si="23">G195-H195</f>
        <v>2047.2200000000003</v>
      </c>
    </row>
    <row r="196" spans="1:9" x14ac:dyDescent="0.25">
      <c r="A196" s="6">
        <v>264</v>
      </c>
      <c r="B196" s="5" t="str">
        <f>VLOOKUP(A196, EmployeeMaster!$A:$D, 3, FALSE)</f>
        <v>Research &amp; Development</v>
      </c>
      <c r="C196" s="8">
        <v>16792</v>
      </c>
      <c r="D196" s="8">
        <f t="shared" si="18"/>
        <v>3358.4</v>
      </c>
      <c r="E196" s="8">
        <f t="shared" si="19"/>
        <v>2015.04</v>
      </c>
      <c r="F196" s="8">
        <f t="shared" si="20"/>
        <v>1679.2</v>
      </c>
      <c r="G196" s="8">
        <f t="shared" si="21"/>
        <v>20150.400000000001</v>
      </c>
      <c r="H196" s="8">
        <f t="shared" si="22"/>
        <v>3694.24</v>
      </c>
      <c r="I196" s="10">
        <f t="shared" si="23"/>
        <v>16456.160000000003</v>
      </c>
    </row>
    <row r="197" spans="1:9" x14ac:dyDescent="0.25">
      <c r="A197" s="6">
        <v>267</v>
      </c>
      <c r="B197" s="5" t="str">
        <f>VLOOKUP(A197, EmployeeMaster!$A:$D, 3, FALSE)</f>
        <v>Research &amp; Development</v>
      </c>
      <c r="C197" s="8">
        <v>3564</v>
      </c>
      <c r="D197" s="8">
        <f t="shared" si="18"/>
        <v>712.80000000000007</v>
      </c>
      <c r="E197" s="8">
        <f t="shared" si="19"/>
        <v>427.68</v>
      </c>
      <c r="F197" s="8">
        <f t="shared" si="20"/>
        <v>356.40000000000003</v>
      </c>
      <c r="G197" s="8">
        <f t="shared" si="21"/>
        <v>4276.8</v>
      </c>
      <c r="H197" s="8">
        <f t="shared" si="22"/>
        <v>784.08</v>
      </c>
      <c r="I197" s="10">
        <f t="shared" si="23"/>
        <v>3492.7200000000003</v>
      </c>
    </row>
    <row r="198" spans="1:9" x14ac:dyDescent="0.25">
      <c r="A198" s="6">
        <v>269</v>
      </c>
      <c r="B198" s="5" t="str">
        <f>VLOOKUP(A198, EmployeeMaster!$A:$D, 3, FALSE)</f>
        <v>Research &amp; Development</v>
      </c>
      <c r="C198" s="8">
        <v>4425</v>
      </c>
      <c r="D198" s="8">
        <f t="shared" si="18"/>
        <v>885</v>
      </c>
      <c r="E198" s="8">
        <f t="shared" si="19"/>
        <v>531</v>
      </c>
      <c r="F198" s="8">
        <f t="shared" si="20"/>
        <v>442.5</v>
      </c>
      <c r="G198" s="8">
        <f t="shared" si="21"/>
        <v>5310</v>
      </c>
      <c r="H198" s="8">
        <f t="shared" si="22"/>
        <v>973.5</v>
      </c>
      <c r="I198" s="10">
        <f t="shared" si="23"/>
        <v>4336.5</v>
      </c>
    </row>
    <row r="199" spans="1:9" x14ac:dyDescent="0.25">
      <c r="A199" s="6">
        <v>270</v>
      </c>
      <c r="B199" s="5" t="str">
        <f>VLOOKUP(A199, EmployeeMaster!$A:$D, 3, FALSE)</f>
        <v>Research &amp; Development</v>
      </c>
      <c r="C199" s="8">
        <v>5265</v>
      </c>
      <c r="D199" s="8">
        <f t="shared" si="18"/>
        <v>1053</v>
      </c>
      <c r="E199" s="8">
        <f t="shared" si="19"/>
        <v>631.79999999999995</v>
      </c>
      <c r="F199" s="8">
        <f t="shared" si="20"/>
        <v>526.5</v>
      </c>
      <c r="G199" s="8">
        <f t="shared" si="21"/>
        <v>6318</v>
      </c>
      <c r="H199" s="8">
        <f t="shared" si="22"/>
        <v>1158.3</v>
      </c>
      <c r="I199" s="10">
        <f t="shared" si="23"/>
        <v>5159.7</v>
      </c>
    </row>
    <row r="200" spans="1:9" x14ac:dyDescent="0.25">
      <c r="A200" s="6">
        <v>271</v>
      </c>
      <c r="B200" s="5" t="str">
        <f>VLOOKUP(A200, EmployeeMaster!$A:$D, 3, FALSE)</f>
        <v>Research &amp; Development</v>
      </c>
      <c r="C200" s="8">
        <v>6553</v>
      </c>
      <c r="D200" s="8">
        <f t="shared" si="18"/>
        <v>1310.6000000000001</v>
      </c>
      <c r="E200" s="8">
        <f t="shared" si="19"/>
        <v>786.36</v>
      </c>
      <c r="F200" s="8">
        <f t="shared" si="20"/>
        <v>655.30000000000007</v>
      </c>
      <c r="G200" s="8">
        <f t="shared" si="21"/>
        <v>7863.6</v>
      </c>
      <c r="H200" s="8">
        <f t="shared" si="22"/>
        <v>1441.66</v>
      </c>
      <c r="I200" s="10">
        <f t="shared" si="23"/>
        <v>6421.9400000000005</v>
      </c>
    </row>
    <row r="201" spans="1:9" x14ac:dyDescent="0.25">
      <c r="A201" s="6">
        <v>273</v>
      </c>
      <c r="B201" s="5" t="str">
        <f>VLOOKUP(A201, EmployeeMaster!$A:$D, 3, FALSE)</f>
        <v>Research &amp; Development</v>
      </c>
      <c r="C201" s="8">
        <v>6261</v>
      </c>
      <c r="D201" s="8">
        <f t="shared" si="18"/>
        <v>1252.2</v>
      </c>
      <c r="E201" s="8">
        <f t="shared" si="19"/>
        <v>751.31999999999994</v>
      </c>
      <c r="F201" s="8">
        <f t="shared" si="20"/>
        <v>626.1</v>
      </c>
      <c r="G201" s="8">
        <f t="shared" si="21"/>
        <v>7513.2</v>
      </c>
      <c r="H201" s="8">
        <f t="shared" si="22"/>
        <v>1377.42</v>
      </c>
      <c r="I201" s="10">
        <f t="shared" si="23"/>
        <v>6135.78</v>
      </c>
    </row>
    <row r="202" spans="1:9" x14ac:dyDescent="0.25">
      <c r="A202" s="6">
        <v>274</v>
      </c>
      <c r="B202" s="5" t="str">
        <f>VLOOKUP(A202, EmployeeMaster!$A:$D, 3, FALSE)</f>
        <v>Research &amp; Development</v>
      </c>
      <c r="C202" s="8">
        <v>4298</v>
      </c>
      <c r="D202" s="8">
        <f t="shared" si="18"/>
        <v>859.6</v>
      </c>
      <c r="E202" s="8">
        <f t="shared" si="19"/>
        <v>515.76</v>
      </c>
      <c r="F202" s="8">
        <f t="shared" si="20"/>
        <v>429.8</v>
      </c>
      <c r="G202" s="8">
        <f t="shared" si="21"/>
        <v>5157.6000000000004</v>
      </c>
      <c r="H202" s="8">
        <f t="shared" si="22"/>
        <v>945.56</v>
      </c>
      <c r="I202" s="10">
        <f t="shared" si="23"/>
        <v>4212.0400000000009</v>
      </c>
    </row>
    <row r="203" spans="1:9" x14ac:dyDescent="0.25">
      <c r="A203" s="6">
        <v>275</v>
      </c>
      <c r="B203" s="5" t="str">
        <f>VLOOKUP(A203, EmployeeMaster!$A:$D, 3, FALSE)</f>
        <v>Research &amp; Development</v>
      </c>
      <c r="C203" s="8">
        <v>6804</v>
      </c>
      <c r="D203" s="8">
        <f t="shared" si="18"/>
        <v>1360.8000000000002</v>
      </c>
      <c r="E203" s="8">
        <f t="shared" si="19"/>
        <v>816.48</v>
      </c>
      <c r="F203" s="8">
        <f t="shared" si="20"/>
        <v>680.40000000000009</v>
      </c>
      <c r="G203" s="8">
        <f t="shared" si="21"/>
        <v>8164.8</v>
      </c>
      <c r="H203" s="8">
        <f t="shared" si="22"/>
        <v>1496.88</v>
      </c>
      <c r="I203" s="10">
        <f t="shared" si="23"/>
        <v>6667.92</v>
      </c>
    </row>
    <row r="204" spans="1:9" x14ac:dyDescent="0.25">
      <c r="A204" s="6">
        <v>277</v>
      </c>
      <c r="B204" s="5" t="str">
        <f>VLOOKUP(A204, EmployeeMaster!$A:$D, 3, FALSE)</f>
        <v>Research &amp; Development</v>
      </c>
      <c r="C204" s="8">
        <v>3815</v>
      </c>
      <c r="D204" s="8">
        <f t="shared" si="18"/>
        <v>763</v>
      </c>
      <c r="E204" s="8">
        <f t="shared" si="19"/>
        <v>457.8</v>
      </c>
      <c r="F204" s="8">
        <f t="shared" si="20"/>
        <v>381.5</v>
      </c>
      <c r="G204" s="8">
        <f t="shared" si="21"/>
        <v>4578</v>
      </c>
      <c r="H204" s="8">
        <f t="shared" si="22"/>
        <v>839.3</v>
      </c>
      <c r="I204" s="10">
        <f t="shared" si="23"/>
        <v>3738.7</v>
      </c>
    </row>
    <row r="205" spans="1:9" x14ac:dyDescent="0.25">
      <c r="A205" s="6">
        <v>281</v>
      </c>
      <c r="B205" s="5" t="str">
        <f>VLOOKUP(A205, EmployeeMaster!$A:$D, 3, FALSE)</f>
        <v>Research &amp; Development</v>
      </c>
      <c r="C205" s="8">
        <v>2741</v>
      </c>
      <c r="D205" s="8">
        <f t="shared" si="18"/>
        <v>548.20000000000005</v>
      </c>
      <c r="E205" s="8">
        <f t="shared" si="19"/>
        <v>328.92</v>
      </c>
      <c r="F205" s="8">
        <f t="shared" si="20"/>
        <v>274.10000000000002</v>
      </c>
      <c r="G205" s="8">
        <f t="shared" si="21"/>
        <v>3289.2</v>
      </c>
      <c r="H205" s="8">
        <f t="shared" si="22"/>
        <v>603.02</v>
      </c>
      <c r="I205" s="10">
        <f t="shared" si="23"/>
        <v>2686.18</v>
      </c>
    </row>
    <row r="206" spans="1:9" x14ac:dyDescent="0.25">
      <c r="A206" s="6">
        <v>282</v>
      </c>
      <c r="B206" s="5" t="str">
        <f>VLOOKUP(A206, EmployeeMaster!$A:$D, 3, FALSE)</f>
        <v>Research &amp; Development</v>
      </c>
      <c r="C206" s="8">
        <v>6673</v>
      </c>
      <c r="D206" s="8">
        <f t="shared" si="18"/>
        <v>1334.6000000000001</v>
      </c>
      <c r="E206" s="8">
        <f t="shared" si="19"/>
        <v>800.76</v>
      </c>
      <c r="F206" s="8">
        <f t="shared" si="20"/>
        <v>667.30000000000007</v>
      </c>
      <c r="G206" s="8">
        <f t="shared" si="21"/>
        <v>8007.6</v>
      </c>
      <c r="H206" s="8">
        <f t="shared" si="22"/>
        <v>1468.06</v>
      </c>
      <c r="I206" s="10">
        <f t="shared" si="23"/>
        <v>6539.5400000000009</v>
      </c>
    </row>
    <row r="207" spans="1:9" x14ac:dyDescent="0.25">
      <c r="A207" s="6">
        <v>283</v>
      </c>
      <c r="B207" s="5" t="str">
        <f>VLOOKUP(A207, EmployeeMaster!$A:$D, 3, FALSE)</f>
        <v>Sales</v>
      </c>
      <c r="C207" s="8">
        <v>7639</v>
      </c>
      <c r="D207" s="8">
        <f t="shared" si="18"/>
        <v>1527.8000000000002</v>
      </c>
      <c r="E207" s="8">
        <f t="shared" si="19"/>
        <v>916.68</v>
      </c>
      <c r="F207" s="8">
        <f t="shared" si="20"/>
        <v>763.90000000000009</v>
      </c>
      <c r="G207" s="8">
        <f t="shared" si="21"/>
        <v>9166.7999999999993</v>
      </c>
      <c r="H207" s="8">
        <f t="shared" si="22"/>
        <v>1680.58</v>
      </c>
      <c r="I207" s="10">
        <f t="shared" si="23"/>
        <v>7486.2199999999993</v>
      </c>
    </row>
    <row r="208" spans="1:9" x14ac:dyDescent="0.25">
      <c r="A208" s="6">
        <v>284</v>
      </c>
      <c r="B208" s="5" t="str">
        <f>VLOOKUP(A208, EmployeeMaster!$A:$D, 3, FALSE)</f>
        <v>Research &amp; Development</v>
      </c>
      <c r="C208" s="8">
        <v>2328</v>
      </c>
      <c r="D208" s="8">
        <f t="shared" si="18"/>
        <v>465.6</v>
      </c>
      <c r="E208" s="8">
        <f t="shared" si="19"/>
        <v>279.36</v>
      </c>
      <c r="F208" s="8">
        <f t="shared" si="20"/>
        <v>232.8</v>
      </c>
      <c r="G208" s="8">
        <f t="shared" si="21"/>
        <v>2793.6</v>
      </c>
      <c r="H208" s="8">
        <f t="shared" si="22"/>
        <v>512.16000000000008</v>
      </c>
      <c r="I208" s="10">
        <f t="shared" si="23"/>
        <v>2281.4399999999996</v>
      </c>
    </row>
    <row r="209" spans="1:9" x14ac:dyDescent="0.25">
      <c r="A209" s="6">
        <v>286</v>
      </c>
      <c r="B209" s="5" t="str">
        <f>VLOOKUP(A209, EmployeeMaster!$A:$D, 3, FALSE)</f>
        <v>Research &amp; Development</v>
      </c>
      <c r="C209" s="8">
        <v>2153</v>
      </c>
      <c r="D209" s="8">
        <f t="shared" si="18"/>
        <v>430.6</v>
      </c>
      <c r="E209" s="8">
        <f t="shared" si="19"/>
        <v>258.36</v>
      </c>
      <c r="F209" s="8">
        <f t="shared" si="20"/>
        <v>215.3</v>
      </c>
      <c r="G209" s="8">
        <f t="shared" si="21"/>
        <v>2583.6</v>
      </c>
      <c r="H209" s="8">
        <f t="shared" si="22"/>
        <v>473.66</v>
      </c>
      <c r="I209" s="10">
        <f t="shared" si="23"/>
        <v>2109.94</v>
      </c>
    </row>
    <row r="210" spans="1:9" x14ac:dyDescent="0.25">
      <c r="A210" s="6">
        <v>287</v>
      </c>
      <c r="B210" s="5" t="str">
        <f>VLOOKUP(A210, EmployeeMaster!$A:$D, 3, FALSE)</f>
        <v>Research &amp; Development</v>
      </c>
      <c r="C210" s="8">
        <v>4876</v>
      </c>
      <c r="D210" s="8">
        <f t="shared" si="18"/>
        <v>975.2</v>
      </c>
      <c r="E210" s="8">
        <f t="shared" si="19"/>
        <v>585.12</v>
      </c>
      <c r="F210" s="8">
        <f t="shared" si="20"/>
        <v>487.6</v>
      </c>
      <c r="G210" s="8">
        <f t="shared" si="21"/>
        <v>5851.2</v>
      </c>
      <c r="H210" s="8">
        <f t="shared" si="22"/>
        <v>1072.72</v>
      </c>
      <c r="I210" s="10">
        <f t="shared" si="23"/>
        <v>4778.4799999999996</v>
      </c>
    </row>
    <row r="211" spans="1:9" x14ac:dyDescent="0.25">
      <c r="A211" s="6">
        <v>288</v>
      </c>
      <c r="B211" s="5" t="str">
        <f>VLOOKUP(A211, EmployeeMaster!$A:$D, 3, FALSE)</f>
        <v>Research &amp; Development</v>
      </c>
      <c r="C211" s="8">
        <v>9396</v>
      </c>
      <c r="D211" s="8">
        <f t="shared" si="18"/>
        <v>1879.2</v>
      </c>
      <c r="E211" s="8">
        <f t="shared" si="19"/>
        <v>1127.52</v>
      </c>
      <c r="F211" s="8">
        <f t="shared" si="20"/>
        <v>939.6</v>
      </c>
      <c r="G211" s="8">
        <f t="shared" si="21"/>
        <v>11275.2</v>
      </c>
      <c r="H211" s="8">
        <f t="shared" si="22"/>
        <v>2067.12</v>
      </c>
      <c r="I211" s="10">
        <f t="shared" si="23"/>
        <v>9208.0800000000017</v>
      </c>
    </row>
    <row r="212" spans="1:9" x14ac:dyDescent="0.25">
      <c r="A212" s="6">
        <v>291</v>
      </c>
      <c r="B212" s="5" t="str">
        <f>VLOOKUP(A212, EmployeeMaster!$A:$D, 3, FALSE)</f>
        <v>Sales</v>
      </c>
      <c r="C212" s="8">
        <v>10400</v>
      </c>
      <c r="D212" s="8">
        <f t="shared" si="18"/>
        <v>2080</v>
      </c>
      <c r="E212" s="8">
        <f t="shared" si="19"/>
        <v>1248</v>
      </c>
      <c r="F212" s="8">
        <f t="shared" si="20"/>
        <v>1040</v>
      </c>
      <c r="G212" s="8">
        <f t="shared" si="21"/>
        <v>12480</v>
      </c>
      <c r="H212" s="8">
        <f t="shared" si="22"/>
        <v>2288</v>
      </c>
      <c r="I212" s="10">
        <f t="shared" si="23"/>
        <v>10192</v>
      </c>
    </row>
    <row r="213" spans="1:9" x14ac:dyDescent="0.25">
      <c r="A213" s="6">
        <v>292</v>
      </c>
      <c r="B213" s="5" t="str">
        <f>VLOOKUP(A213, EmployeeMaster!$A:$D, 3, FALSE)</f>
        <v>Research &amp; Development</v>
      </c>
      <c r="C213" s="8">
        <v>8474</v>
      </c>
      <c r="D213" s="8">
        <f t="shared" si="18"/>
        <v>1694.8000000000002</v>
      </c>
      <c r="E213" s="8">
        <f t="shared" si="19"/>
        <v>1016.88</v>
      </c>
      <c r="F213" s="8">
        <f t="shared" si="20"/>
        <v>847.40000000000009</v>
      </c>
      <c r="G213" s="8">
        <f t="shared" si="21"/>
        <v>10168.799999999999</v>
      </c>
      <c r="H213" s="8">
        <f t="shared" si="22"/>
        <v>1864.2800000000002</v>
      </c>
      <c r="I213" s="10">
        <f t="shared" si="23"/>
        <v>8304.5199999999986</v>
      </c>
    </row>
    <row r="214" spans="1:9" x14ac:dyDescent="0.25">
      <c r="A214" s="6">
        <v>293</v>
      </c>
      <c r="B214" s="5" t="str">
        <f>VLOOKUP(A214, EmployeeMaster!$A:$D, 3, FALSE)</f>
        <v>Sales</v>
      </c>
      <c r="C214" s="8">
        <v>9981</v>
      </c>
      <c r="D214" s="8">
        <f t="shared" si="18"/>
        <v>1996.2</v>
      </c>
      <c r="E214" s="8">
        <f t="shared" si="19"/>
        <v>1197.72</v>
      </c>
      <c r="F214" s="8">
        <f t="shared" si="20"/>
        <v>998.1</v>
      </c>
      <c r="G214" s="8">
        <f t="shared" si="21"/>
        <v>11977.2</v>
      </c>
      <c r="H214" s="8">
        <f t="shared" si="22"/>
        <v>2195.8200000000002</v>
      </c>
      <c r="I214" s="10">
        <f t="shared" si="23"/>
        <v>9781.380000000001</v>
      </c>
    </row>
    <row r="215" spans="1:9" x14ac:dyDescent="0.25">
      <c r="A215" s="6">
        <v>296</v>
      </c>
      <c r="B215" s="5" t="str">
        <f>VLOOKUP(A215, EmployeeMaster!$A:$D, 3, FALSE)</f>
        <v>Research &amp; Development</v>
      </c>
      <c r="C215" s="8">
        <v>12490</v>
      </c>
      <c r="D215" s="8">
        <f t="shared" si="18"/>
        <v>2498</v>
      </c>
      <c r="E215" s="8">
        <f t="shared" si="19"/>
        <v>1498.8</v>
      </c>
      <c r="F215" s="8">
        <f t="shared" si="20"/>
        <v>1249</v>
      </c>
      <c r="G215" s="8">
        <f t="shared" si="21"/>
        <v>14988</v>
      </c>
      <c r="H215" s="8">
        <f t="shared" si="22"/>
        <v>2747.8</v>
      </c>
      <c r="I215" s="10">
        <f t="shared" si="23"/>
        <v>12240.2</v>
      </c>
    </row>
    <row r="216" spans="1:9" x14ac:dyDescent="0.25">
      <c r="A216" s="6">
        <v>297</v>
      </c>
      <c r="B216" s="5" t="str">
        <f>VLOOKUP(A216, EmployeeMaster!$A:$D, 3, FALSE)</f>
        <v>Research &amp; Development</v>
      </c>
      <c r="C216" s="8">
        <v>2657</v>
      </c>
      <c r="D216" s="8">
        <f t="shared" si="18"/>
        <v>531.4</v>
      </c>
      <c r="E216" s="8">
        <f t="shared" si="19"/>
        <v>318.83999999999997</v>
      </c>
      <c r="F216" s="8">
        <f t="shared" si="20"/>
        <v>265.7</v>
      </c>
      <c r="G216" s="8">
        <f t="shared" si="21"/>
        <v>3188.4</v>
      </c>
      <c r="H216" s="8">
        <f t="shared" si="22"/>
        <v>584.54</v>
      </c>
      <c r="I216" s="10">
        <f t="shared" si="23"/>
        <v>2603.86</v>
      </c>
    </row>
    <row r="217" spans="1:9" x14ac:dyDescent="0.25">
      <c r="A217" s="6">
        <v>298</v>
      </c>
      <c r="B217" s="5" t="str">
        <f>VLOOKUP(A217, EmployeeMaster!$A:$D, 3, FALSE)</f>
        <v>Sales</v>
      </c>
      <c r="C217" s="8">
        <v>13591</v>
      </c>
      <c r="D217" s="8">
        <f t="shared" si="18"/>
        <v>2718.2000000000003</v>
      </c>
      <c r="E217" s="8">
        <f t="shared" si="19"/>
        <v>1630.9199999999998</v>
      </c>
      <c r="F217" s="8">
        <f t="shared" si="20"/>
        <v>1359.1000000000001</v>
      </c>
      <c r="G217" s="8">
        <f t="shared" si="21"/>
        <v>16309.2</v>
      </c>
      <c r="H217" s="8">
        <f t="shared" si="22"/>
        <v>2990.02</v>
      </c>
      <c r="I217" s="10">
        <f t="shared" si="23"/>
        <v>13319.18</v>
      </c>
    </row>
    <row r="218" spans="1:9" x14ac:dyDescent="0.25">
      <c r="A218" s="6">
        <v>299</v>
      </c>
      <c r="B218" s="5" t="str">
        <f>VLOOKUP(A218, EmployeeMaster!$A:$D, 3, FALSE)</f>
        <v>Sales</v>
      </c>
      <c r="C218" s="8">
        <v>6696</v>
      </c>
      <c r="D218" s="8">
        <f t="shared" si="18"/>
        <v>1339.2</v>
      </c>
      <c r="E218" s="8">
        <f t="shared" si="19"/>
        <v>803.52</v>
      </c>
      <c r="F218" s="8">
        <f t="shared" si="20"/>
        <v>669.6</v>
      </c>
      <c r="G218" s="8">
        <f t="shared" si="21"/>
        <v>8035.2</v>
      </c>
      <c r="H218" s="8">
        <f t="shared" si="22"/>
        <v>1473.12</v>
      </c>
      <c r="I218" s="10">
        <f t="shared" si="23"/>
        <v>6562.08</v>
      </c>
    </row>
    <row r="219" spans="1:9" x14ac:dyDescent="0.25">
      <c r="A219" s="6">
        <v>300</v>
      </c>
      <c r="B219" s="5" t="str">
        <f>VLOOKUP(A219, EmployeeMaster!$A:$D, 3, FALSE)</f>
        <v>Research &amp; Development</v>
      </c>
      <c r="C219" s="8">
        <v>2058</v>
      </c>
      <c r="D219" s="8">
        <f t="shared" si="18"/>
        <v>411.6</v>
      </c>
      <c r="E219" s="8">
        <f t="shared" si="19"/>
        <v>246.95999999999998</v>
      </c>
      <c r="F219" s="8">
        <f t="shared" si="20"/>
        <v>205.8</v>
      </c>
      <c r="G219" s="8">
        <f t="shared" si="21"/>
        <v>2469.6</v>
      </c>
      <c r="H219" s="8">
        <f t="shared" si="22"/>
        <v>452.76</v>
      </c>
      <c r="I219" s="10">
        <f t="shared" si="23"/>
        <v>2016.84</v>
      </c>
    </row>
    <row r="220" spans="1:9" x14ac:dyDescent="0.25">
      <c r="A220" s="6">
        <v>302</v>
      </c>
      <c r="B220" s="5" t="str">
        <f>VLOOKUP(A220, EmployeeMaster!$A:$D, 3, FALSE)</f>
        <v>Sales</v>
      </c>
      <c r="C220" s="8">
        <v>8865</v>
      </c>
      <c r="D220" s="8">
        <f t="shared" si="18"/>
        <v>1773</v>
      </c>
      <c r="E220" s="8">
        <f t="shared" si="19"/>
        <v>1063.8</v>
      </c>
      <c r="F220" s="8">
        <f t="shared" si="20"/>
        <v>886.5</v>
      </c>
      <c r="G220" s="8">
        <f t="shared" si="21"/>
        <v>10638</v>
      </c>
      <c r="H220" s="8">
        <f t="shared" si="22"/>
        <v>1950.3</v>
      </c>
      <c r="I220" s="10">
        <f t="shared" si="23"/>
        <v>8687.7000000000007</v>
      </c>
    </row>
    <row r="221" spans="1:9" x14ac:dyDescent="0.25">
      <c r="A221" s="6">
        <v>303</v>
      </c>
      <c r="B221" s="5" t="str">
        <f>VLOOKUP(A221, EmployeeMaster!$A:$D, 3, FALSE)</f>
        <v>Sales</v>
      </c>
      <c r="C221" s="8">
        <v>5940</v>
      </c>
      <c r="D221" s="8">
        <f t="shared" si="18"/>
        <v>1188</v>
      </c>
      <c r="E221" s="8">
        <f t="shared" si="19"/>
        <v>712.8</v>
      </c>
      <c r="F221" s="8">
        <f t="shared" si="20"/>
        <v>594</v>
      </c>
      <c r="G221" s="8">
        <f t="shared" si="21"/>
        <v>7128</v>
      </c>
      <c r="H221" s="8">
        <f t="shared" si="22"/>
        <v>1306.8</v>
      </c>
      <c r="I221" s="10">
        <f t="shared" si="23"/>
        <v>5821.2</v>
      </c>
    </row>
    <row r="222" spans="1:9" x14ac:dyDescent="0.25">
      <c r="A222" s="6">
        <v>304</v>
      </c>
      <c r="B222" s="5" t="str">
        <f>VLOOKUP(A222, EmployeeMaster!$A:$D, 3, FALSE)</f>
        <v>Research &amp; Development</v>
      </c>
      <c r="C222" s="8">
        <v>5914</v>
      </c>
      <c r="D222" s="8">
        <f t="shared" si="18"/>
        <v>1182.8</v>
      </c>
      <c r="E222" s="8">
        <f t="shared" si="19"/>
        <v>709.68</v>
      </c>
      <c r="F222" s="8">
        <f t="shared" si="20"/>
        <v>591.4</v>
      </c>
      <c r="G222" s="8">
        <f t="shared" si="21"/>
        <v>7096.8</v>
      </c>
      <c r="H222" s="8">
        <f t="shared" si="22"/>
        <v>1301.08</v>
      </c>
      <c r="I222" s="10">
        <f t="shared" si="23"/>
        <v>5795.72</v>
      </c>
    </row>
    <row r="223" spans="1:9" x14ac:dyDescent="0.25">
      <c r="A223" s="6">
        <v>305</v>
      </c>
      <c r="B223" s="5" t="str">
        <f>VLOOKUP(A223, EmployeeMaster!$A:$D, 3, FALSE)</f>
        <v>Research &amp; Development</v>
      </c>
      <c r="C223" s="8">
        <v>2622</v>
      </c>
      <c r="D223" s="8">
        <f t="shared" si="18"/>
        <v>524.4</v>
      </c>
      <c r="E223" s="8">
        <f t="shared" si="19"/>
        <v>314.64</v>
      </c>
      <c r="F223" s="8">
        <f t="shared" si="20"/>
        <v>262.2</v>
      </c>
      <c r="G223" s="8">
        <f t="shared" si="21"/>
        <v>3146.4</v>
      </c>
      <c r="H223" s="8">
        <f t="shared" si="22"/>
        <v>576.83999999999992</v>
      </c>
      <c r="I223" s="10">
        <f t="shared" si="23"/>
        <v>2569.5600000000004</v>
      </c>
    </row>
    <row r="224" spans="1:9" x14ac:dyDescent="0.25">
      <c r="A224" s="6">
        <v>306</v>
      </c>
      <c r="B224" s="5" t="str">
        <f>VLOOKUP(A224, EmployeeMaster!$A:$D, 3, FALSE)</f>
        <v>Research &amp; Development</v>
      </c>
      <c r="C224" s="8">
        <v>12185</v>
      </c>
      <c r="D224" s="8">
        <f t="shared" si="18"/>
        <v>2437</v>
      </c>
      <c r="E224" s="8">
        <f t="shared" si="19"/>
        <v>1462.2</v>
      </c>
      <c r="F224" s="8">
        <f t="shared" si="20"/>
        <v>1218.5</v>
      </c>
      <c r="G224" s="8">
        <f t="shared" si="21"/>
        <v>14622</v>
      </c>
      <c r="H224" s="8">
        <f t="shared" si="22"/>
        <v>2680.7</v>
      </c>
      <c r="I224" s="10">
        <f t="shared" si="23"/>
        <v>11941.3</v>
      </c>
    </row>
    <row r="225" spans="1:9" x14ac:dyDescent="0.25">
      <c r="A225" s="6">
        <v>307</v>
      </c>
      <c r="B225" s="5" t="str">
        <f>VLOOKUP(A225, EmployeeMaster!$A:$D, 3, FALSE)</f>
        <v>Sales</v>
      </c>
      <c r="C225" s="8">
        <v>10609</v>
      </c>
      <c r="D225" s="8">
        <f t="shared" si="18"/>
        <v>2121.8000000000002</v>
      </c>
      <c r="E225" s="8">
        <f t="shared" si="19"/>
        <v>1273.08</v>
      </c>
      <c r="F225" s="8">
        <f t="shared" si="20"/>
        <v>1060.9000000000001</v>
      </c>
      <c r="G225" s="8">
        <f t="shared" si="21"/>
        <v>12730.8</v>
      </c>
      <c r="H225" s="8">
        <f t="shared" si="22"/>
        <v>2333.98</v>
      </c>
      <c r="I225" s="10">
        <f t="shared" si="23"/>
        <v>10396.82</v>
      </c>
    </row>
    <row r="226" spans="1:9" x14ac:dyDescent="0.25">
      <c r="A226" s="6">
        <v>308</v>
      </c>
      <c r="B226" s="5" t="str">
        <f>VLOOKUP(A226, EmployeeMaster!$A:$D, 3, FALSE)</f>
        <v>Research &amp; Development</v>
      </c>
      <c r="C226" s="8">
        <v>4345</v>
      </c>
      <c r="D226" s="8">
        <f t="shared" si="18"/>
        <v>869</v>
      </c>
      <c r="E226" s="8">
        <f t="shared" si="19"/>
        <v>521.4</v>
      </c>
      <c r="F226" s="8">
        <f t="shared" si="20"/>
        <v>434.5</v>
      </c>
      <c r="G226" s="8">
        <f t="shared" si="21"/>
        <v>5214</v>
      </c>
      <c r="H226" s="8">
        <f t="shared" si="22"/>
        <v>955.9</v>
      </c>
      <c r="I226" s="10">
        <f t="shared" si="23"/>
        <v>4258.1000000000004</v>
      </c>
    </row>
    <row r="227" spans="1:9" x14ac:dyDescent="0.25">
      <c r="A227" s="6">
        <v>309</v>
      </c>
      <c r="B227" s="5" t="str">
        <f>VLOOKUP(A227, EmployeeMaster!$A:$D, 3, FALSE)</f>
        <v>Research &amp; Development</v>
      </c>
      <c r="C227" s="8">
        <v>2177</v>
      </c>
      <c r="D227" s="8">
        <f t="shared" si="18"/>
        <v>435.40000000000003</v>
      </c>
      <c r="E227" s="8">
        <f t="shared" si="19"/>
        <v>261.24</v>
      </c>
      <c r="F227" s="8">
        <f t="shared" si="20"/>
        <v>217.70000000000002</v>
      </c>
      <c r="G227" s="8">
        <f t="shared" si="21"/>
        <v>2612.4</v>
      </c>
      <c r="H227" s="8">
        <f t="shared" si="22"/>
        <v>478.94000000000005</v>
      </c>
      <c r="I227" s="10">
        <f t="shared" si="23"/>
        <v>2133.46</v>
      </c>
    </row>
    <row r="228" spans="1:9" x14ac:dyDescent="0.25">
      <c r="A228" s="6">
        <v>311</v>
      </c>
      <c r="B228" s="5" t="str">
        <f>VLOOKUP(A228, EmployeeMaster!$A:$D, 3, FALSE)</f>
        <v>Sales</v>
      </c>
      <c r="C228" s="8">
        <v>2793</v>
      </c>
      <c r="D228" s="8">
        <f t="shared" si="18"/>
        <v>558.6</v>
      </c>
      <c r="E228" s="8">
        <f t="shared" si="19"/>
        <v>335.15999999999997</v>
      </c>
      <c r="F228" s="8">
        <f t="shared" si="20"/>
        <v>279.3</v>
      </c>
      <c r="G228" s="8">
        <f t="shared" si="21"/>
        <v>3351.6</v>
      </c>
      <c r="H228" s="8">
        <f t="shared" si="22"/>
        <v>614.46</v>
      </c>
      <c r="I228" s="10">
        <f t="shared" si="23"/>
        <v>2737.14</v>
      </c>
    </row>
    <row r="229" spans="1:9" x14ac:dyDescent="0.25">
      <c r="A229" s="6">
        <v>312</v>
      </c>
      <c r="B229" s="5" t="str">
        <f>VLOOKUP(A229, EmployeeMaster!$A:$D, 3, FALSE)</f>
        <v>Sales</v>
      </c>
      <c r="C229" s="8">
        <v>7918</v>
      </c>
      <c r="D229" s="8">
        <f t="shared" si="18"/>
        <v>1583.6000000000001</v>
      </c>
      <c r="E229" s="8">
        <f t="shared" si="19"/>
        <v>950.16</v>
      </c>
      <c r="F229" s="8">
        <f t="shared" si="20"/>
        <v>791.80000000000007</v>
      </c>
      <c r="G229" s="8">
        <f t="shared" si="21"/>
        <v>9501.6</v>
      </c>
      <c r="H229" s="8">
        <f t="shared" si="22"/>
        <v>1741.96</v>
      </c>
      <c r="I229" s="10">
        <f t="shared" si="23"/>
        <v>7759.64</v>
      </c>
    </row>
    <row r="230" spans="1:9" x14ac:dyDescent="0.25">
      <c r="A230" s="6">
        <v>314</v>
      </c>
      <c r="B230" s="5" t="str">
        <f>VLOOKUP(A230, EmployeeMaster!$A:$D, 3, FALSE)</f>
        <v>Sales</v>
      </c>
      <c r="C230" s="8">
        <v>8789</v>
      </c>
      <c r="D230" s="8">
        <f t="shared" si="18"/>
        <v>1757.8000000000002</v>
      </c>
      <c r="E230" s="8">
        <f t="shared" si="19"/>
        <v>1054.68</v>
      </c>
      <c r="F230" s="8">
        <f t="shared" si="20"/>
        <v>878.90000000000009</v>
      </c>
      <c r="G230" s="8">
        <f t="shared" si="21"/>
        <v>10546.8</v>
      </c>
      <c r="H230" s="8">
        <f t="shared" si="22"/>
        <v>1933.5800000000002</v>
      </c>
      <c r="I230" s="10">
        <f t="shared" si="23"/>
        <v>8613.2199999999993</v>
      </c>
    </row>
    <row r="231" spans="1:9" x14ac:dyDescent="0.25">
      <c r="A231" s="6">
        <v>315</v>
      </c>
      <c r="B231" s="5" t="str">
        <f>VLOOKUP(A231, EmployeeMaster!$A:$D, 3, FALSE)</f>
        <v>Research &amp; Development</v>
      </c>
      <c r="C231" s="8">
        <v>2389</v>
      </c>
      <c r="D231" s="8">
        <f t="shared" si="18"/>
        <v>477.8</v>
      </c>
      <c r="E231" s="8">
        <f t="shared" si="19"/>
        <v>286.68</v>
      </c>
      <c r="F231" s="8">
        <f t="shared" si="20"/>
        <v>238.9</v>
      </c>
      <c r="G231" s="8">
        <f t="shared" si="21"/>
        <v>2866.8</v>
      </c>
      <c r="H231" s="8">
        <f t="shared" si="22"/>
        <v>525.58000000000004</v>
      </c>
      <c r="I231" s="10">
        <f t="shared" si="23"/>
        <v>2341.2200000000003</v>
      </c>
    </row>
    <row r="232" spans="1:9" x14ac:dyDescent="0.25">
      <c r="A232" s="6">
        <v>316</v>
      </c>
      <c r="B232" s="5" t="str">
        <f>VLOOKUP(A232, EmployeeMaster!$A:$D, 3, FALSE)</f>
        <v>Research &amp; Development</v>
      </c>
      <c r="C232" s="8">
        <v>3212</v>
      </c>
      <c r="D232" s="8">
        <f t="shared" si="18"/>
        <v>642.40000000000009</v>
      </c>
      <c r="E232" s="8">
        <f t="shared" si="19"/>
        <v>385.44</v>
      </c>
      <c r="F232" s="8">
        <f t="shared" si="20"/>
        <v>321.20000000000005</v>
      </c>
      <c r="G232" s="8">
        <f t="shared" si="21"/>
        <v>3854.4</v>
      </c>
      <c r="H232" s="8">
        <f t="shared" si="22"/>
        <v>706.6400000000001</v>
      </c>
      <c r="I232" s="10">
        <f t="shared" si="23"/>
        <v>3147.76</v>
      </c>
    </row>
    <row r="233" spans="1:9" x14ac:dyDescent="0.25">
      <c r="A233" s="6">
        <v>319</v>
      </c>
      <c r="B233" s="5" t="str">
        <f>VLOOKUP(A233, EmployeeMaster!$A:$D, 3, FALSE)</f>
        <v>Research &amp; Development</v>
      </c>
      <c r="C233" s="8">
        <v>19232</v>
      </c>
      <c r="D233" s="8">
        <f t="shared" si="18"/>
        <v>3846.4</v>
      </c>
      <c r="E233" s="8">
        <f t="shared" si="19"/>
        <v>2307.8399999999997</v>
      </c>
      <c r="F233" s="8">
        <f t="shared" si="20"/>
        <v>1923.2</v>
      </c>
      <c r="G233" s="8">
        <f t="shared" si="21"/>
        <v>23078.400000000001</v>
      </c>
      <c r="H233" s="8">
        <f t="shared" si="22"/>
        <v>4231.04</v>
      </c>
      <c r="I233" s="10">
        <f t="shared" si="23"/>
        <v>18847.36</v>
      </c>
    </row>
    <row r="234" spans="1:9" x14ac:dyDescent="0.25">
      <c r="A234" s="6">
        <v>321</v>
      </c>
      <c r="B234" s="5" t="str">
        <f>VLOOKUP(A234, EmployeeMaster!$A:$D, 3, FALSE)</f>
        <v>Human Resources</v>
      </c>
      <c r="C234" s="8">
        <v>2267</v>
      </c>
      <c r="D234" s="8">
        <f t="shared" si="18"/>
        <v>453.40000000000003</v>
      </c>
      <c r="E234" s="8">
        <f t="shared" si="19"/>
        <v>272.03999999999996</v>
      </c>
      <c r="F234" s="8">
        <f t="shared" si="20"/>
        <v>226.70000000000002</v>
      </c>
      <c r="G234" s="8">
        <f t="shared" si="21"/>
        <v>2720.4</v>
      </c>
      <c r="H234" s="8">
        <f t="shared" si="22"/>
        <v>498.74</v>
      </c>
      <c r="I234" s="10">
        <f t="shared" si="23"/>
        <v>2221.66</v>
      </c>
    </row>
    <row r="235" spans="1:9" x14ac:dyDescent="0.25">
      <c r="A235" s="6">
        <v>323</v>
      </c>
      <c r="B235" s="5" t="str">
        <f>VLOOKUP(A235, EmployeeMaster!$A:$D, 3, FALSE)</f>
        <v>Sales</v>
      </c>
      <c r="C235" s="8">
        <v>19517</v>
      </c>
      <c r="D235" s="8">
        <f t="shared" si="18"/>
        <v>3903.4</v>
      </c>
      <c r="E235" s="8">
        <f t="shared" si="19"/>
        <v>2342.04</v>
      </c>
      <c r="F235" s="8">
        <f t="shared" si="20"/>
        <v>1951.7</v>
      </c>
      <c r="G235" s="8">
        <f t="shared" si="21"/>
        <v>23420.400000000001</v>
      </c>
      <c r="H235" s="8">
        <f t="shared" si="22"/>
        <v>4293.74</v>
      </c>
      <c r="I235" s="10">
        <f t="shared" si="23"/>
        <v>19126.660000000003</v>
      </c>
    </row>
    <row r="236" spans="1:9" x14ac:dyDescent="0.25">
      <c r="A236" s="6">
        <v>325</v>
      </c>
      <c r="B236" s="5" t="str">
        <f>VLOOKUP(A236, EmployeeMaster!$A:$D, 3, FALSE)</f>
        <v>Research &amp; Development</v>
      </c>
      <c r="C236" s="8">
        <v>2436</v>
      </c>
      <c r="D236" s="8">
        <f t="shared" si="18"/>
        <v>487.20000000000005</v>
      </c>
      <c r="E236" s="8">
        <f t="shared" si="19"/>
        <v>292.32</v>
      </c>
      <c r="F236" s="8">
        <f t="shared" si="20"/>
        <v>243.60000000000002</v>
      </c>
      <c r="G236" s="8">
        <f t="shared" si="21"/>
        <v>2923.2</v>
      </c>
      <c r="H236" s="8">
        <f t="shared" si="22"/>
        <v>535.92000000000007</v>
      </c>
      <c r="I236" s="10">
        <f t="shared" si="23"/>
        <v>2387.2799999999997</v>
      </c>
    </row>
    <row r="237" spans="1:9" x14ac:dyDescent="0.25">
      <c r="A237" s="6">
        <v>327</v>
      </c>
      <c r="B237" s="5" t="str">
        <f>VLOOKUP(A237, EmployeeMaster!$A:$D, 3, FALSE)</f>
        <v>Sales</v>
      </c>
      <c r="C237" s="8">
        <v>16064</v>
      </c>
      <c r="D237" s="8">
        <f t="shared" si="18"/>
        <v>3212.8</v>
      </c>
      <c r="E237" s="8">
        <f t="shared" si="19"/>
        <v>1927.6799999999998</v>
      </c>
      <c r="F237" s="8">
        <f t="shared" si="20"/>
        <v>1606.4</v>
      </c>
      <c r="G237" s="8">
        <f t="shared" si="21"/>
        <v>19276.8</v>
      </c>
      <c r="H237" s="8">
        <f t="shared" si="22"/>
        <v>3534.08</v>
      </c>
      <c r="I237" s="10">
        <f t="shared" si="23"/>
        <v>15742.72</v>
      </c>
    </row>
    <row r="238" spans="1:9" x14ac:dyDescent="0.25">
      <c r="A238" s="6">
        <v>328</v>
      </c>
      <c r="B238" s="5" t="str">
        <f>VLOOKUP(A238, EmployeeMaster!$A:$D, 3, FALSE)</f>
        <v>Research &amp; Development</v>
      </c>
      <c r="C238" s="8">
        <v>2707</v>
      </c>
      <c r="D238" s="8">
        <f t="shared" si="18"/>
        <v>541.4</v>
      </c>
      <c r="E238" s="8">
        <f t="shared" si="19"/>
        <v>324.83999999999997</v>
      </c>
      <c r="F238" s="8">
        <f t="shared" si="20"/>
        <v>270.7</v>
      </c>
      <c r="G238" s="8">
        <f t="shared" si="21"/>
        <v>3248.4</v>
      </c>
      <c r="H238" s="8">
        <f t="shared" si="22"/>
        <v>595.54</v>
      </c>
      <c r="I238" s="10">
        <f t="shared" si="23"/>
        <v>2652.86</v>
      </c>
    </row>
    <row r="239" spans="1:9" x14ac:dyDescent="0.25">
      <c r="A239" s="6">
        <v>329</v>
      </c>
      <c r="B239" s="5" t="str">
        <f>VLOOKUP(A239, EmployeeMaster!$A:$D, 3, FALSE)</f>
        <v>Sales</v>
      </c>
      <c r="C239" s="8">
        <v>19068</v>
      </c>
      <c r="D239" s="8">
        <f t="shared" si="18"/>
        <v>3813.6000000000004</v>
      </c>
      <c r="E239" s="8">
        <f t="shared" si="19"/>
        <v>2288.16</v>
      </c>
      <c r="F239" s="8">
        <f t="shared" si="20"/>
        <v>1906.8000000000002</v>
      </c>
      <c r="G239" s="8">
        <f t="shared" si="21"/>
        <v>22881.599999999999</v>
      </c>
      <c r="H239" s="8">
        <f t="shared" si="22"/>
        <v>4194.96</v>
      </c>
      <c r="I239" s="10">
        <f t="shared" si="23"/>
        <v>18686.64</v>
      </c>
    </row>
    <row r="240" spans="1:9" x14ac:dyDescent="0.25">
      <c r="A240" s="6">
        <v>330</v>
      </c>
      <c r="B240" s="5" t="str">
        <f>VLOOKUP(A240, EmployeeMaster!$A:$D, 3, FALSE)</f>
        <v>Sales</v>
      </c>
      <c r="C240" s="8">
        <v>3931</v>
      </c>
      <c r="D240" s="8">
        <f t="shared" si="18"/>
        <v>786.2</v>
      </c>
      <c r="E240" s="8">
        <f t="shared" si="19"/>
        <v>471.71999999999997</v>
      </c>
      <c r="F240" s="8">
        <f t="shared" si="20"/>
        <v>393.1</v>
      </c>
      <c r="G240" s="8">
        <f t="shared" si="21"/>
        <v>4717.2</v>
      </c>
      <c r="H240" s="8">
        <f t="shared" si="22"/>
        <v>864.81999999999994</v>
      </c>
      <c r="I240" s="10">
        <f t="shared" si="23"/>
        <v>3852.38</v>
      </c>
    </row>
    <row r="241" spans="1:9" x14ac:dyDescent="0.25">
      <c r="A241" s="6">
        <v>331</v>
      </c>
      <c r="B241" s="5" t="str">
        <f>VLOOKUP(A241, EmployeeMaster!$A:$D, 3, FALSE)</f>
        <v>Research &amp; Development</v>
      </c>
      <c r="C241" s="8">
        <v>3730</v>
      </c>
      <c r="D241" s="8">
        <f t="shared" si="18"/>
        <v>746</v>
      </c>
      <c r="E241" s="8">
        <f t="shared" si="19"/>
        <v>447.59999999999997</v>
      </c>
      <c r="F241" s="8">
        <f t="shared" si="20"/>
        <v>373</v>
      </c>
      <c r="G241" s="8">
        <f t="shared" si="21"/>
        <v>4476</v>
      </c>
      <c r="H241" s="8">
        <f t="shared" si="22"/>
        <v>820.59999999999991</v>
      </c>
      <c r="I241" s="10">
        <f t="shared" si="23"/>
        <v>3655.4</v>
      </c>
    </row>
    <row r="242" spans="1:9" x14ac:dyDescent="0.25">
      <c r="A242" s="6">
        <v>332</v>
      </c>
      <c r="B242" s="5" t="str">
        <f>VLOOKUP(A242, EmployeeMaster!$A:$D, 3, FALSE)</f>
        <v>Research &amp; Development</v>
      </c>
      <c r="C242" s="8">
        <v>2232</v>
      </c>
      <c r="D242" s="8">
        <f t="shared" si="18"/>
        <v>446.40000000000003</v>
      </c>
      <c r="E242" s="8">
        <f t="shared" si="19"/>
        <v>267.83999999999997</v>
      </c>
      <c r="F242" s="8">
        <f t="shared" si="20"/>
        <v>223.20000000000002</v>
      </c>
      <c r="G242" s="8">
        <f t="shared" si="21"/>
        <v>2678.4</v>
      </c>
      <c r="H242" s="8">
        <f t="shared" si="22"/>
        <v>491.03999999999996</v>
      </c>
      <c r="I242" s="10">
        <f t="shared" si="23"/>
        <v>2187.36</v>
      </c>
    </row>
    <row r="243" spans="1:9" x14ac:dyDescent="0.25">
      <c r="A243" s="6">
        <v>333</v>
      </c>
      <c r="B243" s="5" t="str">
        <f>VLOOKUP(A243, EmployeeMaster!$A:$D, 3, FALSE)</f>
        <v>Sales</v>
      </c>
      <c r="C243" s="8">
        <v>4465</v>
      </c>
      <c r="D243" s="8">
        <f t="shared" si="18"/>
        <v>893</v>
      </c>
      <c r="E243" s="8">
        <f t="shared" si="19"/>
        <v>535.79999999999995</v>
      </c>
      <c r="F243" s="8">
        <f t="shared" si="20"/>
        <v>446.5</v>
      </c>
      <c r="G243" s="8">
        <f t="shared" si="21"/>
        <v>5358</v>
      </c>
      <c r="H243" s="8">
        <f t="shared" si="22"/>
        <v>982.3</v>
      </c>
      <c r="I243" s="10">
        <f t="shared" si="23"/>
        <v>4375.7</v>
      </c>
    </row>
    <row r="244" spans="1:9" x14ac:dyDescent="0.25">
      <c r="A244" s="6">
        <v>334</v>
      </c>
      <c r="B244" s="5" t="str">
        <f>VLOOKUP(A244, EmployeeMaster!$A:$D, 3, FALSE)</f>
        <v>Research &amp; Development</v>
      </c>
      <c r="C244" s="8">
        <v>3072</v>
      </c>
      <c r="D244" s="8">
        <f t="shared" si="18"/>
        <v>614.40000000000009</v>
      </c>
      <c r="E244" s="8">
        <f t="shared" si="19"/>
        <v>368.64</v>
      </c>
      <c r="F244" s="8">
        <f t="shared" si="20"/>
        <v>307.20000000000005</v>
      </c>
      <c r="G244" s="8">
        <f t="shared" si="21"/>
        <v>3686.4</v>
      </c>
      <c r="H244" s="8">
        <f t="shared" si="22"/>
        <v>675.84</v>
      </c>
      <c r="I244" s="10">
        <f t="shared" si="23"/>
        <v>3010.56</v>
      </c>
    </row>
    <row r="245" spans="1:9" x14ac:dyDescent="0.25">
      <c r="A245" s="6">
        <v>335</v>
      </c>
      <c r="B245" s="5" t="str">
        <f>VLOOKUP(A245, EmployeeMaster!$A:$D, 3, FALSE)</f>
        <v>Research &amp; Development</v>
      </c>
      <c r="C245" s="8">
        <v>3319</v>
      </c>
      <c r="D245" s="8">
        <f t="shared" si="18"/>
        <v>663.80000000000007</v>
      </c>
      <c r="E245" s="8">
        <f t="shared" si="19"/>
        <v>398.28</v>
      </c>
      <c r="F245" s="8">
        <f t="shared" si="20"/>
        <v>331.90000000000003</v>
      </c>
      <c r="G245" s="8">
        <f t="shared" si="21"/>
        <v>3982.8</v>
      </c>
      <c r="H245" s="8">
        <f t="shared" si="22"/>
        <v>730.18000000000006</v>
      </c>
      <c r="I245" s="10">
        <f t="shared" si="23"/>
        <v>3252.62</v>
      </c>
    </row>
    <row r="246" spans="1:9" x14ac:dyDescent="0.25">
      <c r="A246" s="6">
        <v>336</v>
      </c>
      <c r="B246" s="5" t="str">
        <f>VLOOKUP(A246, EmployeeMaster!$A:$D, 3, FALSE)</f>
        <v>Research &amp; Development</v>
      </c>
      <c r="C246" s="8">
        <v>19202</v>
      </c>
      <c r="D246" s="8">
        <f t="shared" si="18"/>
        <v>3840.4</v>
      </c>
      <c r="E246" s="8">
        <f t="shared" si="19"/>
        <v>2304.2399999999998</v>
      </c>
      <c r="F246" s="8">
        <f t="shared" si="20"/>
        <v>1920.2</v>
      </c>
      <c r="G246" s="8">
        <f t="shared" si="21"/>
        <v>23042.400000000001</v>
      </c>
      <c r="H246" s="8">
        <f t="shared" si="22"/>
        <v>4224.4399999999996</v>
      </c>
      <c r="I246" s="10">
        <f t="shared" si="23"/>
        <v>18817.960000000003</v>
      </c>
    </row>
    <row r="247" spans="1:9" x14ac:dyDescent="0.25">
      <c r="A247" s="6">
        <v>337</v>
      </c>
      <c r="B247" s="5" t="str">
        <f>VLOOKUP(A247, EmployeeMaster!$A:$D, 3, FALSE)</f>
        <v>Research &amp; Development</v>
      </c>
      <c r="C247" s="8">
        <v>13675</v>
      </c>
      <c r="D247" s="8">
        <f t="shared" si="18"/>
        <v>2735</v>
      </c>
      <c r="E247" s="8">
        <f t="shared" si="19"/>
        <v>1641</v>
      </c>
      <c r="F247" s="8">
        <f t="shared" si="20"/>
        <v>1367.5</v>
      </c>
      <c r="G247" s="8">
        <f t="shared" si="21"/>
        <v>16410</v>
      </c>
      <c r="H247" s="8">
        <f t="shared" si="22"/>
        <v>3008.5</v>
      </c>
      <c r="I247" s="10">
        <f t="shared" si="23"/>
        <v>13401.5</v>
      </c>
    </row>
    <row r="248" spans="1:9" x14ac:dyDescent="0.25">
      <c r="A248" s="6">
        <v>338</v>
      </c>
      <c r="B248" s="5" t="str">
        <f>VLOOKUP(A248, EmployeeMaster!$A:$D, 3, FALSE)</f>
        <v>Research &amp; Development</v>
      </c>
      <c r="C248" s="8">
        <v>2911</v>
      </c>
      <c r="D248" s="8">
        <f t="shared" si="18"/>
        <v>582.20000000000005</v>
      </c>
      <c r="E248" s="8">
        <f t="shared" si="19"/>
        <v>349.32</v>
      </c>
      <c r="F248" s="8">
        <f t="shared" si="20"/>
        <v>291.10000000000002</v>
      </c>
      <c r="G248" s="8">
        <f t="shared" si="21"/>
        <v>3493.2</v>
      </c>
      <c r="H248" s="8">
        <f t="shared" si="22"/>
        <v>640.42000000000007</v>
      </c>
      <c r="I248" s="10">
        <f t="shared" si="23"/>
        <v>2852.7799999999997</v>
      </c>
    </row>
    <row r="249" spans="1:9" x14ac:dyDescent="0.25">
      <c r="A249" s="6">
        <v>339</v>
      </c>
      <c r="B249" s="5" t="str">
        <f>VLOOKUP(A249, EmployeeMaster!$A:$D, 3, FALSE)</f>
        <v>Research &amp; Development</v>
      </c>
      <c r="C249" s="8">
        <v>5957</v>
      </c>
      <c r="D249" s="8">
        <f t="shared" si="18"/>
        <v>1191.4000000000001</v>
      </c>
      <c r="E249" s="8">
        <f t="shared" si="19"/>
        <v>714.83999999999992</v>
      </c>
      <c r="F249" s="8">
        <f t="shared" si="20"/>
        <v>595.70000000000005</v>
      </c>
      <c r="G249" s="8">
        <f t="shared" si="21"/>
        <v>7148.4</v>
      </c>
      <c r="H249" s="8">
        <f t="shared" si="22"/>
        <v>1310.54</v>
      </c>
      <c r="I249" s="10">
        <f t="shared" si="23"/>
        <v>5837.86</v>
      </c>
    </row>
    <row r="250" spans="1:9" x14ac:dyDescent="0.25">
      <c r="A250" s="6">
        <v>340</v>
      </c>
      <c r="B250" s="5" t="str">
        <f>VLOOKUP(A250, EmployeeMaster!$A:$D, 3, FALSE)</f>
        <v>Research &amp; Development</v>
      </c>
      <c r="C250" s="8">
        <v>3920</v>
      </c>
      <c r="D250" s="8">
        <f t="shared" si="18"/>
        <v>784</v>
      </c>
      <c r="E250" s="8">
        <f t="shared" si="19"/>
        <v>470.4</v>
      </c>
      <c r="F250" s="8">
        <f t="shared" si="20"/>
        <v>392</v>
      </c>
      <c r="G250" s="8">
        <f t="shared" si="21"/>
        <v>4704</v>
      </c>
      <c r="H250" s="8">
        <f t="shared" si="22"/>
        <v>862.4</v>
      </c>
      <c r="I250" s="10">
        <f t="shared" si="23"/>
        <v>3841.6</v>
      </c>
    </row>
    <row r="251" spans="1:9" x14ac:dyDescent="0.25">
      <c r="A251" s="6">
        <v>341</v>
      </c>
      <c r="B251" s="5" t="str">
        <f>VLOOKUP(A251, EmployeeMaster!$A:$D, 3, FALSE)</f>
        <v>Research &amp; Development</v>
      </c>
      <c r="C251" s="8">
        <v>6434</v>
      </c>
      <c r="D251" s="8">
        <f t="shared" si="18"/>
        <v>1286.8000000000002</v>
      </c>
      <c r="E251" s="8">
        <f t="shared" si="19"/>
        <v>772.07999999999993</v>
      </c>
      <c r="F251" s="8">
        <f t="shared" si="20"/>
        <v>643.40000000000009</v>
      </c>
      <c r="G251" s="8">
        <f t="shared" si="21"/>
        <v>7720.8</v>
      </c>
      <c r="H251" s="8">
        <f t="shared" si="22"/>
        <v>1415.48</v>
      </c>
      <c r="I251" s="10">
        <f t="shared" si="23"/>
        <v>6305.32</v>
      </c>
    </row>
    <row r="252" spans="1:9" x14ac:dyDescent="0.25">
      <c r="A252" s="6">
        <v>342</v>
      </c>
      <c r="B252" s="5" t="str">
        <f>VLOOKUP(A252, EmployeeMaster!$A:$D, 3, FALSE)</f>
        <v>Research &amp; Development</v>
      </c>
      <c r="C252" s="8">
        <v>10048</v>
      </c>
      <c r="D252" s="8">
        <f t="shared" si="18"/>
        <v>2009.6000000000001</v>
      </c>
      <c r="E252" s="8">
        <f t="shared" si="19"/>
        <v>1205.76</v>
      </c>
      <c r="F252" s="8">
        <f t="shared" si="20"/>
        <v>1004.8000000000001</v>
      </c>
      <c r="G252" s="8">
        <f t="shared" si="21"/>
        <v>12057.6</v>
      </c>
      <c r="H252" s="8">
        <f t="shared" si="22"/>
        <v>2210.56</v>
      </c>
      <c r="I252" s="10">
        <f t="shared" si="23"/>
        <v>9847.0400000000009</v>
      </c>
    </row>
    <row r="253" spans="1:9" x14ac:dyDescent="0.25">
      <c r="A253" s="6">
        <v>343</v>
      </c>
      <c r="B253" s="5" t="str">
        <f>VLOOKUP(A253, EmployeeMaster!$A:$D, 3, FALSE)</f>
        <v>Research &amp; Development</v>
      </c>
      <c r="C253" s="8">
        <v>10938</v>
      </c>
      <c r="D253" s="8">
        <f t="shared" si="18"/>
        <v>2187.6</v>
      </c>
      <c r="E253" s="8">
        <f t="shared" si="19"/>
        <v>1312.56</v>
      </c>
      <c r="F253" s="8">
        <f t="shared" si="20"/>
        <v>1093.8</v>
      </c>
      <c r="G253" s="8">
        <f t="shared" si="21"/>
        <v>13125.6</v>
      </c>
      <c r="H253" s="8">
        <f t="shared" si="22"/>
        <v>2406.3599999999997</v>
      </c>
      <c r="I253" s="10">
        <f t="shared" si="23"/>
        <v>10719.240000000002</v>
      </c>
    </row>
    <row r="254" spans="1:9" x14ac:dyDescent="0.25">
      <c r="A254" s="6">
        <v>346</v>
      </c>
      <c r="B254" s="5" t="str">
        <f>VLOOKUP(A254, EmployeeMaster!$A:$D, 3, FALSE)</f>
        <v>Research &amp; Development</v>
      </c>
      <c r="C254" s="8">
        <v>2340</v>
      </c>
      <c r="D254" s="8">
        <f t="shared" si="18"/>
        <v>468</v>
      </c>
      <c r="E254" s="8">
        <f t="shared" si="19"/>
        <v>280.8</v>
      </c>
      <c r="F254" s="8">
        <f t="shared" si="20"/>
        <v>234</v>
      </c>
      <c r="G254" s="8">
        <f t="shared" si="21"/>
        <v>2808</v>
      </c>
      <c r="H254" s="8">
        <f t="shared" si="22"/>
        <v>514.79999999999995</v>
      </c>
      <c r="I254" s="10">
        <f t="shared" si="23"/>
        <v>2293.1999999999998</v>
      </c>
    </row>
    <row r="255" spans="1:9" x14ac:dyDescent="0.25">
      <c r="A255" s="6">
        <v>347</v>
      </c>
      <c r="B255" s="5" t="str">
        <f>VLOOKUP(A255, EmployeeMaster!$A:$D, 3, FALSE)</f>
        <v>Research &amp; Development</v>
      </c>
      <c r="C255" s="8">
        <v>6545</v>
      </c>
      <c r="D255" s="8">
        <f t="shared" si="18"/>
        <v>1309</v>
      </c>
      <c r="E255" s="8">
        <f t="shared" si="19"/>
        <v>785.4</v>
      </c>
      <c r="F255" s="8">
        <f t="shared" si="20"/>
        <v>654.5</v>
      </c>
      <c r="G255" s="8">
        <f t="shared" si="21"/>
        <v>7854</v>
      </c>
      <c r="H255" s="8">
        <f t="shared" si="22"/>
        <v>1439.9</v>
      </c>
      <c r="I255" s="10">
        <f t="shared" si="23"/>
        <v>6414.1</v>
      </c>
    </row>
    <row r="256" spans="1:9" x14ac:dyDescent="0.25">
      <c r="A256" s="6">
        <v>349</v>
      </c>
      <c r="B256" s="5" t="str">
        <f>VLOOKUP(A256, EmployeeMaster!$A:$D, 3, FALSE)</f>
        <v>Sales</v>
      </c>
      <c r="C256" s="8">
        <v>6931</v>
      </c>
      <c r="D256" s="8">
        <f t="shared" si="18"/>
        <v>1386.2</v>
      </c>
      <c r="E256" s="8">
        <f t="shared" si="19"/>
        <v>831.71999999999991</v>
      </c>
      <c r="F256" s="8">
        <f t="shared" si="20"/>
        <v>693.1</v>
      </c>
      <c r="G256" s="8">
        <f t="shared" si="21"/>
        <v>8317.2000000000007</v>
      </c>
      <c r="H256" s="8">
        <f t="shared" si="22"/>
        <v>1524.82</v>
      </c>
      <c r="I256" s="10">
        <f t="shared" si="23"/>
        <v>6792.380000000001</v>
      </c>
    </row>
    <row r="257" spans="1:9" x14ac:dyDescent="0.25">
      <c r="A257" s="6">
        <v>350</v>
      </c>
      <c r="B257" s="5" t="str">
        <f>VLOOKUP(A257, EmployeeMaster!$A:$D, 3, FALSE)</f>
        <v>Research &amp; Development</v>
      </c>
      <c r="C257" s="8">
        <v>4898</v>
      </c>
      <c r="D257" s="8">
        <f t="shared" si="18"/>
        <v>979.6</v>
      </c>
      <c r="E257" s="8">
        <f t="shared" si="19"/>
        <v>587.76</v>
      </c>
      <c r="F257" s="8">
        <f t="shared" si="20"/>
        <v>489.8</v>
      </c>
      <c r="G257" s="8">
        <f t="shared" si="21"/>
        <v>5877.6</v>
      </c>
      <c r="H257" s="8">
        <f t="shared" si="22"/>
        <v>1077.56</v>
      </c>
      <c r="I257" s="10">
        <f t="shared" si="23"/>
        <v>4800.0400000000009</v>
      </c>
    </row>
    <row r="258" spans="1:9" x14ac:dyDescent="0.25">
      <c r="A258" s="6">
        <v>351</v>
      </c>
      <c r="B258" s="5" t="str">
        <f>VLOOKUP(A258, EmployeeMaster!$A:$D, 3, FALSE)</f>
        <v>Research &amp; Development</v>
      </c>
      <c r="C258" s="8">
        <v>2593</v>
      </c>
      <c r="D258" s="8">
        <f t="shared" si="18"/>
        <v>518.6</v>
      </c>
      <c r="E258" s="8">
        <f t="shared" si="19"/>
        <v>311.15999999999997</v>
      </c>
      <c r="F258" s="8">
        <f t="shared" si="20"/>
        <v>259.3</v>
      </c>
      <c r="G258" s="8">
        <f t="shared" si="21"/>
        <v>3111.6</v>
      </c>
      <c r="H258" s="8">
        <f t="shared" si="22"/>
        <v>570.46</v>
      </c>
      <c r="I258" s="10">
        <f t="shared" si="23"/>
        <v>2541.14</v>
      </c>
    </row>
    <row r="259" spans="1:9" x14ac:dyDescent="0.25">
      <c r="A259" s="6">
        <v>352</v>
      </c>
      <c r="B259" s="5" t="str">
        <f>VLOOKUP(A259, EmployeeMaster!$A:$D, 3, FALSE)</f>
        <v>Research &amp; Development</v>
      </c>
      <c r="C259" s="8">
        <v>19436</v>
      </c>
      <c r="D259" s="8">
        <f t="shared" ref="D259:D322" si="24">C259*20%</f>
        <v>3887.2000000000003</v>
      </c>
      <c r="E259" s="8">
        <f t="shared" ref="E259:E322" si="25">C259*12%</f>
        <v>2332.3199999999997</v>
      </c>
      <c r="F259" s="8">
        <f t="shared" ref="F259:F322" si="26">C259*10%</f>
        <v>1943.6000000000001</v>
      </c>
      <c r="G259" s="8">
        <f t="shared" ref="G259:G322" si="27">C259+D259</f>
        <v>23323.200000000001</v>
      </c>
      <c r="H259" s="8">
        <f t="shared" ref="H259:H322" si="28">E259+F259</f>
        <v>4275.92</v>
      </c>
      <c r="I259" s="10">
        <f t="shared" ref="I259:I322" si="29">G259-H259</f>
        <v>19047.28</v>
      </c>
    </row>
    <row r="260" spans="1:9" x14ac:dyDescent="0.25">
      <c r="A260" s="6">
        <v>353</v>
      </c>
      <c r="B260" s="5" t="str">
        <f>VLOOKUP(A260, EmployeeMaster!$A:$D, 3, FALSE)</f>
        <v>Research &amp; Development</v>
      </c>
      <c r="C260" s="8">
        <v>2723</v>
      </c>
      <c r="D260" s="8">
        <f t="shared" si="24"/>
        <v>544.6</v>
      </c>
      <c r="E260" s="8">
        <f t="shared" si="25"/>
        <v>326.76</v>
      </c>
      <c r="F260" s="8">
        <f t="shared" si="26"/>
        <v>272.3</v>
      </c>
      <c r="G260" s="8">
        <f t="shared" si="27"/>
        <v>3267.6</v>
      </c>
      <c r="H260" s="8">
        <f t="shared" si="28"/>
        <v>599.05999999999995</v>
      </c>
      <c r="I260" s="10">
        <f t="shared" si="29"/>
        <v>2668.54</v>
      </c>
    </row>
    <row r="261" spans="1:9" x14ac:dyDescent="0.25">
      <c r="A261" s="6">
        <v>355</v>
      </c>
      <c r="B261" s="5" t="str">
        <f>VLOOKUP(A261, EmployeeMaster!$A:$D, 3, FALSE)</f>
        <v>Research &amp; Development</v>
      </c>
      <c r="C261" s="8">
        <v>3479</v>
      </c>
      <c r="D261" s="8">
        <f t="shared" si="24"/>
        <v>695.80000000000007</v>
      </c>
      <c r="E261" s="8">
        <f t="shared" si="25"/>
        <v>417.47999999999996</v>
      </c>
      <c r="F261" s="8">
        <f t="shared" si="26"/>
        <v>347.90000000000003</v>
      </c>
      <c r="G261" s="8">
        <f t="shared" si="27"/>
        <v>4174.8</v>
      </c>
      <c r="H261" s="8">
        <f t="shared" si="28"/>
        <v>765.38</v>
      </c>
      <c r="I261" s="10">
        <f t="shared" si="29"/>
        <v>3409.42</v>
      </c>
    </row>
    <row r="262" spans="1:9" x14ac:dyDescent="0.25">
      <c r="A262" s="6">
        <v>359</v>
      </c>
      <c r="B262" s="5" t="str">
        <f>VLOOKUP(A262, EmployeeMaster!$A:$D, 3, FALSE)</f>
        <v>Research &amp; Development</v>
      </c>
      <c r="C262" s="8">
        <v>2794</v>
      </c>
      <c r="D262" s="8">
        <f t="shared" si="24"/>
        <v>558.80000000000007</v>
      </c>
      <c r="E262" s="8">
        <f t="shared" si="25"/>
        <v>335.28</v>
      </c>
      <c r="F262" s="8">
        <f t="shared" si="26"/>
        <v>279.40000000000003</v>
      </c>
      <c r="G262" s="8">
        <f t="shared" si="27"/>
        <v>3352.8</v>
      </c>
      <c r="H262" s="8">
        <f t="shared" si="28"/>
        <v>614.68000000000006</v>
      </c>
      <c r="I262" s="10">
        <f t="shared" si="29"/>
        <v>2738.12</v>
      </c>
    </row>
    <row r="263" spans="1:9" x14ac:dyDescent="0.25">
      <c r="A263" s="6">
        <v>361</v>
      </c>
      <c r="B263" s="5" t="str">
        <f>VLOOKUP(A263, EmployeeMaster!$A:$D, 3, FALSE)</f>
        <v>Sales</v>
      </c>
      <c r="C263" s="8">
        <v>5249</v>
      </c>
      <c r="D263" s="8">
        <f t="shared" si="24"/>
        <v>1049.8</v>
      </c>
      <c r="E263" s="8">
        <f t="shared" si="25"/>
        <v>629.88</v>
      </c>
      <c r="F263" s="8">
        <f t="shared" si="26"/>
        <v>524.9</v>
      </c>
      <c r="G263" s="8">
        <f t="shared" si="27"/>
        <v>6298.8</v>
      </c>
      <c r="H263" s="8">
        <f t="shared" si="28"/>
        <v>1154.78</v>
      </c>
      <c r="I263" s="10">
        <f t="shared" si="29"/>
        <v>5144.0200000000004</v>
      </c>
    </row>
    <row r="264" spans="1:9" x14ac:dyDescent="0.25">
      <c r="A264" s="6">
        <v>362</v>
      </c>
      <c r="B264" s="5" t="str">
        <f>VLOOKUP(A264, EmployeeMaster!$A:$D, 3, FALSE)</f>
        <v>Research &amp; Development</v>
      </c>
      <c r="C264" s="8">
        <v>2176</v>
      </c>
      <c r="D264" s="8">
        <f t="shared" si="24"/>
        <v>435.20000000000005</v>
      </c>
      <c r="E264" s="8">
        <f t="shared" si="25"/>
        <v>261.12</v>
      </c>
      <c r="F264" s="8">
        <f t="shared" si="26"/>
        <v>217.60000000000002</v>
      </c>
      <c r="G264" s="8">
        <f t="shared" si="27"/>
        <v>2611.1999999999998</v>
      </c>
      <c r="H264" s="8">
        <f t="shared" si="28"/>
        <v>478.72</v>
      </c>
      <c r="I264" s="10">
        <f t="shared" si="29"/>
        <v>2132.4799999999996</v>
      </c>
    </row>
    <row r="265" spans="1:9" x14ac:dyDescent="0.25">
      <c r="A265" s="6">
        <v>363</v>
      </c>
      <c r="B265" s="5" t="str">
        <f>VLOOKUP(A265, EmployeeMaster!$A:$D, 3, FALSE)</f>
        <v>Sales</v>
      </c>
      <c r="C265" s="8">
        <v>16872</v>
      </c>
      <c r="D265" s="8">
        <f t="shared" si="24"/>
        <v>3374.4</v>
      </c>
      <c r="E265" s="8">
        <f t="shared" si="25"/>
        <v>2024.6399999999999</v>
      </c>
      <c r="F265" s="8">
        <f t="shared" si="26"/>
        <v>1687.2</v>
      </c>
      <c r="G265" s="8">
        <f t="shared" si="27"/>
        <v>20246.400000000001</v>
      </c>
      <c r="H265" s="8">
        <f t="shared" si="28"/>
        <v>3711.84</v>
      </c>
      <c r="I265" s="10">
        <f t="shared" si="29"/>
        <v>16534.560000000001</v>
      </c>
    </row>
    <row r="266" spans="1:9" x14ac:dyDescent="0.25">
      <c r="A266" s="6">
        <v>364</v>
      </c>
      <c r="B266" s="5" t="str">
        <f>VLOOKUP(A266, EmployeeMaster!$A:$D, 3, FALSE)</f>
        <v>Research &amp; Development</v>
      </c>
      <c r="C266" s="8">
        <v>3485</v>
      </c>
      <c r="D266" s="8">
        <f t="shared" si="24"/>
        <v>697</v>
      </c>
      <c r="E266" s="8">
        <f t="shared" si="25"/>
        <v>418.2</v>
      </c>
      <c r="F266" s="8">
        <f t="shared" si="26"/>
        <v>348.5</v>
      </c>
      <c r="G266" s="8">
        <f t="shared" si="27"/>
        <v>4182</v>
      </c>
      <c r="H266" s="8">
        <f t="shared" si="28"/>
        <v>766.7</v>
      </c>
      <c r="I266" s="10">
        <f t="shared" si="29"/>
        <v>3415.3</v>
      </c>
    </row>
    <row r="267" spans="1:9" x14ac:dyDescent="0.25">
      <c r="A267" s="6">
        <v>366</v>
      </c>
      <c r="B267" s="5" t="str">
        <f>VLOOKUP(A267, EmployeeMaster!$A:$D, 3, FALSE)</f>
        <v>Sales</v>
      </c>
      <c r="C267" s="8">
        <v>6644</v>
      </c>
      <c r="D267" s="8">
        <f t="shared" si="24"/>
        <v>1328.8000000000002</v>
      </c>
      <c r="E267" s="8">
        <f t="shared" si="25"/>
        <v>797.28</v>
      </c>
      <c r="F267" s="8">
        <f t="shared" si="26"/>
        <v>664.40000000000009</v>
      </c>
      <c r="G267" s="8">
        <f t="shared" si="27"/>
        <v>7972.8</v>
      </c>
      <c r="H267" s="8">
        <f t="shared" si="28"/>
        <v>1461.68</v>
      </c>
      <c r="I267" s="10">
        <f t="shared" si="29"/>
        <v>6511.12</v>
      </c>
    </row>
    <row r="268" spans="1:9" x14ac:dyDescent="0.25">
      <c r="A268" s="6">
        <v>367</v>
      </c>
      <c r="B268" s="5" t="str">
        <f>VLOOKUP(A268, EmployeeMaster!$A:$D, 3, FALSE)</f>
        <v>Research &amp; Development</v>
      </c>
      <c r="C268" s="8">
        <v>5582</v>
      </c>
      <c r="D268" s="8">
        <f t="shared" si="24"/>
        <v>1116.4000000000001</v>
      </c>
      <c r="E268" s="8">
        <f t="shared" si="25"/>
        <v>669.84</v>
      </c>
      <c r="F268" s="8">
        <f t="shared" si="26"/>
        <v>558.20000000000005</v>
      </c>
      <c r="G268" s="8">
        <f t="shared" si="27"/>
        <v>6698.4</v>
      </c>
      <c r="H268" s="8">
        <f t="shared" si="28"/>
        <v>1228.04</v>
      </c>
      <c r="I268" s="10">
        <f t="shared" si="29"/>
        <v>5470.36</v>
      </c>
    </row>
    <row r="269" spans="1:9" x14ac:dyDescent="0.25">
      <c r="A269" s="6">
        <v>369</v>
      </c>
      <c r="B269" s="5" t="str">
        <f>VLOOKUP(A269, EmployeeMaster!$A:$D, 3, FALSE)</f>
        <v>Research &amp; Development</v>
      </c>
      <c r="C269" s="8">
        <v>4000</v>
      </c>
      <c r="D269" s="8">
        <f t="shared" si="24"/>
        <v>800</v>
      </c>
      <c r="E269" s="8">
        <f t="shared" si="25"/>
        <v>480</v>
      </c>
      <c r="F269" s="8">
        <f t="shared" si="26"/>
        <v>400</v>
      </c>
      <c r="G269" s="8">
        <f t="shared" si="27"/>
        <v>4800</v>
      </c>
      <c r="H269" s="8">
        <f t="shared" si="28"/>
        <v>880</v>
      </c>
      <c r="I269" s="10">
        <f t="shared" si="29"/>
        <v>3920</v>
      </c>
    </row>
    <row r="270" spans="1:9" x14ac:dyDescent="0.25">
      <c r="A270" s="6">
        <v>372</v>
      </c>
      <c r="B270" s="5" t="str">
        <f>VLOOKUP(A270, EmployeeMaster!$A:$D, 3, FALSE)</f>
        <v>Research &amp; Development</v>
      </c>
      <c r="C270" s="8">
        <v>13496</v>
      </c>
      <c r="D270" s="8">
        <f t="shared" si="24"/>
        <v>2699.2000000000003</v>
      </c>
      <c r="E270" s="8">
        <f t="shared" si="25"/>
        <v>1619.52</v>
      </c>
      <c r="F270" s="8">
        <f t="shared" si="26"/>
        <v>1349.6000000000001</v>
      </c>
      <c r="G270" s="8">
        <f t="shared" si="27"/>
        <v>16195.2</v>
      </c>
      <c r="H270" s="8">
        <f t="shared" si="28"/>
        <v>2969.12</v>
      </c>
      <c r="I270" s="10">
        <f t="shared" si="29"/>
        <v>13226.080000000002</v>
      </c>
    </row>
    <row r="271" spans="1:9" x14ac:dyDescent="0.25">
      <c r="A271" s="6">
        <v>373</v>
      </c>
      <c r="B271" s="5" t="str">
        <f>VLOOKUP(A271, EmployeeMaster!$A:$D, 3, FALSE)</f>
        <v>Research &amp; Development</v>
      </c>
      <c r="C271" s="8">
        <v>3210</v>
      </c>
      <c r="D271" s="8">
        <f t="shared" si="24"/>
        <v>642</v>
      </c>
      <c r="E271" s="8">
        <f t="shared" si="25"/>
        <v>385.2</v>
      </c>
      <c r="F271" s="8">
        <f t="shared" si="26"/>
        <v>321</v>
      </c>
      <c r="G271" s="8">
        <f t="shared" si="27"/>
        <v>3852</v>
      </c>
      <c r="H271" s="8">
        <f t="shared" si="28"/>
        <v>706.2</v>
      </c>
      <c r="I271" s="10">
        <f t="shared" si="29"/>
        <v>3145.8</v>
      </c>
    </row>
    <row r="272" spans="1:9" x14ac:dyDescent="0.25">
      <c r="A272" s="6">
        <v>374</v>
      </c>
      <c r="B272" s="5" t="str">
        <f>VLOOKUP(A272, EmployeeMaster!$A:$D, 3, FALSE)</f>
        <v>Research &amp; Development</v>
      </c>
      <c r="C272" s="8">
        <v>19045</v>
      </c>
      <c r="D272" s="8">
        <f t="shared" si="24"/>
        <v>3809</v>
      </c>
      <c r="E272" s="8">
        <f t="shared" si="25"/>
        <v>2285.4</v>
      </c>
      <c r="F272" s="8">
        <f t="shared" si="26"/>
        <v>1904.5</v>
      </c>
      <c r="G272" s="8">
        <f t="shared" si="27"/>
        <v>22854</v>
      </c>
      <c r="H272" s="8">
        <f t="shared" si="28"/>
        <v>4189.8999999999996</v>
      </c>
      <c r="I272" s="10">
        <f t="shared" si="29"/>
        <v>18664.099999999999</v>
      </c>
    </row>
    <row r="273" spans="1:9" x14ac:dyDescent="0.25">
      <c r="A273" s="6">
        <v>376</v>
      </c>
      <c r="B273" s="5" t="str">
        <f>VLOOKUP(A273, EmployeeMaster!$A:$D, 3, FALSE)</f>
        <v>Research &amp; Development</v>
      </c>
      <c r="C273" s="8">
        <v>11849</v>
      </c>
      <c r="D273" s="8">
        <f t="shared" si="24"/>
        <v>2369.8000000000002</v>
      </c>
      <c r="E273" s="8">
        <f t="shared" si="25"/>
        <v>1421.8799999999999</v>
      </c>
      <c r="F273" s="8">
        <f t="shared" si="26"/>
        <v>1184.9000000000001</v>
      </c>
      <c r="G273" s="8">
        <f t="shared" si="27"/>
        <v>14218.8</v>
      </c>
      <c r="H273" s="8">
        <f t="shared" si="28"/>
        <v>2606.7799999999997</v>
      </c>
      <c r="I273" s="10">
        <f t="shared" si="29"/>
        <v>11612.02</v>
      </c>
    </row>
    <row r="274" spans="1:9" x14ac:dyDescent="0.25">
      <c r="A274" s="6">
        <v>377</v>
      </c>
      <c r="B274" s="5" t="str">
        <f>VLOOKUP(A274, EmployeeMaster!$A:$D, 3, FALSE)</f>
        <v>Research &amp; Development</v>
      </c>
      <c r="C274" s="8">
        <v>2070</v>
      </c>
      <c r="D274" s="8">
        <f t="shared" si="24"/>
        <v>414</v>
      </c>
      <c r="E274" s="8">
        <f t="shared" si="25"/>
        <v>248.39999999999998</v>
      </c>
      <c r="F274" s="8">
        <f t="shared" si="26"/>
        <v>207</v>
      </c>
      <c r="G274" s="8">
        <f t="shared" si="27"/>
        <v>2484</v>
      </c>
      <c r="H274" s="8">
        <f t="shared" si="28"/>
        <v>455.4</v>
      </c>
      <c r="I274" s="10">
        <f t="shared" si="29"/>
        <v>2028.6</v>
      </c>
    </row>
    <row r="275" spans="1:9" x14ac:dyDescent="0.25">
      <c r="A275" s="6">
        <v>378</v>
      </c>
      <c r="B275" s="5" t="str">
        <f>VLOOKUP(A275, EmployeeMaster!$A:$D, 3, FALSE)</f>
        <v>Sales</v>
      </c>
      <c r="C275" s="8">
        <v>6502</v>
      </c>
      <c r="D275" s="8">
        <f t="shared" si="24"/>
        <v>1300.4000000000001</v>
      </c>
      <c r="E275" s="8">
        <f t="shared" si="25"/>
        <v>780.24</v>
      </c>
      <c r="F275" s="8">
        <f t="shared" si="26"/>
        <v>650.20000000000005</v>
      </c>
      <c r="G275" s="8">
        <f t="shared" si="27"/>
        <v>7802.4</v>
      </c>
      <c r="H275" s="8">
        <f t="shared" si="28"/>
        <v>1430.44</v>
      </c>
      <c r="I275" s="10">
        <f t="shared" si="29"/>
        <v>6371.9599999999991</v>
      </c>
    </row>
    <row r="276" spans="1:9" x14ac:dyDescent="0.25">
      <c r="A276" s="6">
        <v>379</v>
      </c>
      <c r="B276" s="5" t="str">
        <f>VLOOKUP(A276, EmployeeMaster!$A:$D, 3, FALSE)</f>
        <v>Research &amp; Development</v>
      </c>
      <c r="C276" s="8">
        <v>3230</v>
      </c>
      <c r="D276" s="8">
        <f t="shared" si="24"/>
        <v>646</v>
      </c>
      <c r="E276" s="8">
        <f t="shared" si="25"/>
        <v>387.59999999999997</v>
      </c>
      <c r="F276" s="8">
        <f t="shared" si="26"/>
        <v>323</v>
      </c>
      <c r="G276" s="8">
        <f t="shared" si="27"/>
        <v>3876</v>
      </c>
      <c r="H276" s="8">
        <f t="shared" si="28"/>
        <v>710.59999999999991</v>
      </c>
      <c r="I276" s="10">
        <f t="shared" si="29"/>
        <v>3165.4</v>
      </c>
    </row>
    <row r="277" spans="1:9" x14ac:dyDescent="0.25">
      <c r="A277" s="6">
        <v>380</v>
      </c>
      <c r="B277" s="5" t="str">
        <f>VLOOKUP(A277, EmployeeMaster!$A:$D, 3, FALSE)</f>
        <v>Research &amp; Development</v>
      </c>
      <c r="C277" s="8">
        <v>13603</v>
      </c>
      <c r="D277" s="8">
        <f t="shared" si="24"/>
        <v>2720.6000000000004</v>
      </c>
      <c r="E277" s="8">
        <f t="shared" si="25"/>
        <v>1632.36</v>
      </c>
      <c r="F277" s="8">
        <f t="shared" si="26"/>
        <v>1360.3000000000002</v>
      </c>
      <c r="G277" s="8">
        <f t="shared" si="27"/>
        <v>16323.6</v>
      </c>
      <c r="H277" s="8">
        <f t="shared" si="28"/>
        <v>2992.66</v>
      </c>
      <c r="I277" s="10">
        <f t="shared" si="29"/>
        <v>13330.94</v>
      </c>
    </row>
    <row r="278" spans="1:9" x14ac:dyDescent="0.25">
      <c r="A278" s="6">
        <v>381</v>
      </c>
      <c r="B278" s="5" t="str">
        <f>VLOOKUP(A278, EmployeeMaster!$A:$D, 3, FALSE)</f>
        <v>Research &amp; Development</v>
      </c>
      <c r="C278" s="8">
        <v>11996</v>
      </c>
      <c r="D278" s="8">
        <f t="shared" si="24"/>
        <v>2399.2000000000003</v>
      </c>
      <c r="E278" s="8">
        <f t="shared" si="25"/>
        <v>1439.52</v>
      </c>
      <c r="F278" s="8">
        <f t="shared" si="26"/>
        <v>1199.6000000000001</v>
      </c>
      <c r="G278" s="8">
        <f t="shared" si="27"/>
        <v>14395.2</v>
      </c>
      <c r="H278" s="8">
        <f t="shared" si="28"/>
        <v>2639.12</v>
      </c>
      <c r="I278" s="10">
        <f t="shared" si="29"/>
        <v>11756.080000000002</v>
      </c>
    </row>
    <row r="279" spans="1:9" x14ac:dyDescent="0.25">
      <c r="A279" s="6">
        <v>382</v>
      </c>
      <c r="B279" s="5" t="str">
        <f>VLOOKUP(A279, EmployeeMaster!$A:$D, 3, FALSE)</f>
        <v>Sales</v>
      </c>
      <c r="C279" s="8">
        <v>5605</v>
      </c>
      <c r="D279" s="8">
        <f t="shared" si="24"/>
        <v>1121</v>
      </c>
      <c r="E279" s="8">
        <f t="shared" si="25"/>
        <v>672.6</v>
      </c>
      <c r="F279" s="8">
        <f t="shared" si="26"/>
        <v>560.5</v>
      </c>
      <c r="G279" s="8">
        <f t="shared" si="27"/>
        <v>6726</v>
      </c>
      <c r="H279" s="8">
        <f t="shared" si="28"/>
        <v>1233.0999999999999</v>
      </c>
      <c r="I279" s="10">
        <f t="shared" si="29"/>
        <v>5492.9</v>
      </c>
    </row>
    <row r="280" spans="1:9" x14ac:dyDescent="0.25">
      <c r="A280" s="6">
        <v>384</v>
      </c>
      <c r="B280" s="5" t="str">
        <f>VLOOKUP(A280, EmployeeMaster!$A:$D, 3, FALSE)</f>
        <v>Research &amp; Development</v>
      </c>
      <c r="C280" s="8">
        <v>6397</v>
      </c>
      <c r="D280" s="8">
        <f t="shared" si="24"/>
        <v>1279.4000000000001</v>
      </c>
      <c r="E280" s="8">
        <f t="shared" si="25"/>
        <v>767.64</v>
      </c>
      <c r="F280" s="8">
        <f t="shared" si="26"/>
        <v>639.70000000000005</v>
      </c>
      <c r="G280" s="8">
        <f t="shared" si="27"/>
        <v>7676.4</v>
      </c>
      <c r="H280" s="8">
        <f t="shared" si="28"/>
        <v>1407.3400000000001</v>
      </c>
      <c r="I280" s="10">
        <f t="shared" si="29"/>
        <v>6269.0599999999995</v>
      </c>
    </row>
    <row r="281" spans="1:9" x14ac:dyDescent="0.25">
      <c r="A281" s="6">
        <v>385</v>
      </c>
      <c r="B281" s="5" t="str">
        <f>VLOOKUP(A281, EmployeeMaster!$A:$D, 3, FALSE)</f>
        <v>Research &amp; Development</v>
      </c>
      <c r="C281" s="8">
        <v>19144</v>
      </c>
      <c r="D281" s="8">
        <f t="shared" si="24"/>
        <v>3828.8</v>
      </c>
      <c r="E281" s="8">
        <f t="shared" si="25"/>
        <v>2297.2799999999997</v>
      </c>
      <c r="F281" s="8">
        <f t="shared" si="26"/>
        <v>1914.4</v>
      </c>
      <c r="G281" s="8">
        <f t="shared" si="27"/>
        <v>22972.799999999999</v>
      </c>
      <c r="H281" s="8">
        <f t="shared" si="28"/>
        <v>4211.68</v>
      </c>
      <c r="I281" s="10">
        <f t="shared" si="29"/>
        <v>18761.12</v>
      </c>
    </row>
    <row r="282" spans="1:9" x14ac:dyDescent="0.25">
      <c r="A282" s="6">
        <v>386</v>
      </c>
      <c r="B282" s="5" t="str">
        <f>VLOOKUP(A282, EmployeeMaster!$A:$D, 3, FALSE)</f>
        <v>Research &amp; Development</v>
      </c>
      <c r="C282" s="8">
        <v>17584</v>
      </c>
      <c r="D282" s="8">
        <f t="shared" si="24"/>
        <v>3516.8</v>
      </c>
      <c r="E282" s="8">
        <f t="shared" si="25"/>
        <v>2110.08</v>
      </c>
      <c r="F282" s="8">
        <f t="shared" si="26"/>
        <v>1758.4</v>
      </c>
      <c r="G282" s="8">
        <f t="shared" si="27"/>
        <v>21100.799999999999</v>
      </c>
      <c r="H282" s="8">
        <f t="shared" si="28"/>
        <v>3868.48</v>
      </c>
      <c r="I282" s="10">
        <f t="shared" si="29"/>
        <v>17232.32</v>
      </c>
    </row>
    <row r="283" spans="1:9" x14ac:dyDescent="0.25">
      <c r="A283" s="6">
        <v>387</v>
      </c>
      <c r="B283" s="5" t="str">
        <f>VLOOKUP(A283, EmployeeMaster!$A:$D, 3, FALSE)</f>
        <v>Sales</v>
      </c>
      <c r="C283" s="8">
        <v>4907</v>
      </c>
      <c r="D283" s="8">
        <f t="shared" si="24"/>
        <v>981.40000000000009</v>
      </c>
      <c r="E283" s="8">
        <f t="shared" si="25"/>
        <v>588.84</v>
      </c>
      <c r="F283" s="8">
        <f t="shared" si="26"/>
        <v>490.70000000000005</v>
      </c>
      <c r="G283" s="8">
        <f t="shared" si="27"/>
        <v>5888.4</v>
      </c>
      <c r="H283" s="8">
        <f t="shared" si="28"/>
        <v>1079.54</v>
      </c>
      <c r="I283" s="10">
        <f t="shared" si="29"/>
        <v>4808.8599999999997</v>
      </c>
    </row>
    <row r="284" spans="1:9" x14ac:dyDescent="0.25">
      <c r="A284" s="6">
        <v>388</v>
      </c>
      <c r="B284" s="5" t="str">
        <f>VLOOKUP(A284, EmployeeMaster!$A:$D, 3, FALSE)</f>
        <v>Sales</v>
      </c>
      <c r="C284" s="8">
        <v>4554</v>
      </c>
      <c r="D284" s="8">
        <f t="shared" si="24"/>
        <v>910.80000000000007</v>
      </c>
      <c r="E284" s="8">
        <f t="shared" si="25"/>
        <v>546.48</v>
      </c>
      <c r="F284" s="8">
        <f t="shared" si="26"/>
        <v>455.40000000000003</v>
      </c>
      <c r="G284" s="8">
        <f t="shared" si="27"/>
        <v>5464.8</v>
      </c>
      <c r="H284" s="8">
        <f t="shared" si="28"/>
        <v>1001.8800000000001</v>
      </c>
      <c r="I284" s="10">
        <f t="shared" si="29"/>
        <v>4462.92</v>
      </c>
    </row>
    <row r="285" spans="1:9" x14ac:dyDescent="0.25">
      <c r="A285" s="6">
        <v>389</v>
      </c>
      <c r="B285" s="5" t="str">
        <f>VLOOKUP(A285, EmployeeMaster!$A:$D, 3, FALSE)</f>
        <v>Research &amp; Development</v>
      </c>
      <c r="C285" s="8">
        <v>5415</v>
      </c>
      <c r="D285" s="8">
        <f t="shared" si="24"/>
        <v>1083</v>
      </c>
      <c r="E285" s="8">
        <f t="shared" si="25"/>
        <v>649.79999999999995</v>
      </c>
      <c r="F285" s="8">
        <f t="shared" si="26"/>
        <v>541.5</v>
      </c>
      <c r="G285" s="8">
        <f t="shared" si="27"/>
        <v>6498</v>
      </c>
      <c r="H285" s="8">
        <f t="shared" si="28"/>
        <v>1191.3</v>
      </c>
      <c r="I285" s="10">
        <f t="shared" si="29"/>
        <v>5306.7</v>
      </c>
    </row>
    <row r="286" spans="1:9" x14ac:dyDescent="0.25">
      <c r="A286" s="6">
        <v>390</v>
      </c>
      <c r="B286" s="5" t="str">
        <f>VLOOKUP(A286, EmployeeMaster!$A:$D, 3, FALSE)</f>
        <v>Research &amp; Development</v>
      </c>
      <c r="C286" s="8">
        <v>4741</v>
      </c>
      <c r="D286" s="8">
        <f t="shared" si="24"/>
        <v>948.2</v>
      </c>
      <c r="E286" s="8">
        <f t="shared" si="25"/>
        <v>568.91999999999996</v>
      </c>
      <c r="F286" s="8">
        <f t="shared" si="26"/>
        <v>474.1</v>
      </c>
      <c r="G286" s="8">
        <f t="shared" si="27"/>
        <v>5689.2</v>
      </c>
      <c r="H286" s="8">
        <f t="shared" si="28"/>
        <v>1043.02</v>
      </c>
      <c r="I286" s="10">
        <f t="shared" si="29"/>
        <v>4646.18</v>
      </c>
    </row>
    <row r="287" spans="1:9" x14ac:dyDescent="0.25">
      <c r="A287" s="6">
        <v>391</v>
      </c>
      <c r="B287" s="5" t="str">
        <f>VLOOKUP(A287, EmployeeMaster!$A:$D, 3, FALSE)</f>
        <v>Research &amp; Development</v>
      </c>
      <c r="C287" s="8">
        <v>2115</v>
      </c>
      <c r="D287" s="8">
        <f t="shared" si="24"/>
        <v>423</v>
      </c>
      <c r="E287" s="8">
        <f t="shared" si="25"/>
        <v>253.79999999999998</v>
      </c>
      <c r="F287" s="8">
        <f t="shared" si="26"/>
        <v>211.5</v>
      </c>
      <c r="G287" s="8">
        <f t="shared" si="27"/>
        <v>2538</v>
      </c>
      <c r="H287" s="8">
        <f t="shared" si="28"/>
        <v>465.29999999999995</v>
      </c>
      <c r="I287" s="10">
        <f t="shared" si="29"/>
        <v>2072.6999999999998</v>
      </c>
    </row>
    <row r="288" spans="1:9" x14ac:dyDescent="0.25">
      <c r="A288" s="6">
        <v>392</v>
      </c>
      <c r="B288" s="5" t="str">
        <f>VLOOKUP(A288, EmployeeMaster!$A:$D, 3, FALSE)</f>
        <v>Research &amp; Development</v>
      </c>
      <c r="C288" s="8">
        <v>3161</v>
      </c>
      <c r="D288" s="8">
        <f t="shared" si="24"/>
        <v>632.20000000000005</v>
      </c>
      <c r="E288" s="8">
        <f t="shared" si="25"/>
        <v>379.32</v>
      </c>
      <c r="F288" s="8">
        <f t="shared" si="26"/>
        <v>316.10000000000002</v>
      </c>
      <c r="G288" s="8">
        <f t="shared" si="27"/>
        <v>3793.2</v>
      </c>
      <c r="H288" s="8">
        <f t="shared" si="28"/>
        <v>695.42000000000007</v>
      </c>
      <c r="I288" s="10">
        <f t="shared" si="29"/>
        <v>3097.7799999999997</v>
      </c>
    </row>
    <row r="289" spans="1:9" x14ac:dyDescent="0.25">
      <c r="A289" s="6">
        <v>393</v>
      </c>
      <c r="B289" s="5" t="str">
        <f>VLOOKUP(A289, EmployeeMaster!$A:$D, 3, FALSE)</f>
        <v>Research &amp; Development</v>
      </c>
      <c r="C289" s="8">
        <v>5745</v>
      </c>
      <c r="D289" s="8">
        <f t="shared" si="24"/>
        <v>1149</v>
      </c>
      <c r="E289" s="8">
        <f t="shared" si="25"/>
        <v>689.4</v>
      </c>
      <c r="F289" s="8">
        <f t="shared" si="26"/>
        <v>574.5</v>
      </c>
      <c r="G289" s="8">
        <f t="shared" si="27"/>
        <v>6894</v>
      </c>
      <c r="H289" s="8">
        <f t="shared" si="28"/>
        <v>1263.9000000000001</v>
      </c>
      <c r="I289" s="10">
        <f t="shared" si="29"/>
        <v>5630.1</v>
      </c>
    </row>
    <row r="290" spans="1:9" x14ac:dyDescent="0.25">
      <c r="A290" s="6">
        <v>394</v>
      </c>
      <c r="B290" s="5" t="str">
        <f>VLOOKUP(A290, EmployeeMaster!$A:$D, 3, FALSE)</f>
        <v>Research &amp; Development</v>
      </c>
      <c r="C290" s="8">
        <v>2373</v>
      </c>
      <c r="D290" s="8">
        <f t="shared" si="24"/>
        <v>474.6</v>
      </c>
      <c r="E290" s="8">
        <f t="shared" si="25"/>
        <v>284.76</v>
      </c>
      <c r="F290" s="8">
        <f t="shared" si="26"/>
        <v>237.3</v>
      </c>
      <c r="G290" s="8">
        <f t="shared" si="27"/>
        <v>2847.6</v>
      </c>
      <c r="H290" s="8">
        <f t="shared" si="28"/>
        <v>522.05999999999995</v>
      </c>
      <c r="I290" s="10">
        <f t="shared" si="29"/>
        <v>2325.54</v>
      </c>
    </row>
    <row r="291" spans="1:9" x14ac:dyDescent="0.25">
      <c r="A291" s="6">
        <v>395</v>
      </c>
      <c r="B291" s="5" t="str">
        <f>VLOOKUP(A291, EmployeeMaster!$A:$D, 3, FALSE)</f>
        <v>Research &amp; Development</v>
      </c>
      <c r="C291" s="8">
        <v>3310</v>
      </c>
      <c r="D291" s="8">
        <f t="shared" si="24"/>
        <v>662</v>
      </c>
      <c r="E291" s="8">
        <f t="shared" si="25"/>
        <v>397.2</v>
      </c>
      <c r="F291" s="8">
        <f t="shared" si="26"/>
        <v>331</v>
      </c>
      <c r="G291" s="8">
        <f t="shared" si="27"/>
        <v>3972</v>
      </c>
      <c r="H291" s="8">
        <f t="shared" si="28"/>
        <v>728.2</v>
      </c>
      <c r="I291" s="10">
        <f t="shared" si="29"/>
        <v>3243.8</v>
      </c>
    </row>
    <row r="292" spans="1:9" x14ac:dyDescent="0.25">
      <c r="A292" s="6">
        <v>396</v>
      </c>
      <c r="B292" s="5" t="str">
        <f>VLOOKUP(A292, EmployeeMaster!$A:$D, 3, FALSE)</f>
        <v>Research &amp; Development</v>
      </c>
      <c r="C292" s="8">
        <v>18665</v>
      </c>
      <c r="D292" s="8">
        <f t="shared" si="24"/>
        <v>3733</v>
      </c>
      <c r="E292" s="8">
        <f t="shared" si="25"/>
        <v>2239.7999999999997</v>
      </c>
      <c r="F292" s="8">
        <f t="shared" si="26"/>
        <v>1866.5</v>
      </c>
      <c r="G292" s="8">
        <f t="shared" si="27"/>
        <v>22398</v>
      </c>
      <c r="H292" s="8">
        <f t="shared" si="28"/>
        <v>4106.2999999999993</v>
      </c>
      <c r="I292" s="10">
        <f t="shared" si="29"/>
        <v>18291.7</v>
      </c>
    </row>
    <row r="293" spans="1:9" x14ac:dyDescent="0.25">
      <c r="A293" s="6">
        <v>397</v>
      </c>
      <c r="B293" s="5" t="str">
        <f>VLOOKUP(A293, EmployeeMaster!$A:$D, 3, FALSE)</f>
        <v>Research &amp; Development</v>
      </c>
      <c r="C293" s="8">
        <v>4485</v>
      </c>
      <c r="D293" s="8">
        <f t="shared" si="24"/>
        <v>897</v>
      </c>
      <c r="E293" s="8">
        <f t="shared" si="25"/>
        <v>538.19999999999993</v>
      </c>
      <c r="F293" s="8">
        <f t="shared" si="26"/>
        <v>448.5</v>
      </c>
      <c r="G293" s="8">
        <f t="shared" si="27"/>
        <v>5382</v>
      </c>
      <c r="H293" s="8">
        <f t="shared" si="28"/>
        <v>986.69999999999993</v>
      </c>
      <c r="I293" s="10">
        <f t="shared" si="29"/>
        <v>4395.3</v>
      </c>
    </row>
    <row r="294" spans="1:9" x14ac:dyDescent="0.25">
      <c r="A294" s="6">
        <v>399</v>
      </c>
      <c r="B294" s="5" t="str">
        <f>VLOOKUP(A294, EmployeeMaster!$A:$D, 3, FALSE)</f>
        <v>Sales</v>
      </c>
      <c r="C294" s="8">
        <v>2789</v>
      </c>
      <c r="D294" s="8">
        <f t="shared" si="24"/>
        <v>557.80000000000007</v>
      </c>
      <c r="E294" s="8">
        <f t="shared" si="25"/>
        <v>334.68</v>
      </c>
      <c r="F294" s="8">
        <f t="shared" si="26"/>
        <v>278.90000000000003</v>
      </c>
      <c r="G294" s="8">
        <f t="shared" si="27"/>
        <v>3346.8</v>
      </c>
      <c r="H294" s="8">
        <f t="shared" si="28"/>
        <v>613.58000000000004</v>
      </c>
      <c r="I294" s="10">
        <f t="shared" si="29"/>
        <v>2733.2200000000003</v>
      </c>
    </row>
    <row r="295" spans="1:9" x14ac:dyDescent="0.25">
      <c r="A295" s="6">
        <v>401</v>
      </c>
      <c r="B295" s="5" t="str">
        <f>VLOOKUP(A295, EmployeeMaster!$A:$D, 3, FALSE)</f>
        <v>Sales</v>
      </c>
      <c r="C295" s="8">
        <v>5828</v>
      </c>
      <c r="D295" s="8">
        <f t="shared" si="24"/>
        <v>1165.6000000000001</v>
      </c>
      <c r="E295" s="8">
        <f t="shared" si="25"/>
        <v>699.36</v>
      </c>
      <c r="F295" s="8">
        <f t="shared" si="26"/>
        <v>582.80000000000007</v>
      </c>
      <c r="G295" s="8">
        <f t="shared" si="27"/>
        <v>6993.6</v>
      </c>
      <c r="H295" s="8">
        <f t="shared" si="28"/>
        <v>1282.1600000000001</v>
      </c>
      <c r="I295" s="10">
        <f t="shared" si="29"/>
        <v>5711.4400000000005</v>
      </c>
    </row>
    <row r="296" spans="1:9" x14ac:dyDescent="0.25">
      <c r="A296" s="6">
        <v>403</v>
      </c>
      <c r="B296" s="5" t="str">
        <f>VLOOKUP(A296, EmployeeMaster!$A:$D, 3, FALSE)</f>
        <v>Research &amp; Development</v>
      </c>
      <c r="C296" s="8">
        <v>2326</v>
      </c>
      <c r="D296" s="8">
        <f t="shared" si="24"/>
        <v>465.20000000000005</v>
      </c>
      <c r="E296" s="8">
        <f t="shared" si="25"/>
        <v>279.12</v>
      </c>
      <c r="F296" s="8">
        <f t="shared" si="26"/>
        <v>232.60000000000002</v>
      </c>
      <c r="G296" s="8">
        <f t="shared" si="27"/>
        <v>2791.2</v>
      </c>
      <c r="H296" s="8">
        <f t="shared" si="28"/>
        <v>511.72</v>
      </c>
      <c r="I296" s="10">
        <f t="shared" si="29"/>
        <v>2279.4799999999996</v>
      </c>
    </row>
    <row r="297" spans="1:9" x14ac:dyDescent="0.25">
      <c r="A297" s="6">
        <v>404</v>
      </c>
      <c r="B297" s="5" t="str">
        <f>VLOOKUP(A297, EmployeeMaster!$A:$D, 3, FALSE)</f>
        <v>Sales</v>
      </c>
      <c r="C297" s="8">
        <v>13525</v>
      </c>
      <c r="D297" s="8">
        <f t="shared" si="24"/>
        <v>2705</v>
      </c>
      <c r="E297" s="8">
        <f t="shared" si="25"/>
        <v>1623</v>
      </c>
      <c r="F297" s="8">
        <f t="shared" si="26"/>
        <v>1352.5</v>
      </c>
      <c r="G297" s="8">
        <f t="shared" si="27"/>
        <v>16230</v>
      </c>
      <c r="H297" s="8">
        <f t="shared" si="28"/>
        <v>2975.5</v>
      </c>
      <c r="I297" s="10">
        <f t="shared" si="29"/>
        <v>13254.5</v>
      </c>
    </row>
    <row r="298" spans="1:9" x14ac:dyDescent="0.25">
      <c r="A298" s="6">
        <v>405</v>
      </c>
      <c r="B298" s="5" t="str">
        <f>VLOOKUP(A298, EmployeeMaster!$A:$D, 3, FALSE)</f>
        <v>Research &amp; Development</v>
      </c>
      <c r="C298" s="8">
        <v>1420</v>
      </c>
      <c r="D298" s="8">
        <f t="shared" si="24"/>
        <v>284</v>
      </c>
      <c r="E298" s="8">
        <f t="shared" si="25"/>
        <v>170.4</v>
      </c>
      <c r="F298" s="8">
        <f t="shared" si="26"/>
        <v>142</v>
      </c>
      <c r="G298" s="8">
        <f t="shared" si="27"/>
        <v>1704</v>
      </c>
      <c r="H298" s="8">
        <f t="shared" si="28"/>
        <v>312.39999999999998</v>
      </c>
      <c r="I298" s="10">
        <f t="shared" si="29"/>
        <v>1391.6</v>
      </c>
    </row>
    <row r="299" spans="1:9" x14ac:dyDescent="0.25">
      <c r="A299" s="6">
        <v>406</v>
      </c>
      <c r="B299" s="5" t="str">
        <f>VLOOKUP(A299, EmployeeMaster!$A:$D, 3, FALSE)</f>
        <v>Sales</v>
      </c>
      <c r="C299" s="8">
        <v>8020</v>
      </c>
      <c r="D299" s="8">
        <f t="shared" si="24"/>
        <v>1604</v>
      </c>
      <c r="E299" s="8">
        <f t="shared" si="25"/>
        <v>962.4</v>
      </c>
      <c r="F299" s="8">
        <f t="shared" si="26"/>
        <v>802</v>
      </c>
      <c r="G299" s="8">
        <f t="shared" si="27"/>
        <v>9624</v>
      </c>
      <c r="H299" s="8">
        <f t="shared" si="28"/>
        <v>1764.4</v>
      </c>
      <c r="I299" s="10">
        <f t="shared" si="29"/>
        <v>7859.6</v>
      </c>
    </row>
    <row r="300" spans="1:9" x14ac:dyDescent="0.25">
      <c r="A300" s="6">
        <v>407</v>
      </c>
      <c r="B300" s="5" t="str">
        <f>VLOOKUP(A300, EmployeeMaster!$A:$D, 3, FALSE)</f>
        <v>Research &amp; Development</v>
      </c>
      <c r="C300" s="8">
        <v>3688</v>
      </c>
      <c r="D300" s="8">
        <f t="shared" si="24"/>
        <v>737.6</v>
      </c>
      <c r="E300" s="8">
        <f t="shared" si="25"/>
        <v>442.56</v>
      </c>
      <c r="F300" s="8">
        <f t="shared" si="26"/>
        <v>368.8</v>
      </c>
      <c r="G300" s="8">
        <f t="shared" si="27"/>
        <v>4425.6000000000004</v>
      </c>
      <c r="H300" s="8">
        <f t="shared" si="28"/>
        <v>811.36</v>
      </c>
      <c r="I300" s="10">
        <f t="shared" si="29"/>
        <v>3614.2400000000002</v>
      </c>
    </row>
    <row r="301" spans="1:9" x14ac:dyDescent="0.25">
      <c r="A301" s="6">
        <v>408</v>
      </c>
      <c r="B301" s="5" t="str">
        <f>VLOOKUP(A301, EmployeeMaster!$A:$D, 3, FALSE)</f>
        <v>Research &amp; Development</v>
      </c>
      <c r="C301" s="8">
        <v>5482</v>
      </c>
      <c r="D301" s="8">
        <f t="shared" si="24"/>
        <v>1096.4000000000001</v>
      </c>
      <c r="E301" s="8">
        <f t="shared" si="25"/>
        <v>657.84</v>
      </c>
      <c r="F301" s="8">
        <f t="shared" si="26"/>
        <v>548.20000000000005</v>
      </c>
      <c r="G301" s="8">
        <f t="shared" si="27"/>
        <v>6578.4</v>
      </c>
      <c r="H301" s="8">
        <f t="shared" si="28"/>
        <v>1206.04</v>
      </c>
      <c r="I301" s="10">
        <f t="shared" si="29"/>
        <v>5372.36</v>
      </c>
    </row>
    <row r="302" spans="1:9" x14ac:dyDescent="0.25">
      <c r="A302" s="6">
        <v>410</v>
      </c>
      <c r="B302" s="5" t="str">
        <f>VLOOKUP(A302, EmployeeMaster!$A:$D, 3, FALSE)</f>
        <v>Sales</v>
      </c>
      <c r="C302" s="8">
        <v>16015</v>
      </c>
      <c r="D302" s="8">
        <f t="shared" si="24"/>
        <v>3203</v>
      </c>
      <c r="E302" s="8">
        <f t="shared" si="25"/>
        <v>1921.8</v>
      </c>
      <c r="F302" s="8">
        <f t="shared" si="26"/>
        <v>1601.5</v>
      </c>
      <c r="G302" s="8">
        <f t="shared" si="27"/>
        <v>19218</v>
      </c>
      <c r="H302" s="8">
        <f t="shared" si="28"/>
        <v>3523.3</v>
      </c>
      <c r="I302" s="10">
        <f t="shared" si="29"/>
        <v>15694.7</v>
      </c>
    </row>
    <row r="303" spans="1:9" x14ac:dyDescent="0.25">
      <c r="A303" s="6">
        <v>411</v>
      </c>
      <c r="B303" s="5" t="str">
        <f>VLOOKUP(A303, EmployeeMaster!$A:$D, 3, FALSE)</f>
        <v>Sales</v>
      </c>
      <c r="C303" s="8">
        <v>1200</v>
      </c>
      <c r="D303" s="8">
        <f t="shared" si="24"/>
        <v>240</v>
      </c>
      <c r="E303" s="8">
        <f t="shared" si="25"/>
        <v>144</v>
      </c>
      <c r="F303" s="8">
        <f t="shared" si="26"/>
        <v>120</v>
      </c>
      <c r="G303" s="8">
        <f t="shared" si="27"/>
        <v>1440</v>
      </c>
      <c r="H303" s="8">
        <f t="shared" si="28"/>
        <v>264</v>
      </c>
      <c r="I303" s="10">
        <f t="shared" si="29"/>
        <v>1176</v>
      </c>
    </row>
    <row r="304" spans="1:9" x14ac:dyDescent="0.25">
      <c r="A304" s="6">
        <v>412</v>
      </c>
      <c r="B304" s="5" t="str">
        <f>VLOOKUP(A304, EmployeeMaster!$A:$D, 3, FALSE)</f>
        <v>Research &amp; Development</v>
      </c>
      <c r="C304" s="8">
        <v>5661</v>
      </c>
      <c r="D304" s="8">
        <f t="shared" si="24"/>
        <v>1132.2</v>
      </c>
      <c r="E304" s="8">
        <f t="shared" si="25"/>
        <v>679.31999999999994</v>
      </c>
      <c r="F304" s="8">
        <f t="shared" si="26"/>
        <v>566.1</v>
      </c>
      <c r="G304" s="8">
        <f t="shared" si="27"/>
        <v>6793.2</v>
      </c>
      <c r="H304" s="8">
        <f t="shared" si="28"/>
        <v>1245.42</v>
      </c>
      <c r="I304" s="10">
        <f t="shared" si="29"/>
        <v>5547.78</v>
      </c>
    </row>
    <row r="305" spans="1:9" x14ac:dyDescent="0.25">
      <c r="A305" s="6">
        <v>416</v>
      </c>
      <c r="B305" s="5" t="str">
        <f>VLOOKUP(A305, EmployeeMaster!$A:$D, 3, FALSE)</f>
        <v>Sales</v>
      </c>
      <c r="C305" s="8">
        <v>6929</v>
      </c>
      <c r="D305" s="8">
        <f t="shared" si="24"/>
        <v>1385.8000000000002</v>
      </c>
      <c r="E305" s="8">
        <f t="shared" si="25"/>
        <v>831.48</v>
      </c>
      <c r="F305" s="8">
        <f t="shared" si="26"/>
        <v>692.90000000000009</v>
      </c>
      <c r="G305" s="8">
        <f t="shared" si="27"/>
        <v>8314.7999999999993</v>
      </c>
      <c r="H305" s="8">
        <f t="shared" si="28"/>
        <v>1524.38</v>
      </c>
      <c r="I305" s="10">
        <f t="shared" si="29"/>
        <v>6790.4199999999992</v>
      </c>
    </row>
    <row r="306" spans="1:9" x14ac:dyDescent="0.25">
      <c r="A306" s="6">
        <v>417</v>
      </c>
      <c r="B306" s="5" t="str">
        <f>VLOOKUP(A306, EmployeeMaster!$A:$D, 3, FALSE)</f>
        <v>Research &amp; Development</v>
      </c>
      <c r="C306" s="8">
        <v>9613</v>
      </c>
      <c r="D306" s="8">
        <f t="shared" si="24"/>
        <v>1922.6000000000001</v>
      </c>
      <c r="E306" s="8">
        <f t="shared" si="25"/>
        <v>1153.56</v>
      </c>
      <c r="F306" s="8">
        <f t="shared" si="26"/>
        <v>961.30000000000007</v>
      </c>
      <c r="G306" s="8">
        <f t="shared" si="27"/>
        <v>11535.6</v>
      </c>
      <c r="H306" s="8">
        <f t="shared" si="28"/>
        <v>2114.86</v>
      </c>
      <c r="I306" s="10">
        <f t="shared" si="29"/>
        <v>9420.74</v>
      </c>
    </row>
    <row r="307" spans="1:9" x14ac:dyDescent="0.25">
      <c r="A307" s="6">
        <v>419</v>
      </c>
      <c r="B307" s="5" t="str">
        <f>VLOOKUP(A307, EmployeeMaster!$A:$D, 3, FALSE)</f>
        <v>Research &amp; Development</v>
      </c>
      <c r="C307" s="8">
        <v>5674</v>
      </c>
      <c r="D307" s="8">
        <f t="shared" si="24"/>
        <v>1134.8</v>
      </c>
      <c r="E307" s="8">
        <f t="shared" si="25"/>
        <v>680.88</v>
      </c>
      <c r="F307" s="8">
        <f t="shared" si="26"/>
        <v>567.4</v>
      </c>
      <c r="G307" s="8">
        <f t="shared" si="27"/>
        <v>6808.8</v>
      </c>
      <c r="H307" s="8">
        <f t="shared" si="28"/>
        <v>1248.28</v>
      </c>
      <c r="I307" s="10">
        <f t="shared" si="29"/>
        <v>5560.52</v>
      </c>
    </row>
    <row r="308" spans="1:9" x14ac:dyDescent="0.25">
      <c r="A308" s="6">
        <v>420</v>
      </c>
      <c r="B308" s="5" t="str">
        <f>VLOOKUP(A308, EmployeeMaster!$A:$D, 3, FALSE)</f>
        <v>Sales</v>
      </c>
      <c r="C308" s="8">
        <v>5484</v>
      </c>
      <c r="D308" s="8">
        <f t="shared" si="24"/>
        <v>1096.8</v>
      </c>
      <c r="E308" s="8">
        <f t="shared" si="25"/>
        <v>658.07999999999993</v>
      </c>
      <c r="F308" s="8">
        <f t="shared" si="26"/>
        <v>548.4</v>
      </c>
      <c r="G308" s="8">
        <f t="shared" si="27"/>
        <v>6580.8</v>
      </c>
      <c r="H308" s="8">
        <f t="shared" si="28"/>
        <v>1206.48</v>
      </c>
      <c r="I308" s="10">
        <f t="shared" si="29"/>
        <v>5374.32</v>
      </c>
    </row>
    <row r="309" spans="1:9" x14ac:dyDescent="0.25">
      <c r="A309" s="6">
        <v>421</v>
      </c>
      <c r="B309" s="5" t="str">
        <f>VLOOKUP(A309, EmployeeMaster!$A:$D, 3, FALSE)</f>
        <v>Research &amp; Development</v>
      </c>
      <c r="C309" s="8">
        <v>12061</v>
      </c>
      <c r="D309" s="8">
        <f t="shared" si="24"/>
        <v>2412.2000000000003</v>
      </c>
      <c r="E309" s="8">
        <f t="shared" si="25"/>
        <v>1447.32</v>
      </c>
      <c r="F309" s="8">
        <f t="shared" si="26"/>
        <v>1206.1000000000001</v>
      </c>
      <c r="G309" s="8">
        <f t="shared" si="27"/>
        <v>14473.2</v>
      </c>
      <c r="H309" s="8">
        <f t="shared" si="28"/>
        <v>2653.42</v>
      </c>
      <c r="I309" s="10">
        <f t="shared" si="29"/>
        <v>11819.78</v>
      </c>
    </row>
    <row r="310" spans="1:9" x14ac:dyDescent="0.25">
      <c r="A310" s="6">
        <v>422</v>
      </c>
      <c r="B310" s="5" t="str">
        <f>VLOOKUP(A310, EmployeeMaster!$A:$D, 3, FALSE)</f>
        <v>Research &amp; Development</v>
      </c>
      <c r="C310" s="8">
        <v>5660</v>
      </c>
      <c r="D310" s="8">
        <f t="shared" si="24"/>
        <v>1132</v>
      </c>
      <c r="E310" s="8">
        <f t="shared" si="25"/>
        <v>679.19999999999993</v>
      </c>
      <c r="F310" s="8">
        <f t="shared" si="26"/>
        <v>566</v>
      </c>
      <c r="G310" s="8">
        <f t="shared" si="27"/>
        <v>6792</v>
      </c>
      <c r="H310" s="8">
        <f t="shared" si="28"/>
        <v>1245.1999999999998</v>
      </c>
      <c r="I310" s="10">
        <f t="shared" si="29"/>
        <v>5546.8</v>
      </c>
    </row>
    <row r="311" spans="1:9" x14ac:dyDescent="0.25">
      <c r="A311" s="6">
        <v>423</v>
      </c>
      <c r="B311" s="5" t="str">
        <f>VLOOKUP(A311, EmployeeMaster!$A:$D, 3, FALSE)</f>
        <v>Research &amp; Development</v>
      </c>
      <c r="C311" s="8">
        <v>4821</v>
      </c>
      <c r="D311" s="8">
        <f t="shared" si="24"/>
        <v>964.2</v>
      </c>
      <c r="E311" s="8">
        <f t="shared" si="25"/>
        <v>578.52</v>
      </c>
      <c r="F311" s="8">
        <f t="shared" si="26"/>
        <v>482.1</v>
      </c>
      <c r="G311" s="8">
        <f t="shared" si="27"/>
        <v>5785.2</v>
      </c>
      <c r="H311" s="8">
        <f t="shared" si="28"/>
        <v>1060.6199999999999</v>
      </c>
      <c r="I311" s="10">
        <f t="shared" si="29"/>
        <v>4724.58</v>
      </c>
    </row>
    <row r="312" spans="1:9" x14ac:dyDescent="0.25">
      <c r="A312" s="6">
        <v>424</v>
      </c>
      <c r="B312" s="5" t="str">
        <f>VLOOKUP(A312, EmployeeMaster!$A:$D, 3, FALSE)</f>
        <v>Human Resources</v>
      </c>
      <c r="C312" s="8">
        <v>6410</v>
      </c>
      <c r="D312" s="8">
        <f t="shared" si="24"/>
        <v>1282</v>
      </c>
      <c r="E312" s="8">
        <f t="shared" si="25"/>
        <v>769.19999999999993</v>
      </c>
      <c r="F312" s="8">
        <f t="shared" si="26"/>
        <v>641</v>
      </c>
      <c r="G312" s="8">
        <f t="shared" si="27"/>
        <v>7692</v>
      </c>
      <c r="H312" s="8">
        <f t="shared" si="28"/>
        <v>1410.1999999999998</v>
      </c>
      <c r="I312" s="10">
        <f t="shared" si="29"/>
        <v>6281.8</v>
      </c>
    </row>
    <row r="313" spans="1:9" x14ac:dyDescent="0.25">
      <c r="A313" s="6">
        <v>425</v>
      </c>
      <c r="B313" s="5" t="str">
        <f>VLOOKUP(A313, EmployeeMaster!$A:$D, 3, FALSE)</f>
        <v>Research &amp; Development</v>
      </c>
      <c r="C313" s="8">
        <v>5210</v>
      </c>
      <c r="D313" s="8">
        <f t="shared" si="24"/>
        <v>1042</v>
      </c>
      <c r="E313" s="8">
        <f t="shared" si="25"/>
        <v>625.19999999999993</v>
      </c>
      <c r="F313" s="8">
        <f t="shared" si="26"/>
        <v>521</v>
      </c>
      <c r="G313" s="8">
        <f t="shared" si="27"/>
        <v>6252</v>
      </c>
      <c r="H313" s="8">
        <f t="shared" si="28"/>
        <v>1146.1999999999998</v>
      </c>
      <c r="I313" s="10">
        <f t="shared" si="29"/>
        <v>5105.8</v>
      </c>
    </row>
    <row r="314" spans="1:9" x14ac:dyDescent="0.25">
      <c r="A314" s="6">
        <v>426</v>
      </c>
      <c r="B314" s="5" t="str">
        <f>VLOOKUP(A314, EmployeeMaster!$A:$D, 3, FALSE)</f>
        <v>Research &amp; Development</v>
      </c>
      <c r="C314" s="8">
        <v>2695</v>
      </c>
      <c r="D314" s="8">
        <f t="shared" si="24"/>
        <v>539</v>
      </c>
      <c r="E314" s="8">
        <f t="shared" si="25"/>
        <v>323.39999999999998</v>
      </c>
      <c r="F314" s="8">
        <f t="shared" si="26"/>
        <v>269.5</v>
      </c>
      <c r="G314" s="8">
        <f t="shared" si="27"/>
        <v>3234</v>
      </c>
      <c r="H314" s="8">
        <f t="shared" si="28"/>
        <v>592.9</v>
      </c>
      <c r="I314" s="10">
        <f t="shared" si="29"/>
        <v>2641.1</v>
      </c>
    </row>
    <row r="315" spans="1:9" x14ac:dyDescent="0.25">
      <c r="A315" s="6">
        <v>428</v>
      </c>
      <c r="B315" s="5" t="str">
        <f>VLOOKUP(A315, EmployeeMaster!$A:$D, 3, FALSE)</f>
        <v>Research &amp; Development</v>
      </c>
      <c r="C315" s="8">
        <v>11878</v>
      </c>
      <c r="D315" s="8">
        <f t="shared" si="24"/>
        <v>2375.6</v>
      </c>
      <c r="E315" s="8">
        <f t="shared" si="25"/>
        <v>1425.36</v>
      </c>
      <c r="F315" s="8">
        <f t="shared" si="26"/>
        <v>1187.8</v>
      </c>
      <c r="G315" s="8">
        <f t="shared" si="27"/>
        <v>14253.6</v>
      </c>
      <c r="H315" s="8">
        <f t="shared" si="28"/>
        <v>2613.16</v>
      </c>
      <c r="I315" s="10">
        <f t="shared" si="29"/>
        <v>11640.44</v>
      </c>
    </row>
    <row r="316" spans="1:9" x14ac:dyDescent="0.25">
      <c r="A316" s="6">
        <v>429</v>
      </c>
      <c r="B316" s="5" t="str">
        <f>VLOOKUP(A316, EmployeeMaster!$A:$D, 3, FALSE)</f>
        <v>Research &amp; Development</v>
      </c>
      <c r="C316" s="8">
        <v>17068</v>
      </c>
      <c r="D316" s="8">
        <f t="shared" si="24"/>
        <v>3413.6000000000004</v>
      </c>
      <c r="E316" s="8">
        <f t="shared" si="25"/>
        <v>2048.16</v>
      </c>
      <c r="F316" s="8">
        <f t="shared" si="26"/>
        <v>1706.8000000000002</v>
      </c>
      <c r="G316" s="8">
        <f t="shared" si="27"/>
        <v>20481.599999999999</v>
      </c>
      <c r="H316" s="8">
        <f t="shared" si="28"/>
        <v>3754.96</v>
      </c>
      <c r="I316" s="10">
        <f t="shared" si="29"/>
        <v>16726.64</v>
      </c>
    </row>
    <row r="317" spans="1:9" x14ac:dyDescent="0.25">
      <c r="A317" s="6">
        <v>430</v>
      </c>
      <c r="B317" s="5" t="str">
        <f>VLOOKUP(A317, EmployeeMaster!$A:$D, 3, FALSE)</f>
        <v>Research &amp; Development</v>
      </c>
      <c r="C317" s="8">
        <v>2455</v>
      </c>
      <c r="D317" s="8">
        <f t="shared" si="24"/>
        <v>491</v>
      </c>
      <c r="E317" s="8">
        <f t="shared" si="25"/>
        <v>294.59999999999997</v>
      </c>
      <c r="F317" s="8">
        <f t="shared" si="26"/>
        <v>245.5</v>
      </c>
      <c r="G317" s="8">
        <f t="shared" si="27"/>
        <v>2946</v>
      </c>
      <c r="H317" s="8">
        <f t="shared" si="28"/>
        <v>540.09999999999991</v>
      </c>
      <c r="I317" s="10">
        <f t="shared" si="29"/>
        <v>2405.9</v>
      </c>
    </row>
    <row r="318" spans="1:9" x14ac:dyDescent="0.25">
      <c r="A318" s="6">
        <v>431</v>
      </c>
      <c r="B318" s="5" t="str">
        <f>VLOOKUP(A318, EmployeeMaster!$A:$D, 3, FALSE)</f>
        <v>Research &amp; Development</v>
      </c>
      <c r="C318" s="8">
        <v>13964</v>
      </c>
      <c r="D318" s="8">
        <f t="shared" si="24"/>
        <v>2792.8</v>
      </c>
      <c r="E318" s="8">
        <f t="shared" si="25"/>
        <v>1675.6799999999998</v>
      </c>
      <c r="F318" s="8">
        <f t="shared" si="26"/>
        <v>1396.4</v>
      </c>
      <c r="G318" s="8">
        <f t="shared" si="27"/>
        <v>16756.8</v>
      </c>
      <c r="H318" s="8">
        <f t="shared" si="28"/>
        <v>3072.08</v>
      </c>
      <c r="I318" s="10">
        <f t="shared" si="29"/>
        <v>13684.72</v>
      </c>
    </row>
    <row r="319" spans="1:9" x14ac:dyDescent="0.25">
      <c r="A319" s="6">
        <v>433</v>
      </c>
      <c r="B319" s="5" t="str">
        <f>VLOOKUP(A319, EmployeeMaster!$A:$D, 3, FALSE)</f>
        <v>Research &amp; Development</v>
      </c>
      <c r="C319" s="8">
        <v>4941</v>
      </c>
      <c r="D319" s="8">
        <f t="shared" si="24"/>
        <v>988.2</v>
      </c>
      <c r="E319" s="8">
        <f t="shared" si="25"/>
        <v>592.91999999999996</v>
      </c>
      <c r="F319" s="8">
        <f t="shared" si="26"/>
        <v>494.1</v>
      </c>
      <c r="G319" s="8">
        <f t="shared" si="27"/>
        <v>5929.2</v>
      </c>
      <c r="H319" s="8">
        <f t="shared" si="28"/>
        <v>1087.02</v>
      </c>
      <c r="I319" s="10">
        <f t="shared" si="29"/>
        <v>4842.18</v>
      </c>
    </row>
    <row r="320" spans="1:9" x14ac:dyDescent="0.25">
      <c r="A320" s="6">
        <v>434</v>
      </c>
      <c r="B320" s="5" t="str">
        <f>VLOOKUP(A320, EmployeeMaster!$A:$D, 3, FALSE)</f>
        <v>Research &amp; Development</v>
      </c>
      <c r="C320" s="8">
        <v>2478</v>
      </c>
      <c r="D320" s="8">
        <f t="shared" si="24"/>
        <v>495.6</v>
      </c>
      <c r="E320" s="8">
        <f t="shared" si="25"/>
        <v>297.36</v>
      </c>
      <c r="F320" s="8">
        <f t="shared" si="26"/>
        <v>247.8</v>
      </c>
      <c r="G320" s="8">
        <f t="shared" si="27"/>
        <v>2973.6</v>
      </c>
      <c r="H320" s="8">
        <f t="shared" si="28"/>
        <v>545.16000000000008</v>
      </c>
      <c r="I320" s="10">
        <f t="shared" si="29"/>
        <v>2428.4399999999996</v>
      </c>
    </row>
    <row r="321" spans="1:9" x14ac:dyDescent="0.25">
      <c r="A321" s="6">
        <v>436</v>
      </c>
      <c r="B321" s="5" t="str">
        <f>VLOOKUP(A321, EmployeeMaster!$A:$D, 3, FALSE)</f>
        <v>Sales</v>
      </c>
      <c r="C321" s="8">
        <v>5228</v>
      </c>
      <c r="D321" s="8">
        <f t="shared" si="24"/>
        <v>1045.6000000000001</v>
      </c>
      <c r="E321" s="8">
        <f t="shared" si="25"/>
        <v>627.36</v>
      </c>
      <c r="F321" s="8">
        <f t="shared" si="26"/>
        <v>522.80000000000007</v>
      </c>
      <c r="G321" s="8">
        <f t="shared" si="27"/>
        <v>6273.6</v>
      </c>
      <c r="H321" s="8">
        <f t="shared" si="28"/>
        <v>1150.1600000000001</v>
      </c>
      <c r="I321" s="10">
        <f t="shared" si="29"/>
        <v>5123.4400000000005</v>
      </c>
    </row>
    <row r="322" spans="1:9" x14ac:dyDescent="0.25">
      <c r="A322" s="6">
        <v>437</v>
      </c>
      <c r="B322" s="5" t="str">
        <f>VLOOKUP(A322, EmployeeMaster!$A:$D, 3, FALSE)</f>
        <v>Sales</v>
      </c>
      <c r="C322" s="8">
        <v>4478</v>
      </c>
      <c r="D322" s="8">
        <f t="shared" si="24"/>
        <v>895.6</v>
      </c>
      <c r="E322" s="8">
        <f t="shared" si="25"/>
        <v>537.36</v>
      </c>
      <c r="F322" s="8">
        <f t="shared" si="26"/>
        <v>447.8</v>
      </c>
      <c r="G322" s="8">
        <f t="shared" si="27"/>
        <v>5373.6</v>
      </c>
      <c r="H322" s="8">
        <f t="shared" si="28"/>
        <v>985.16000000000008</v>
      </c>
      <c r="I322" s="10">
        <f t="shared" si="29"/>
        <v>4388.4400000000005</v>
      </c>
    </row>
    <row r="323" spans="1:9" x14ac:dyDescent="0.25">
      <c r="A323" s="6">
        <v>438</v>
      </c>
      <c r="B323" s="5" t="str">
        <f>VLOOKUP(A323, EmployeeMaster!$A:$D, 3, FALSE)</f>
        <v>Sales</v>
      </c>
      <c r="C323" s="8">
        <v>7547</v>
      </c>
      <c r="D323" s="8">
        <f t="shared" ref="D323:D386" si="30">C323*20%</f>
        <v>1509.4</v>
      </c>
      <c r="E323" s="8">
        <f t="shared" ref="E323:E386" si="31">C323*12%</f>
        <v>905.64</v>
      </c>
      <c r="F323" s="8">
        <f t="shared" ref="F323:F386" si="32">C323*10%</f>
        <v>754.7</v>
      </c>
      <c r="G323" s="8">
        <f t="shared" ref="G323:G386" si="33">C323+D323</f>
        <v>9056.4</v>
      </c>
      <c r="H323" s="8">
        <f t="shared" ref="H323:H386" si="34">E323+F323</f>
        <v>1660.3400000000001</v>
      </c>
      <c r="I323" s="10">
        <f t="shared" ref="I323:I386" si="35">G323-H323</f>
        <v>7396.0599999999995</v>
      </c>
    </row>
    <row r="324" spans="1:9" x14ac:dyDescent="0.25">
      <c r="A324" s="6">
        <v>439</v>
      </c>
      <c r="B324" s="5" t="str">
        <f>VLOOKUP(A324, EmployeeMaster!$A:$D, 3, FALSE)</f>
        <v>Research &amp; Development</v>
      </c>
      <c r="C324" s="8">
        <v>5055</v>
      </c>
      <c r="D324" s="8">
        <f t="shared" si="30"/>
        <v>1011</v>
      </c>
      <c r="E324" s="8">
        <f t="shared" si="31"/>
        <v>606.6</v>
      </c>
      <c r="F324" s="8">
        <f t="shared" si="32"/>
        <v>505.5</v>
      </c>
      <c r="G324" s="8">
        <f t="shared" si="33"/>
        <v>6066</v>
      </c>
      <c r="H324" s="8">
        <f t="shared" si="34"/>
        <v>1112.0999999999999</v>
      </c>
      <c r="I324" s="10">
        <f t="shared" si="35"/>
        <v>4953.8999999999996</v>
      </c>
    </row>
    <row r="325" spans="1:9" x14ac:dyDescent="0.25">
      <c r="A325" s="6">
        <v>440</v>
      </c>
      <c r="B325" s="5" t="str">
        <f>VLOOKUP(A325, EmployeeMaster!$A:$D, 3, FALSE)</f>
        <v>Research &amp; Development</v>
      </c>
      <c r="C325" s="8">
        <v>3464</v>
      </c>
      <c r="D325" s="8">
        <f t="shared" si="30"/>
        <v>692.80000000000007</v>
      </c>
      <c r="E325" s="8">
        <f t="shared" si="31"/>
        <v>415.68</v>
      </c>
      <c r="F325" s="8">
        <f t="shared" si="32"/>
        <v>346.40000000000003</v>
      </c>
      <c r="G325" s="8">
        <f t="shared" si="33"/>
        <v>4156.8</v>
      </c>
      <c r="H325" s="8">
        <f t="shared" si="34"/>
        <v>762.08</v>
      </c>
      <c r="I325" s="10">
        <f t="shared" si="35"/>
        <v>3394.7200000000003</v>
      </c>
    </row>
    <row r="326" spans="1:9" x14ac:dyDescent="0.25">
      <c r="A326" s="6">
        <v>441</v>
      </c>
      <c r="B326" s="5" t="str">
        <f>VLOOKUP(A326, EmployeeMaster!$A:$D, 3, FALSE)</f>
        <v>Research &amp; Development</v>
      </c>
      <c r="C326" s="8">
        <v>5775</v>
      </c>
      <c r="D326" s="8">
        <f t="shared" si="30"/>
        <v>1155</v>
      </c>
      <c r="E326" s="8">
        <f t="shared" si="31"/>
        <v>693</v>
      </c>
      <c r="F326" s="8">
        <f t="shared" si="32"/>
        <v>577.5</v>
      </c>
      <c r="G326" s="8">
        <f t="shared" si="33"/>
        <v>6930</v>
      </c>
      <c r="H326" s="8">
        <f t="shared" si="34"/>
        <v>1270.5</v>
      </c>
      <c r="I326" s="10">
        <f t="shared" si="35"/>
        <v>5659.5</v>
      </c>
    </row>
    <row r="327" spans="1:9" x14ac:dyDescent="0.25">
      <c r="A327" s="6">
        <v>442</v>
      </c>
      <c r="B327" s="5" t="str">
        <f>VLOOKUP(A327, EmployeeMaster!$A:$D, 3, FALSE)</f>
        <v>Research &amp; Development</v>
      </c>
      <c r="C327" s="8">
        <v>8943</v>
      </c>
      <c r="D327" s="8">
        <f t="shared" si="30"/>
        <v>1788.6000000000001</v>
      </c>
      <c r="E327" s="8">
        <f t="shared" si="31"/>
        <v>1073.1599999999999</v>
      </c>
      <c r="F327" s="8">
        <f t="shared" si="32"/>
        <v>894.30000000000007</v>
      </c>
      <c r="G327" s="8">
        <f t="shared" si="33"/>
        <v>10731.6</v>
      </c>
      <c r="H327" s="8">
        <f t="shared" si="34"/>
        <v>1967.46</v>
      </c>
      <c r="I327" s="10">
        <f t="shared" si="35"/>
        <v>8764.14</v>
      </c>
    </row>
    <row r="328" spans="1:9" x14ac:dyDescent="0.25">
      <c r="A328" s="6">
        <v>444</v>
      </c>
      <c r="B328" s="5" t="str">
        <f>VLOOKUP(A328, EmployeeMaster!$A:$D, 3, FALSE)</f>
        <v>Research &amp; Development</v>
      </c>
      <c r="C328" s="8">
        <v>19272</v>
      </c>
      <c r="D328" s="8">
        <f t="shared" si="30"/>
        <v>3854.4</v>
      </c>
      <c r="E328" s="8">
        <f t="shared" si="31"/>
        <v>2312.64</v>
      </c>
      <c r="F328" s="8">
        <f t="shared" si="32"/>
        <v>1927.2</v>
      </c>
      <c r="G328" s="8">
        <f t="shared" si="33"/>
        <v>23126.400000000001</v>
      </c>
      <c r="H328" s="8">
        <f t="shared" si="34"/>
        <v>4239.84</v>
      </c>
      <c r="I328" s="10">
        <f t="shared" si="35"/>
        <v>18886.560000000001</v>
      </c>
    </row>
    <row r="329" spans="1:9" x14ac:dyDescent="0.25">
      <c r="A329" s="6">
        <v>445</v>
      </c>
      <c r="B329" s="5" t="str">
        <f>VLOOKUP(A329, EmployeeMaster!$A:$D, 3, FALSE)</f>
        <v>Sales</v>
      </c>
      <c r="C329" s="8">
        <v>5238</v>
      </c>
      <c r="D329" s="8">
        <f t="shared" si="30"/>
        <v>1047.6000000000001</v>
      </c>
      <c r="E329" s="8">
        <f t="shared" si="31"/>
        <v>628.55999999999995</v>
      </c>
      <c r="F329" s="8">
        <f t="shared" si="32"/>
        <v>523.80000000000007</v>
      </c>
      <c r="G329" s="8">
        <f t="shared" si="33"/>
        <v>6285.6</v>
      </c>
      <c r="H329" s="8">
        <f t="shared" si="34"/>
        <v>1152.3600000000001</v>
      </c>
      <c r="I329" s="10">
        <f t="shared" si="35"/>
        <v>5133.24</v>
      </c>
    </row>
    <row r="330" spans="1:9" x14ac:dyDescent="0.25">
      <c r="A330" s="6">
        <v>446</v>
      </c>
      <c r="B330" s="5" t="str">
        <f>VLOOKUP(A330, EmployeeMaster!$A:$D, 3, FALSE)</f>
        <v>Sales</v>
      </c>
      <c r="C330" s="8">
        <v>4682</v>
      </c>
      <c r="D330" s="8">
        <f t="shared" si="30"/>
        <v>936.40000000000009</v>
      </c>
      <c r="E330" s="8">
        <f t="shared" si="31"/>
        <v>561.84</v>
      </c>
      <c r="F330" s="8">
        <f t="shared" si="32"/>
        <v>468.20000000000005</v>
      </c>
      <c r="G330" s="8">
        <f t="shared" si="33"/>
        <v>5618.4</v>
      </c>
      <c r="H330" s="8">
        <f t="shared" si="34"/>
        <v>1030.04</v>
      </c>
      <c r="I330" s="10">
        <f t="shared" si="35"/>
        <v>4588.3599999999997</v>
      </c>
    </row>
    <row r="331" spans="1:9" x14ac:dyDescent="0.25">
      <c r="A331" s="6">
        <v>447</v>
      </c>
      <c r="B331" s="5" t="str">
        <f>VLOOKUP(A331, EmployeeMaster!$A:$D, 3, FALSE)</f>
        <v>Research &amp; Development</v>
      </c>
      <c r="C331" s="8">
        <v>18300</v>
      </c>
      <c r="D331" s="8">
        <f t="shared" si="30"/>
        <v>3660</v>
      </c>
      <c r="E331" s="8">
        <f t="shared" si="31"/>
        <v>2196</v>
      </c>
      <c r="F331" s="8">
        <f t="shared" si="32"/>
        <v>1830</v>
      </c>
      <c r="G331" s="8">
        <f t="shared" si="33"/>
        <v>21960</v>
      </c>
      <c r="H331" s="8">
        <f t="shared" si="34"/>
        <v>4026</v>
      </c>
      <c r="I331" s="10">
        <f t="shared" si="35"/>
        <v>17934</v>
      </c>
    </row>
    <row r="332" spans="1:9" x14ac:dyDescent="0.25">
      <c r="A332" s="6">
        <v>448</v>
      </c>
      <c r="B332" s="5" t="str">
        <f>VLOOKUP(A332, EmployeeMaster!$A:$D, 3, FALSE)</f>
        <v>Research &amp; Development</v>
      </c>
      <c r="C332" s="8">
        <v>5257</v>
      </c>
      <c r="D332" s="8">
        <f t="shared" si="30"/>
        <v>1051.4000000000001</v>
      </c>
      <c r="E332" s="8">
        <f t="shared" si="31"/>
        <v>630.84</v>
      </c>
      <c r="F332" s="8">
        <f t="shared" si="32"/>
        <v>525.70000000000005</v>
      </c>
      <c r="G332" s="8">
        <f t="shared" si="33"/>
        <v>6308.4</v>
      </c>
      <c r="H332" s="8">
        <f t="shared" si="34"/>
        <v>1156.54</v>
      </c>
      <c r="I332" s="10">
        <f t="shared" si="35"/>
        <v>5151.8599999999997</v>
      </c>
    </row>
    <row r="333" spans="1:9" x14ac:dyDescent="0.25">
      <c r="A333" s="6">
        <v>449</v>
      </c>
      <c r="B333" s="5" t="str">
        <f>VLOOKUP(A333, EmployeeMaster!$A:$D, 3, FALSE)</f>
        <v>Sales</v>
      </c>
      <c r="C333" s="8">
        <v>6349</v>
      </c>
      <c r="D333" s="8">
        <f t="shared" si="30"/>
        <v>1269.8000000000002</v>
      </c>
      <c r="E333" s="8">
        <f t="shared" si="31"/>
        <v>761.88</v>
      </c>
      <c r="F333" s="8">
        <f t="shared" si="32"/>
        <v>634.90000000000009</v>
      </c>
      <c r="G333" s="8">
        <f t="shared" si="33"/>
        <v>7618.8</v>
      </c>
      <c r="H333" s="8">
        <f t="shared" si="34"/>
        <v>1396.7800000000002</v>
      </c>
      <c r="I333" s="10">
        <f t="shared" si="35"/>
        <v>6222.02</v>
      </c>
    </row>
    <row r="334" spans="1:9" x14ac:dyDescent="0.25">
      <c r="A334" s="6">
        <v>450</v>
      </c>
      <c r="B334" s="5" t="str">
        <f>VLOOKUP(A334, EmployeeMaster!$A:$D, 3, FALSE)</f>
        <v>Research &amp; Development</v>
      </c>
      <c r="C334" s="8">
        <v>4869</v>
      </c>
      <c r="D334" s="8">
        <f t="shared" si="30"/>
        <v>973.80000000000007</v>
      </c>
      <c r="E334" s="8">
        <f t="shared" si="31"/>
        <v>584.28</v>
      </c>
      <c r="F334" s="8">
        <f t="shared" si="32"/>
        <v>486.90000000000003</v>
      </c>
      <c r="G334" s="8">
        <f t="shared" si="33"/>
        <v>5842.8</v>
      </c>
      <c r="H334" s="8">
        <f t="shared" si="34"/>
        <v>1071.18</v>
      </c>
      <c r="I334" s="10">
        <f t="shared" si="35"/>
        <v>4771.62</v>
      </c>
    </row>
    <row r="335" spans="1:9" x14ac:dyDescent="0.25">
      <c r="A335" s="6">
        <v>451</v>
      </c>
      <c r="B335" s="5" t="str">
        <f>VLOOKUP(A335, EmployeeMaster!$A:$D, 3, FALSE)</f>
        <v>Research &amp; Development</v>
      </c>
      <c r="C335" s="8">
        <v>9985</v>
      </c>
      <c r="D335" s="8">
        <f t="shared" si="30"/>
        <v>1997</v>
      </c>
      <c r="E335" s="8">
        <f t="shared" si="31"/>
        <v>1198.2</v>
      </c>
      <c r="F335" s="8">
        <f t="shared" si="32"/>
        <v>998.5</v>
      </c>
      <c r="G335" s="8">
        <f t="shared" si="33"/>
        <v>11982</v>
      </c>
      <c r="H335" s="8">
        <f t="shared" si="34"/>
        <v>2196.6999999999998</v>
      </c>
      <c r="I335" s="10">
        <f t="shared" si="35"/>
        <v>9785.2999999999993</v>
      </c>
    </row>
    <row r="336" spans="1:9" x14ac:dyDescent="0.25">
      <c r="A336" s="6">
        <v>452</v>
      </c>
      <c r="B336" s="5" t="str">
        <f>VLOOKUP(A336, EmployeeMaster!$A:$D, 3, FALSE)</f>
        <v>Research &amp; Development</v>
      </c>
      <c r="C336" s="8">
        <v>3697</v>
      </c>
      <c r="D336" s="8">
        <f t="shared" si="30"/>
        <v>739.40000000000009</v>
      </c>
      <c r="E336" s="8">
        <f t="shared" si="31"/>
        <v>443.64</v>
      </c>
      <c r="F336" s="8">
        <f t="shared" si="32"/>
        <v>369.70000000000005</v>
      </c>
      <c r="G336" s="8">
        <f t="shared" si="33"/>
        <v>4436.3999999999996</v>
      </c>
      <c r="H336" s="8">
        <f t="shared" si="34"/>
        <v>813.34</v>
      </c>
      <c r="I336" s="10">
        <f t="shared" si="35"/>
        <v>3623.0599999999995</v>
      </c>
    </row>
    <row r="337" spans="1:9" x14ac:dyDescent="0.25">
      <c r="A337" s="6">
        <v>453</v>
      </c>
      <c r="B337" s="5" t="str">
        <f>VLOOKUP(A337, EmployeeMaster!$A:$D, 3, FALSE)</f>
        <v>Sales</v>
      </c>
      <c r="C337" s="8">
        <v>7457</v>
      </c>
      <c r="D337" s="8">
        <f t="shared" si="30"/>
        <v>1491.4</v>
      </c>
      <c r="E337" s="8">
        <f t="shared" si="31"/>
        <v>894.83999999999992</v>
      </c>
      <c r="F337" s="8">
        <f t="shared" si="32"/>
        <v>745.7</v>
      </c>
      <c r="G337" s="8">
        <f t="shared" si="33"/>
        <v>8948.4</v>
      </c>
      <c r="H337" s="8">
        <f t="shared" si="34"/>
        <v>1640.54</v>
      </c>
      <c r="I337" s="10">
        <f t="shared" si="35"/>
        <v>7307.86</v>
      </c>
    </row>
    <row r="338" spans="1:9" x14ac:dyDescent="0.25">
      <c r="A338" s="6">
        <v>454</v>
      </c>
      <c r="B338" s="5" t="str">
        <f>VLOOKUP(A338, EmployeeMaster!$A:$D, 3, FALSE)</f>
        <v>Research &amp; Development</v>
      </c>
      <c r="C338" s="8">
        <v>2119</v>
      </c>
      <c r="D338" s="8">
        <f t="shared" si="30"/>
        <v>423.8</v>
      </c>
      <c r="E338" s="8">
        <f t="shared" si="31"/>
        <v>254.28</v>
      </c>
      <c r="F338" s="8">
        <f t="shared" si="32"/>
        <v>211.9</v>
      </c>
      <c r="G338" s="8">
        <f t="shared" si="33"/>
        <v>2542.8000000000002</v>
      </c>
      <c r="H338" s="8">
        <f t="shared" si="34"/>
        <v>466.18</v>
      </c>
      <c r="I338" s="10">
        <f t="shared" si="35"/>
        <v>2076.6200000000003</v>
      </c>
    </row>
    <row r="339" spans="1:9" x14ac:dyDescent="0.25">
      <c r="A339" s="6">
        <v>455</v>
      </c>
      <c r="B339" s="5" t="str">
        <f>VLOOKUP(A339, EmployeeMaster!$A:$D, 3, FALSE)</f>
        <v>Research &amp; Development</v>
      </c>
      <c r="C339" s="8">
        <v>3983</v>
      </c>
      <c r="D339" s="8">
        <f t="shared" si="30"/>
        <v>796.6</v>
      </c>
      <c r="E339" s="8">
        <f t="shared" si="31"/>
        <v>477.96</v>
      </c>
      <c r="F339" s="8">
        <f t="shared" si="32"/>
        <v>398.3</v>
      </c>
      <c r="G339" s="8">
        <f t="shared" si="33"/>
        <v>4779.6000000000004</v>
      </c>
      <c r="H339" s="8">
        <f t="shared" si="34"/>
        <v>876.26</v>
      </c>
      <c r="I339" s="10">
        <f t="shared" si="35"/>
        <v>3903.34</v>
      </c>
    </row>
    <row r="340" spans="1:9" x14ac:dyDescent="0.25">
      <c r="A340" s="6">
        <v>456</v>
      </c>
      <c r="B340" s="5" t="str">
        <f>VLOOKUP(A340, EmployeeMaster!$A:$D, 3, FALSE)</f>
        <v>Sales</v>
      </c>
      <c r="C340" s="8">
        <v>6118</v>
      </c>
      <c r="D340" s="8">
        <f t="shared" si="30"/>
        <v>1223.6000000000001</v>
      </c>
      <c r="E340" s="8">
        <f t="shared" si="31"/>
        <v>734.16</v>
      </c>
      <c r="F340" s="8">
        <f t="shared" si="32"/>
        <v>611.80000000000007</v>
      </c>
      <c r="G340" s="8">
        <f t="shared" si="33"/>
        <v>7341.6</v>
      </c>
      <c r="H340" s="8">
        <f t="shared" si="34"/>
        <v>1345.96</v>
      </c>
      <c r="I340" s="10">
        <f t="shared" si="35"/>
        <v>5995.64</v>
      </c>
    </row>
    <row r="341" spans="1:9" x14ac:dyDescent="0.25">
      <c r="A341" s="6">
        <v>458</v>
      </c>
      <c r="B341" s="5" t="str">
        <f>VLOOKUP(A341, EmployeeMaster!$A:$D, 3, FALSE)</f>
        <v>Sales</v>
      </c>
      <c r="C341" s="8">
        <v>6214</v>
      </c>
      <c r="D341" s="8">
        <f t="shared" si="30"/>
        <v>1242.8000000000002</v>
      </c>
      <c r="E341" s="8">
        <f t="shared" si="31"/>
        <v>745.68</v>
      </c>
      <c r="F341" s="8">
        <f t="shared" si="32"/>
        <v>621.40000000000009</v>
      </c>
      <c r="G341" s="8">
        <f t="shared" si="33"/>
        <v>7456.8</v>
      </c>
      <c r="H341" s="8">
        <f t="shared" si="34"/>
        <v>1367.08</v>
      </c>
      <c r="I341" s="10">
        <f t="shared" si="35"/>
        <v>6089.72</v>
      </c>
    </row>
    <row r="342" spans="1:9" x14ac:dyDescent="0.25">
      <c r="A342" s="6">
        <v>460</v>
      </c>
      <c r="B342" s="5" t="str">
        <f>VLOOKUP(A342, EmployeeMaster!$A:$D, 3, FALSE)</f>
        <v>Research &amp; Development</v>
      </c>
      <c r="C342" s="8">
        <v>6347</v>
      </c>
      <c r="D342" s="8">
        <f t="shared" si="30"/>
        <v>1269.4000000000001</v>
      </c>
      <c r="E342" s="8">
        <f t="shared" si="31"/>
        <v>761.64</v>
      </c>
      <c r="F342" s="8">
        <f t="shared" si="32"/>
        <v>634.70000000000005</v>
      </c>
      <c r="G342" s="8">
        <f t="shared" si="33"/>
        <v>7616.4</v>
      </c>
      <c r="H342" s="8">
        <f t="shared" si="34"/>
        <v>1396.3400000000001</v>
      </c>
      <c r="I342" s="10">
        <f t="shared" si="35"/>
        <v>6220.0599999999995</v>
      </c>
    </row>
    <row r="343" spans="1:9" x14ac:dyDescent="0.25">
      <c r="A343" s="6">
        <v>461</v>
      </c>
      <c r="B343" s="5" t="str">
        <f>VLOOKUP(A343, EmployeeMaster!$A:$D, 3, FALSE)</f>
        <v>Research &amp; Development</v>
      </c>
      <c r="C343" s="8">
        <v>11510</v>
      </c>
      <c r="D343" s="8">
        <f t="shared" si="30"/>
        <v>2302</v>
      </c>
      <c r="E343" s="8">
        <f t="shared" si="31"/>
        <v>1381.2</v>
      </c>
      <c r="F343" s="8">
        <f t="shared" si="32"/>
        <v>1151</v>
      </c>
      <c r="G343" s="8">
        <f t="shared" si="33"/>
        <v>13812</v>
      </c>
      <c r="H343" s="8">
        <f t="shared" si="34"/>
        <v>2532.1999999999998</v>
      </c>
      <c r="I343" s="10">
        <f t="shared" si="35"/>
        <v>11279.8</v>
      </c>
    </row>
    <row r="344" spans="1:9" x14ac:dyDescent="0.25">
      <c r="A344" s="6">
        <v>462</v>
      </c>
      <c r="B344" s="5" t="str">
        <f>VLOOKUP(A344, EmployeeMaster!$A:$D, 3, FALSE)</f>
        <v>Research &amp; Development</v>
      </c>
      <c r="C344" s="8">
        <v>7143</v>
      </c>
      <c r="D344" s="8">
        <f t="shared" si="30"/>
        <v>1428.6000000000001</v>
      </c>
      <c r="E344" s="8">
        <f t="shared" si="31"/>
        <v>857.16</v>
      </c>
      <c r="F344" s="8">
        <f t="shared" si="32"/>
        <v>714.30000000000007</v>
      </c>
      <c r="G344" s="8">
        <f t="shared" si="33"/>
        <v>8571.6</v>
      </c>
      <c r="H344" s="8">
        <f t="shared" si="34"/>
        <v>1571.46</v>
      </c>
      <c r="I344" s="10">
        <f t="shared" si="35"/>
        <v>7000.14</v>
      </c>
    </row>
    <row r="345" spans="1:9" x14ac:dyDescent="0.25">
      <c r="A345" s="6">
        <v>463</v>
      </c>
      <c r="B345" s="5" t="str">
        <f>VLOOKUP(A345, EmployeeMaster!$A:$D, 3, FALSE)</f>
        <v>Sales</v>
      </c>
      <c r="C345" s="8">
        <v>8268</v>
      </c>
      <c r="D345" s="8">
        <f t="shared" si="30"/>
        <v>1653.6000000000001</v>
      </c>
      <c r="E345" s="8">
        <f t="shared" si="31"/>
        <v>992.16</v>
      </c>
      <c r="F345" s="8">
        <f t="shared" si="32"/>
        <v>826.80000000000007</v>
      </c>
      <c r="G345" s="8">
        <f t="shared" si="33"/>
        <v>9921.6</v>
      </c>
      <c r="H345" s="8">
        <f t="shared" si="34"/>
        <v>1818.96</v>
      </c>
      <c r="I345" s="10">
        <f t="shared" si="35"/>
        <v>8102.64</v>
      </c>
    </row>
    <row r="346" spans="1:9" x14ac:dyDescent="0.25">
      <c r="A346" s="6">
        <v>464</v>
      </c>
      <c r="B346" s="5" t="str">
        <f>VLOOKUP(A346, EmployeeMaster!$A:$D, 3, FALSE)</f>
        <v>Research &amp; Development</v>
      </c>
      <c r="C346" s="8">
        <v>8095</v>
      </c>
      <c r="D346" s="8">
        <f t="shared" si="30"/>
        <v>1619</v>
      </c>
      <c r="E346" s="8">
        <f t="shared" si="31"/>
        <v>971.4</v>
      </c>
      <c r="F346" s="8">
        <f t="shared" si="32"/>
        <v>809.5</v>
      </c>
      <c r="G346" s="8">
        <f t="shared" si="33"/>
        <v>9714</v>
      </c>
      <c r="H346" s="8">
        <f t="shared" si="34"/>
        <v>1780.9</v>
      </c>
      <c r="I346" s="10">
        <f t="shared" si="35"/>
        <v>7933.1</v>
      </c>
    </row>
    <row r="347" spans="1:9" x14ac:dyDescent="0.25">
      <c r="A347" s="6">
        <v>465</v>
      </c>
      <c r="B347" s="5" t="str">
        <f>VLOOKUP(A347, EmployeeMaster!$A:$D, 3, FALSE)</f>
        <v>Research &amp; Development</v>
      </c>
      <c r="C347" s="8">
        <v>2904</v>
      </c>
      <c r="D347" s="8">
        <f t="shared" si="30"/>
        <v>580.80000000000007</v>
      </c>
      <c r="E347" s="8">
        <f t="shared" si="31"/>
        <v>348.47999999999996</v>
      </c>
      <c r="F347" s="8">
        <f t="shared" si="32"/>
        <v>290.40000000000003</v>
      </c>
      <c r="G347" s="8">
        <f t="shared" si="33"/>
        <v>3484.8</v>
      </c>
      <c r="H347" s="8">
        <f t="shared" si="34"/>
        <v>638.88</v>
      </c>
      <c r="I347" s="10">
        <f t="shared" si="35"/>
        <v>2845.92</v>
      </c>
    </row>
    <row r="348" spans="1:9" x14ac:dyDescent="0.25">
      <c r="A348" s="6">
        <v>466</v>
      </c>
      <c r="B348" s="5" t="str">
        <f>VLOOKUP(A348, EmployeeMaster!$A:$D, 3, FALSE)</f>
        <v>Research &amp; Development</v>
      </c>
      <c r="C348" s="8">
        <v>6032</v>
      </c>
      <c r="D348" s="8">
        <f t="shared" si="30"/>
        <v>1206.4000000000001</v>
      </c>
      <c r="E348" s="8">
        <f t="shared" si="31"/>
        <v>723.83999999999992</v>
      </c>
      <c r="F348" s="8">
        <f t="shared" si="32"/>
        <v>603.20000000000005</v>
      </c>
      <c r="G348" s="8">
        <f t="shared" si="33"/>
        <v>7238.4</v>
      </c>
      <c r="H348" s="8">
        <f t="shared" si="34"/>
        <v>1327.04</v>
      </c>
      <c r="I348" s="10">
        <f t="shared" si="35"/>
        <v>5911.36</v>
      </c>
    </row>
    <row r="349" spans="1:9" x14ac:dyDescent="0.25">
      <c r="A349" s="6">
        <v>467</v>
      </c>
      <c r="B349" s="5" t="str">
        <f>VLOOKUP(A349, EmployeeMaster!$A:$D, 3, FALSE)</f>
        <v>Sales</v>
      </c>
      <c r="C349" s="8">
        <v>2976</v>
      </c>
      <c r="D349" s="8">
        <f t="shared" si="30"/>
        <v>595.20000000000005</v>
      </c>
      <c r="E349" s="8">
        <f t="shared" si="31"/>
        <v>357.12</v>
      </c>
      <c r="F349" s="8">
        <f t="shared" si="32"/>
        <v>297.60000000000002</v>
      </c>
      <c r="G349" s="8">
        <f t="shared" si="33"/>
        <v>3571.2</v>
      </c>
      <c r="H349" s="8">
        <f t="shared" si="34"/>
        <v>654.72</v>
      </c>
      <c r="I349" s="10">
        <f t="shared" si="35"/>
        <v>2916.4799999999996</v>
      </c>
    </row>
    <row r="350" spans="1:9" x14ac:dyDescent="0.25">
      <c r="A350" s="6">
        <v>468</v>
      </c>
      <c r="B350" s="5" t="str">
        <f>VLOOKUP(A350, EmployeeMaster!$A:$D, 3, FALSE)</f>
        <v>Research &amp; Development</v>
      </c>
      <c r="C350" s="8">
        <v>15992</v>
      </c>
      <c r="D350" s="8">
        <f t="shared" si="30"/>
        <v>3198.4</v>
      </c>
      <c r="E350" s="8">
        <f t="shared" si="31"/>
        <v>1919.04</v>
      </c>
      <c r="F350" s="8">
        <f t="shared" si="32"/>
        <v>1599.2</v>
      </c>
      <c r="G350" s="8">
        <f t="shared" si="33"/>
        <v>19190.400000000001</v>
      </c>
      <c r="H350" s="8">
        <f t="shared" si="34"/>
        <v>3518.24</v>
      </c>
      <c r="I350" s="10">
        <f t="shared" si="35"/>
        <v>15672.160000000002</v>
      </c>
    </row>
    <row r="351" spans="1:9" x14ac:dyDescent="0.25">
      <c r="A351" s="6">
        <v>469</v>
      </c>
      <c r="B351" s="5" t="str">
        <f>VLOOKUP(A351, EmployeeMaster!$A:$D, 3, FALSE)</f>
        <v>Sales</v>
      </c>
      <c r="C351" s="8">
        <v>4649</v>
      </c>
      <c r="D351" s="8">
        <f t="shared" si="30"/>
        <v>929.80000000000007</v>
      </c>
      <c r="E351" s="8">
        <f t="shared" si="31"/>
        <v>557.88</v>
      </c>
      <c r="F351" s="8">
        <f t="shared" si="32"/>
        <v>464.90000000000003</v>
      </c>
      <c r="G351" s="8">
        <f t="shared" si="33"/>
        <v>5578.8</v>
      </c>
      <c r="H351" s="8">
        <f t="shared" si="34"/>
        <v>1022.78</v>
      </c>
      <c r="I351" s="10">
        <f t="shared" si="35"/>
        <v>4556.0200000000004</v>
      </c>
    </row>
    <row r="352" spans="1:9" x14ac:dyDescent="0.25">
      <c r="A352" s="6">
        <v>470</v>
      </c>
      <c r="B352" s="5" t="str">
        <f>VLOOKUP(A352, EmployeeMaster!$A:$D, 3, FALSE)</f>
        <v>Human Resources</v>
      </c>
      <c r="C352" s="8">
        <v>2696</v>
      </c>
      <c r="D352" s="8">
        <f t="shared" si="30"/>
        <v>539.20000000000005</v>
      </c>
      <c r="E352" s="8">
        <f t="shared" si="31"/>
        <v>323.52</v>
      </c>
      <c r="F352" s="8">
        <f t="shared" si="32"/>
        <v>269.60000000000002</v>
      </c>
      <c r="G352" s="8">
        <f t="shared" si="33"/>
        <v>3235.2</v>
      </c>
      <c r="H352" s="8">
        <f t="shared" si="34"/>
        <v>593.12</v>
      </c>
      <c r="I352" s="10">
        <f t="shared" si="35"/>
        <v>2642.08</v>
      </c>
    </row>
    <row r="353" spans="1:9" x14ac:dyDescent="0.25">
      <c r="A353" s="6">
        <v>471</v>
      </c>
      <c r="B353" s="5" t="str">
        <f>VLOOKUP(A353, EmployeeMaster!$A:$D, 3, FALSE)</f>
        <v>Research &amp; Development</v>
      </c>
      <c r="C353" s="8">
        <v>2370</v>
      </c>
      <c r="D353" s="8">
        <f t="shared" si="30"/>
        <v>474</v>
      </c>
      <c r="E353" s="8">
        <f t="shared" si="31"/>
        <v>284.39999999999998</v>
      </c>
      <c r="F353" s="8">
        <f t="shared" si="32"/>
        <v>237</v>
      </c>
      <c r="G353" s="8">
        <f t="shared" si="33"/>
        <v>2844</v>
      </c>
      <c r="H353" s="8">
        <f t="shared" si="34"/>
        <v>521.4</v>
      </c>
      <c r="I353" s="10">
        <f t="shared" si="35"/>
        <v>2322.6</v>
      </c>
    </row>
    <row r="354" spans="1:9" x14ac:dyDescent="0.25">
      <c r="A354" s="6">
        <v>473</v>
      </c>
      <c r="B354" s="5" t="str">
        <f>VLOOKUP(A354, EmployeeMaster!$A:$D, 3, FALSE)</f>
        <v>Sales</v>
      </c>
      <c r="C354" s="8">
        <v>12504</v>
      </c>
      <c r="D354" s="8">
        <f t="shared" si="30"/>
        <v>2500.8000000000002</v>
      </c>
      <c r="E354" s="8">
        <f t="shared" si="31"/>
        <v>1500.48</v>
      </c>
      <c r="F354" s="8">
        <f t="shared" si="32"/>
        <v>1250.4000000000001</v>
      </c>
      <c r="G354" s="8">
        <f t="shared" si="33"/>
        <v>15004.8</v>
      </c>
      <c r="H354" s="8">
        <f t="shared" si="34"/>
        <v>2750.88</v>
      </c>
      <c r="I354" s="10">
        <f t="shared" si="35"/>
        <v>12253.919999999998</v>
      </c>
    </row>
    <row r="355" spans="1:9" x14ac:dyDescent="0.25">
      <c r="A355" s="6">
        <v>474</v>
      </c>
      <c r="B355" s="5" t="str">
        <f>VLOOKUP(A355, EmployeeMaster!$A:$D, 3, FALSE)</f>
        <v>Research &amp; Development</v>
      </c>
      <c r="C355" s="8">
        <v>5974</v>
      </c>
      <c r="D355" s="8">
        <f t="shared" si="30"/>
        <v>1194.8</v>
      </c>
      <c r="E355" s="8">
        <f t="shared" si="31"/>
        <v>716.88</v>
      </c>
      <c r="F355" s="8">
        <f t="shared" si="32"/>
        <v>597.4</v>
      </c>
      <c r="G355" s="8">
        <f t="shared" si="33"/>
        <v>7168.8</v>
      </c>
      <c r="H355" s="8">
        <f t="shared" si="34"/>
        <v>1314.28</v>
      </c>
      <c r="I355" s="10">
        <f t="shared" si="35"/>
        <v>5854.52</v>
      </c>
    </row>
    <row r="356" spans="1:9" x14ac:dyDescent="0.25">
      <c r="A356" s="6">
        <v>475</v>
      </c>
      <c r="B356" s="5" t="str">
        <f>VLOOKUP(A356, EmployeeMaster!$A:$D, 3, FALSE)</f>
        <v>Sales</v>
      </c>
      <c r="C356" s="8">
        <v>4736</v>
      </c>
      <c r="D356" s="8">
        <f t="shared" si="30"/>
        <v>947.2</v>
      </c>
      <c r="E356" s="8">
        <f t="shared" si="31"/>
        <v>568.31999999999994</v>
      </c>
      <c r="F356" s="8">
        <f t="shared" si="32"/>
        <v>473.6</v>
      </c>
      <c r="G356" s="8">
        <f t="shared" si="33"/>
        <v>5683.2</v>
      </c>
      <c r="H356" s="8">
        <f t="shared" si="34"/>
        <v>1041.92</v>
      </c>
      <c r="I356" s="10">
        <f t="shared" si="35"/>
        <v>4641.28</v>
      </c>
    </row>
    <row r="357" spans="1:9" x14ac:dyDescent="0.25">
      <c r="A357" s="6">
        <v>476</v>
      </c>
      <c r="B357" s="5" t="str">
        <f>VLOOKUP(A357, EmployeeMaster!$A:$D, 3, FALSE)</f>
        <v>Sales</v>
      </c>
      <c r="C357" s="8">
        <v>5296</v>
      </c>
      <c r="D357" s="8">
        <f t="shared" si="30"/>
        <v>1059.2</v>
      </c>
      <c r="E357" s="8">
        <f t="shared" si="31"/>
        <v>635.52</v>
      </c>
      <c r="F357" s="8">
        <f t="shared" si="32"/>
        <v>529.6</v>
      </c>
      <c r="G357" s="8">
        <f t="shared" si="33"/>
        <v>6355.2</v>
      </c>
      <c r="H357" s="8">
        <f t="shared" si="34"/>
        <v>1165.1199999999999</v>
      </c>
      <c r="I357" s="10">
        <f t="shared" si="35"/>
        <v>5190.08</v>
      </c>
    </row>
    <row r="358" spans="1:9" x14ac:dyDescent="0.25">
      <c r="A358" s="6">
        <v>477</v>
      </c>
      <c r="B358" s="5" t="str">
        <f>VLOOKUP(A358, EmployeeMaster!$A:$D, 3, FALSE)</f>
        <v>Research &amp; Development</v>
      </c>
      <c r="C358" s="8">
        <v>6781</v>
      </c>
      <c r="D358" s="8">
        <f t="shared" si="30"/>
        <v>1356.2</v>
      </c>
      <c r="E358" s="8">
        <f t="shared" si="31"/>
        <v>813.71999999999991</v>
      </c>
      <c r="F358" s="8">
        <f t="shared" si="32"/>
        <v>678.1</v>
      </c>
      <c r="G358" s="8">
        <f t="shared" si="33"/>
        <v>8137.2</v>
      </c>
      <c r="H358" s="8">
        <f t="shared" si="34"/>
        <v>1491.82</v>
      </c>
      <c r="I358" s="10">
        <f t="shared" si="35"/>
        <v>6645.38</v>
      </c>
    </row>
    <row r="359" spans="1:9" x14ac:dyDescent="0.25">
      <c r="A359" s="6">
        <v>478</v>
      </c>
      <c r="B359" s="5" t="str">
        <f>VLOOKUP(A359, EmployeeMaster!$A:$D, 3, FALSE)</f>
        <v>Sales</v>
      </c>
      <c r="C359" s="8">
        <v>2174</v>
      </c>
      <c r="D359" s="8">
        <f t="shared" si="30"/>
        <v>434.8</v>
      </c>
      <c r="E359" s="8">
        <f t="shared" si="31"/>
        <v>260.88</v>
      </c>
      <c r="F359" s="8">
        <f t="shared" si="32"/>
        <v>217.4</v>
      </c>
      <c r="G359" s="8">
        <f t="shared" si="33"/>
        <v>2608.8000000000002</v>
      </c>
      <c r="H359" s="8">
        <f t="shared" si="34"/>
        <v>478.28</v>
      </c>
      <c r="I359" s="10">
        <f t="shared" si="35"/>
        <v>2130.5200000000004</v>
      </c>
    </row>
    <row r="360" spans="1:9" x14ac:dyDescent="0.25">
      <c r="A360" s="6">
        <v>479</v>
      </c>
      <c r="B360" s="5" t="str">
        <f>VLOOKUP(A360, EmployeeMaster!$A:$D, 3, FALSE)</f>
        <v>Sales</v>
      </c>
      <c r="C360" s="8">
        <v>6653</v>
      </c>
      <c r="D360" s="8">
        <f t="shared" si="30"/>
        <v>1330.6000000000001</v>
      </c>
      <c r="E360" s="8">
        <f t="shared" si="31"/>
        <v>798.36</v>
      </c>
      <c r="F360" s="8">
        <f t="shared" si="32"/>
        <v>665.30000000000007</v>
      </c>
      <c r="G360" s="8">
        <f t="shared" si="33"/>
        <v>7983.6</v>
      </c>
      <c r="H360" s="8">
        <f t="shared" si="34"/>
        <v>1463.66</v>
      </c>
      <c r="I360" s="10">
        <f t="shared" si="35"/>
        <v>6519.9400000000005</v>
      </c>
    </row>
    <row r="361" spans="1:9" x14ac:dyDescent="0.25">
      <c r="A361" s="6">
        <v>481</v>
      </c>
      <c r="B361" s="5" t="str">
        <f>VLOOKUP(A361, EmployeeMaster!$A:$D, 3, FALSE)</f>
        <v>Sales</v>
      </c>
      <c r="C361" s="8">
        <v>9699</v>
      </c>
      <c r="D361" s="8">
        <f t="shared" si="30"/>
        <v>1939.8000000000002</v>
      </c>
      <c r="E361" s="8">
        <f t="shared" si="31"/>
        <v>1163.8799999999999</v>
      </c>
      <c r="F361" s="8">
        <f t="shared" si="32"/>
        <v>969.90000000000009</v>
      </c>
      <c r="G361" s="8">
        <f t="shared" si="33"/>
        <v>11638.8</v>
      </c>
      <c r="H361" s="8">
        <f t="shared" si="34"/>
        <v>2133.7799999999997</v>
      </c>
      <c r="I361" s="10">
        <f t="shared" si="35"/>
        <v>9505.02</v>
      </c>
    </row>
    <row r="362" spans="1:9" x14ac:dyDescent="0.25">
      <c r="A362" s="6">
        <v>482</v>
      </c>
      <c r="B362" s="5" t="str">
        <f>VLOOKUP(A362, EmployeeMaster!$A:$D, 3, FALSE)</f>
        <v>Research &amp; Development</v>
      </c>
      <c r="C362" s="8">
        <v>6755</v>
      </c>
      <c r="D362" s="8">
        <f t="shared" si="30"/>
        <v>1351</v>
      </c>
      <c r="E362" s="8">
        <f t="shared" si="31"/>
        <v>810.6</v>
      </c>
      <c r="F362" s="8">
        <f t="shared" si="32"/>
        <v>675.5</v>
      </c>
      <c r="G362" s="8">
        <f t="shared" si="33"/>
        <v>8106</v>
      </c>
      <c r="H362" s="8">
        <f t="shared" si="34"/>
        <v>1486.1</v>
      </c>
      <c r="I362" s="10">
        <f t="shared" si="35"/>
        <v>6619.9</v>
      </c>
    </row>
    <row r="363" spans="1:9" x14ac:dyDescent="0.25">
      <c r="A363" s="6">
        <v>483</v>
      </c>
      <c r="B363" s="5" t="str">
        <f>VLOOKUP(A363, EmployeeMaster!$A:$D, 3, FALSE)</f>
        <v>Research &amp; Development</v>
      </c>
      <c r="C363" s="8">
        <v>2213</v>
      </c>
      <c r="D363" s="8">
        <f t="shared" si="30"/>
        <v>442.6</v>
      </c>
      <c r="E363" s="8">
        <f t="shared" si="31"/>
        <v>265.56</v>
      </c>
      <c r="F363" s="8">
        <f t="shared" si="32"/>
        <v>221.3</v>
      </c>
      <c r="G363" s="8">
        <f t="shared" si="33"/>
        <v>2655.6</v>
      </c>
      <c r="H363" s="8">
        <f t="shared" si="34"/>
        <v>486.86</v>
      </c>
      <c r="I363" s="10">
        <f t="shared" si="35"/>
        <v>2168.7399999999998</v>
      </c>
    </row>
    <row r="364" spans="1:9" x14ac:dyDescent="0.25">
      <c r="A364" s="6">
        <v>484</v>
      </c>
      <c r="B364" s="5" t="str">
        <f>VLOOKUP(A364, EmployeeMaster!$A:$D, 3, FALSE)</f>
        <v>Sales</v>
      </c>
      <c r="C364" s="8">
        <v>2610</v>
      </c>
      <c r="D364" s="8">
        <f t="shared" si="30"/>
        <v>522</v>
      </c>
      <c r="E364" s="8">
        <f t="shared" si="31"/>
        <v>313.2</v>
      </c>
      <c r="F364" s="8">
        <f t="shared" si="32"/>
        <v>261</v>
      </c>
      <c r="G364" s="8">
        <f t="shared" si="33"/>
        <v>3132</v>
      </c>
      <c r="H364" s="8">
        <f t="shared" si="34"/>
        <v>574.20000000000005</v>
      </c>
      <c r="I364" s="10">
        <f t="shared" si="35"/>
        <v>2557.8000000000002</v>
      </c>
    </row>
    <row r="365" spans="1:9" x14ac:dyDescent="0.25">
      <c r="A365" s="6">
        <v>485</v>
      </c>
      <c r="B365" s="5" t="str">
        <f>VLOOKUP(A365, EmployeeMaster!$A:$D, 3, FALSE)</f>
        <v>Sales</v>
      </c>
      <c r="C365" s="8">
        <v>2851</v>
      </c>
      <c r="D365" s="8">
        <f t="shared" si="30"/>
        <v>570.20000000000005</v>
      </c>
      <c r="E365" s="8">
        <f t="shared" si="31"/>
        <v>342.12</v>
      </c>
      <c r="F365" s="8">
        <f t="shared" si="32"/>
        <v>285.10000000000002</v>
      </c>
      <c r="G365" s="8">
        <f t="shared" si="33"/>
        <v>3421.2</v>
      </c>
      <c r="H365" s="8">
        <f t="shared" si="34"/>
        <v>627.22</v>
      </c>
      <c r="I365" s="10">
        <f t="shared" si="35"/>
        <v>2793.9799999999996</v>
      </c>
    </row>
    <row r="366" spans="1:9" x14ac:dyDescent="0.25">
      <c r="A366" s="6">
        <v>486</v>
      </c>
      <c r="B366" s="5" t="str">
        <f>VLOOKUP(A366, EmployeeMaster!$A:$D, 3, FALSE)</f>
        <v>Research &amp; Development</v>
      </c>
      <c r="C366" s="8">
        <v>3452</v>
      </c>
      <c r="D366" s="8">
        <f t="shared" si="30"/>
        <v>690.40000000000009</v>
      </c>
      <c r="E366" s="8">
        <f t="shared" si="31"/>
        <v>414.24</v>
      </c>
      <c r="F366" s="8">
        <f t="shared" si="32"/>
        <v>345.20000000000005</v>
      </c>
      <c r="G366" s="8">
        <f t="shared" si="33"/>
        <v>4142.3999999999996</v>
      </c>
      <c r="H366" s="8">
        <f t="shared" si="34"/>
        <v>759.44</v>
      </c>
      <c r="I366" s="10">
        <f t="shared" si="35"/>
        <v>3382.9599999999996</v>
      </c>
    </row>
    <row r="367" spans="1:9" x14ac:dyDescent="0.25">
      <c r="A367" s="6">
        <v>487</v>
      </c>
      <c r="B367" s="5" t="str">
        <f>VLOOKUP(A367, EmployeeMaster!$A:$D, 3, FALSE)</f>
        <v>Research &amp; Development</v>
      </c>
      <c r="C367" s="8">
        <v>5258</v>
      </c>
      <c r="D367" s="8">
        <f t="shared" si="30"/>
        <v>1051.6000000000001</v>
      </c>
      <c r="E367" s="8">
        <f t="shared" si="31"/>
        <v>630.95999999999992</v>
      </c>
      <c r="F367" s="8">
        <f t="shared" si="32"/>
        <v>525.80000000000007</v>
      </c>
      <c r="G367" s="8">
        <f t="shared" si="33"/>
        <v>6309.6</v>
      </c>
      <c r="H367" s="8">
        <f t="shared" si="34"/>
        <v>1156.76</v>
      </c>
      <c r="I367" s="10">
        <f t="shared" si="35"/>
        <v>5152.84</v>
      </c>
    </row>
    <row r="368" spans="1:9" x14ac:dyDescent="0.25">
      <c r="A368" s="6">
        <v>488</v>
      </c>
      <c r="B368" s="5" t="str">
        <f>VLOOKUP(A368, EmployeeMaster!$A:$D, 3, FALSE)</f>
        <v>Sales</v>
      </c>
      <c r="C368" s="8">
        <v>9355</v>
      </c>
      <c r="D368" s="8">
        <f t="shared" si="30"/>
        <v>1871</v>
      </c>
      <c r="E368" s="8">
        <f t="shared" si="31"/>
        <v>1122.5999999999999</v>
      </c>
      <c r="F368" s="8">
        <f t="shared" si="32"/>
        <v>935.5</v>
      </c>
      <c r="G368" s="8">
        <f t="shared" si="33"/>
        <v>11226</v>
      </c>
      <c r="H368" s="8">
        <f t="shared" si="34"/>
        <v>2058.1</v>
      </c>
      <c r="I368" s="10">
        <f t="shared" si="35"/>
        <v>9167.9</v>
      </c>
    </row>
    <row r="369" spans="1:9" x14ac:dyDescent="0.25">
      <c r="A369" s="6">
        <v>491</v>
      </c>
      <c r="B369" s="5" t="str">
        <f>VLOOKUP(A369, EmployeeMaster!$A:$D, 3, FALSE)</f>
        <v>Research &amp; Development</v>
      </c>
      <c r="C369" s="8">
        <v>10496</v>
      </c>
      <c r="D369" s="8">
        <f t="shared" si="30"/>
        <v>2099.2000000000003</v>
      </c>
      <c r="E369" s="8">
        <f t="shared" si="31"/>
        <v>1259.52</v>
      </c>
      <c r="F369" s="8">
        <f t="shared" si="32"/>
        <v>1049.6000000000001</v>
      </c>
      <c r="G369" s="8">
        <f t="shared" si="33"/>
        <v>12595.2</v>
      </c>
      <c r="H369" s="8">
        <f t="shared" si="34"/>
        <v>2309.12</v>
      </c>
      <c r="I369" s="10">
        <f t="shared" si="35"/>
        <v>10286.080000000002</v>
      </c>
    </row>
    <row r="370" spans="1:9" x14ac:dyDescent="0.25">
      <c r="A370" s="6">
        <v>492</v>
      </c>
      <c r="B370" s="5" t="str">
        <f>VLOOKUP(A370, EmployeeMaster!$A:$D, 3, FALSE)</f>
        <v>Sales</v>
      </c>
      <c r="C370" s="8">
        <v>6380</v>
      </c>
      <c r="D370" s="8">
        <f t="shared" si="30"/>
        <v>1276</v>
      </c>
      <c r="E370" s="8">
        <f t="shared" si="31"/>
        <v>765.6</v>
      </c>
      <c r="F370" s="8">
        <f t="shared" si="32"/>
        <v>638</v>
      </c>
      <c r="G370" s="8">
        <f t="shared" si="33"/>
        <v>7656</v>
      </c>
      <c r="H370" s="8">
        <f t="shared" si="34"/>
        <v>1403.6</v>
      </c>
      <c r="I370" s="10">
        <f t="shared" si="35"/>
        <v>6252.4</v>
      </c>
    </row>
    <row r="371" spans="1:9" x14ac:dyDescent="0.25">
      <c r="A371" s="6">
        <v>493</v>
      </c>
      <c r="B371" s="5" t="str">
        <f>VLOOKUP(A371, EmployeeMaster!$A:$D, 3, FALSE)</f>
        <v>Research &amp; Development</v>
      </c>
      <c r="C371" s="8">
        <v>2657</v>
      </c>
      <c r="D371" s="8">
        <f t="shared" si="30"/>
        <v>531.4</v>
      </c>
      <c r="E371" s="8">
        <f t="shared" si="31"/>
        <v>318.83999999999997</v>
      </c>
      <c r="F371" s="8">
        <f t="shared" si="32"/>
        <v>265.7</v>
      </c>
      <c r="G371" s="8">
        <f t="shared" si="33"/>
        <v>3188.4</v>
      </c>
      <c r="H371" s="8">
        <f t="shared" si="34"/>
        <v>584.54</v>
      </c>
      <c r="I371" s="10">
        <f t="shared" si="35"/>
        <v>2603.86</v>
      </c>
    </row>
    <row r="372" spans="1:9" x14ac:dyDescent="0.25">
      <c r="A372" s="6">
        <v>494</v>
      </c>
      <c r="B372" s="5" t="str">
        <f>VLOOKUP(A372, EmployeeMaster!$A:$D, 3, FALSE)</f>
        <v>Sales</v>
      </c>
      <c r="C372" s="8">
        <v>2716</v>
      </c>
      <c r="D372" s="8">
        <f t="shared" si="30"/>
        <v>543.20000000000005</v>
      </c>
      <c r="E372" s="8">
        <f t="shared" si="31"/>
        <v>325.92</v>
      </c>
      <c r="F372" s="8">
        <f t="shared" si="32"/>
        <v>271.60000000000002</v>
      </c>
      <c r="G372" s="8">
        <f t="shared" si="33"/>
        <v>3259.2</v>
      </c>
      <c r="H372" s="8">
        <f t="shared" si="34"/>
        <v>597.52</v>
      </c>
      <c r="I372" s="10">
        <f t="shared" si="35"/>
        <v>2661.68</v>
      </c>
    </row>
    <row r="373" spans="1:9" x14ac:dyDescent="0.25">
      <c r="A373" s="6">
        <v>495</v>
      </c>
      <c r="B373" s="5" t="str">
        <f>VLOOKUP(A373, EmployeeMaster!$A:$D, 3, FALSE)</f>
        <v>Research &amp; Development</v>
      </c>
      <c r="C373" s="8">
        <v>2201</v>
      </c>
      <c r="D373" s="8">
        <f t="shared" si="30"/>
        <v>440.20000000000005</v>
      </c>
      <c r="E373" s="8">
        <f t="shared" si="31"/>
        <v>264.12</v>
      </c>
      <c r="F373" s="8">
        <f t="shared" si="32"/>
        <v>220.10000000000002</v>
      </c>
      <c r="G373" s="8">
        <f t="shared" si="33"/>
        <v>2641.2</v>
      </c>
      <c r="H373" s="8">
        <f t="shared" si="34"/>
        <v>484.22</v>
      </c>
      <c r="I373" s="10">
        <f t="shared" si="35"/>
        <v>2156.9799999999996</v>
      </c>
    </row>
    <row r="374" spans="1:9" x14ac:dyDescent="0.25">
      <c r="A374" s="6">
        <v>496</v>
      </c>
      <c r="B374" s="5" t="str">
        <f>VLOOKUP(A374, EmployeeMaster!$A:$D, 3, FALSE)</f>
        <v>Research &amp; Development</v>
      </c>
      <c r="C374" s="8">
        <v>6540</v>
      </c>
      <c r="D374" s="8">
        <f t="shared" si="30"/>
        <v>1308</v>
      </c>
      <c r="E374" s="8">
        <f t="shared" si="31"/>
        <v>784.8</v>
      </c>
      <c r="F374" s="8">
        <f t="shared" si="32"/>
        <v>654</v>
      </c>
      <c r="G374" s="8">
        <f t="shared" si="33"/>
        <v>7848</v>
      </c>
      <c r="H374" s="8">
        <f t="shared" si="34"/>
        <v>1438.8</v>
      </c>
      <c r="I374" s="10">
        <f t="shared" si="35"/>
        <v>6409.2</v>
      </c>
    </row>
    <row r="375" spans="1:9" x14ac:dyDescent="0.25">
      <c r="A375" s="6">
        <v>497</v>
      </c>
      <c r="B375" s="5" t="str">
        <f>VLOOKUP(A375, EmployeeMaster!$A:$D, 3, FALSE)</f>
        <v>Research &amp; Development</v>
      </c>
      <c r="C375" s="8">
        <v>3816</v>
      </c>
      <c r="D375" s="8">
        <f t="shared" si="30"/>
        <v>763.2</v>
      </c>
      <c r="E375" s="8">
        <f t="shared" si="31"/>
        <v>457.91999999999996</v>
      </c>
      <c r="F375" s="8">
        <f t="shared" si="32"/>
        <v>381.6</v>
      </c>
      <c r="G375" s="8">
        <f t="shared" si="33"/>
        <v>4579.2</v>
      </c>
      <c r="H375" s="8">
        <f t="shared" si="34"/>
        <v>839.52</v>
      </c>
      <c r="I375" s="10">
        <f t="shared" si="35"/>
        <v>3739.68</v>
      </c>
    </row>
    <row r="376" spans="1:9" x14ac:dyDescent="0.25">
      <c r="A376" s="6">
        <v>498</v>
      </c>
      <c r="B376" s="5" t="str">
        <f>VLOOKUP(A376, EmployeeMaster!$A:$D, 3, FALSE)</f>
        <v>Sales</v>
      </c>
      <c r="C376" s="8">
        <v>5253</v>
      </c>
      <c r="D376" s="8">
        <f t="shared" si="30"/>
        <v>1050.6000000000001</v>
      </c>
      <c r="E376" s="8">
        <f t="shared" si="31"/>
        <v>630.36</v>
      </c>
      <c r="F376" s="8">
        <f t="shared" si="32"/>
        <v>525.30000000000007</v>
      </c>
      <c r="G376" s="8">
        <f t="shared" si="33"/>
        <v>6303.6</v>
      </c>
      <c r="H376" s="8">
        <f t="shared" si="34"/>
        <v>1155.6600000000001</v>
      </c>
      <c r="I376" s="10">
        <f t="shared" si="35"/>
        <v>5147.9400000000005</v>
      </c>
    </row>
    <row r="377" spans="1:9" x14ac:dyDescent="0.25">
      <c r="A377" s="6">
        <v>499</v>
      </c>
      <c r="B377" s="5" t="str">
        <f>VLOOKUP(A377, EmployeeMaster!$A:$D, 3, FALSE)</f>
        <v>Research &amp; Development</v>
      </c>
      <c r="C377" s="8">
        <v>10965</v>
      </c>
      <c r="D377" s="8">
        <f t="shared" si="30"/>
        <v>2193</v>
      </c>
      <c r="E377" s="8">
        <f t="shared" si="31"/>
        <v>1315.8</v>
      </c>
      <c r="F377" s="8">
        <f t="shared" si="32"/>
        <v>1096.5</v>
      </c>
      <c r="G377" s="8">
        <f t="shared" si="33"/>
        <v>13158</v>
      </c>
      <c r="H377" s="8">
        <f t="shared" si="34"/>
        <v>2412.3000000000002</v>
      </c>
      <c r="I377" s="10">
        <f t="shared" si="35"/>
        <v>10745.7</v>
      </c>
    </row>
    <row r="378" spans="1:9" x14ac:dyDescent="0.25">
      <c r="A378" s="6">
        <v>500</v>
      </c>
      <c r="B378" s="5" t="str">
        <f>VLOOKUP(A378, EmployeeMaster!$A:$D, 3, FALSE)</f>
        <v>Sales</v>
      </c>
      <c r="C378" s="8">
        <v>4936</v>
      </c>
      <c r="D378" s="8">
        <f t="shared" si="30"/>
        <v>987.2</v>
      </c>
      <c r="E378" s="8">
        <f t="shared" si="31"/>
        <v>592.31999999999994</v>
      </c>
      <c r="F378" s="8">
        <f t="shared" si="32"/>
        <v>493.6</v>
      </c>
      <c r="G378" s="8">
        <f t="shared" si="33"/>
        <v>5923.2</v>
      </c>
      <c r="H378" s="8">
        <f t="shared" si="34"/>
        <v>1085.92</v>
      </c>
      <c r="I378" s="10">
        <f t="shared" si="35"/>
        <v>4837.28</v>
      </c>
    </row>
    <row r="379" spans="1:9" x14ac:dyDescent="0.25">
      <c r="A379" s="6">
        <v>501</v>
      </c>
      <c r="B379" s="5" t="str">
        <f>VLOOKUP(A379, EmployeeMaster!$A:$D, 3, FALSE)</f>
        <v>Research &amp; Development</v>
      </c>
      <c r="C379" s="8">
        <v>2543</v>
      </c>
      <c r="D379" s="8">
        <f t="shared" si="30"/>
        <v>508.6</v>
      </c>
      <c r="E379" s="8">
        <f t="shared" si="31"/>
        <v>305.15999999999997</v>
      </c>
      <c r="F379" s="8">
        <f t="shared" si="32"/>
        <v>254.3</v>
      </c>
      <c r="G379" s="8">
        <f t="shared" si="33"/>
        <v>3051.6</v>
      </c>
      <c r="H379" s="8">
        <f t="shared" si="34"/>
        <v>559.46</v>
      </c>
      <c r="I379" s="10">
        <f t="shared" si="35"/>
        <v>2492.14</v>
      </c>
    </row>
    <row r="380" spans="1:9" x14ac:dyDescent="0.25">
      <c r="A380" s="6">
        <v>502</v>
      </c>
      <c r="B380" s="5" t="str">
        <f>VLOOKUP(A380, EmployeeMaster!$A:$D, 3, FALSE)</f>
        <v>Sales</v>
      </c>
      <c r="C380" s="8">
        <v>5304</v>
      </c>
      <c r="D380" s="8">
        <f t="shared" si="30"/>
        <v>1060.8</v>
      </c>
      <c r="E380" s="8">
        <f t="shared" si="31"/>
        <v>636.48</v>
      </c>
      <c r="F380" s="8">
        <f t="shared" si="32"/>
        <v>530.4</v>
      </c>
      <c r="G380" s="8">
        <f t="shared" si="33"/>
        <v>6364.8</v>
      </c>
      <c r="H380" s="8">
        <f t="shared" si="34"/>
        <v>1166.8800000000001</v>
      </c>
      <c r="I380" s="10">
        <f t="shared" si="35"/>
        <v>5197.92</v>
      </c>
    </row>
    <row r="381" spans="1:9" x14ac:dyDescent="0.25">
      <c r="A381" s="6">
        <v>505</v>
      </c>
      <c r="B381" s="5" t="str">
        <f>VLOOKUP(A381, EmployeeMaster!$A:$D, 3, FALSE)</f>
        <v>Research &amp; Development</v>
      </c>
      <c r="C381" s="8">
        <v>16659</v>
      </c>
      <c r="D381" s="8">
        <f t="shared" si="30"/>
        <v>3331.8</v>
      </c>
      <c r="E381" s="8">
        <f t="shared" si="31"/>
        <v>1999.08</v>
      </c>
      <c r="F381" s="8">
        <f t="shared" si="32"/>
        <v>1665.9</v>
      </c>
      <c r="G381" s="8">
        <f t="shared" si="33"/>
        <v>19990.8</v>
      </c>
      <c r="H381" s="8">
        <f t="shared" si="34"/>
        <v>3664.98</v>
      </c>
      <c r="I381" s="10">
        <f t="shared" si="35"/>
        <v>16325.82</v>
      </c>
    </row>
    <row r="382" spans="1:9" x14ac:dyDescent="0.25">
      <c r="A382" s="6">
        <v>507</v>
      </c>
      <c r="B382" s="5" t="str">
        <f>VLOOKUP(A382, EmployeeMaster!$A:$D, 3, FALSE)</f>
        <v>Sales</v>
      </c>
      <c r="C382" s="8">
        <v>4260</v>
      </c>
      <c r="D382" s="8">
        <f t="shared" si="30"/>
        <v>852</v>
      </c>
      <c r="E382" s="8">
        <f t="shared" si="31"/>
        <v>511.2</v>
      </c>
      <c r="F382" s="8">
        <f t="shared" si="32"/>
        <v>426</v>
      </c>
      <c r="G382" s="8">
        <f t="shared" si="33"/>
        <v>5112</v>
      </c>
      <c r="H382" s="8">
        <f t="shared" si="34"/>
        <v>937.2</v>
      </c>
      <c r="I382" s="10">
        <f t="shared" si="35"/>
        <v>4174.8</v>
      </c>
    </row>
    <row r="383" spans="1:9" x14ac:dyDescent="0.25">
      <c r="A383" s="6">
        <v>508</v>
      </c>
      <c r="B383" s="5" t="str">
        <f>VLOOKUP(A383, EmployeeMaster!$A:$D, 3, FALSE)</f>
        <v>Sales</v>
      </c>
      <c r="C383" s="8">
        <v>2476</v>
      </c>
      <c r="D383" s="8">
        <f t="shared" si="30"/>
        <v>495.20000000000005</v>
      </c>
      <c r="E383" s="8">
        <f t="shared" si="31"/>
        <v>297.12</v>
      </c>
      <c r="F383" s="8">
        <f t="shared" si="32"/>
        <v>247.60000000000002</v>
      </c>
      <c r="G383" s="8">
        <f t="shared" si="33"/>
        <v>2971.2</v>
      </c>
      <c r="H383" s="8">
        <f t="shared" si="34"/>
        <v>544.72</v>
      </c>
      <c r="I383" s="10">
        <f t="shared" si="35"/>
        <v>2426.4799999999996</v>
      </c>
    </row>
    <row r="384" spans="1:9" x14ac:dyDescent="0.25">
      <c r="A384" s="6">
        <v>510</v>
      </c>
      <c r="B384" s="5" t="str">
        <f>VLOOKUP(A384, EmployeeMaster!$A:$D, 3, FALSE)</f>
        <v>Research &amp; Development</v>
      </c>
      <c r="C384" s="8">
        <v>3102</v>
      </c>
      <c r="D384" s="8">
        <f t="shared" si="30"/>
        <v>620.40000000000009</v>
      </c>
      <c r="E384" s="8">
        <f t="shared" si="31"/>
        <v>372.24</v>
      </c>
      <c r="F384" s="8">
        <f t="shared" si="32"/>
        <v>310.20000000000005</v>
      </c>
      <c r="G384" s="8">
        <f t="shared" si="33"/>
        <v>3722.4</v>
      </c>
      <c r="H384" s="8">
        <f t="shared" si="34"/>
        <v>682.44</v>
      </c>
      <c r="I384" s="10">
        <f t="shared" si="35"/>
        <v>3039.96</v>
      </c>
    </row>
    <row r="385" spans="1:9" x14ac:dyDescent="0.25">
      <c r="A385" s="6">
        <v>511</v>
      </c>
      <c r="B385" s="5" t="str">
        <f>VLOOKUP(A385, EmployeeMaster!$A:$D, 3, FALSE)</f>
        <v>Research &amp; Development</v>
      </c>
      <c r="C385" s="8">
        <v>2244</v>
      </c>
      <c r="D385" s="8">
        <f t="shared" si="30"/>
        <v>448.8</v>
      </c>
      <c r="E385" s="8">
        <f t="shared" si="31"/>
        <v>269.27999999999997</v>
      </c>
      <c r="F385" s="8">
        <f t="shared" si="32"/>
        <v>224.4</v>
      </c>
      <c r="G385" s="8">
        <f t="shared" si="33"/>
        <v>2692.8</v>
      </c>
      <c r="H385" s="8">
        <f t="shared" si="34"/>
        <v>493.67999999999995</v>
      </c>
      <c r="I385" s="10">
        <f t="shared" si="35"/>
        <v>2199.1200000000003</v>
      </c>
    </row>
    <row r="386" spans="1:9" x14ac:dyDescent="0.25">
      <c r="A386" s="6">
        <v>513</v>
      </c>
      <c r="B386" s="5" t="str">
        <f>VLOOKUP(A386, EmployeeMaster!$A:$D, 3, FALSE)</f>
        <v>Sales</v>
      </c>
      <c r="C386" s="8">
        <v>7596</v>
      </c>
      <c r="D386" s="8">
        <f t="shared" si="30"/>
        <v>1519.2</v>
      </c>
      <c r="E386" s="8">
        <f t="shared" si="31"/>
        <v>911.52</v>
      </c>
      <c r="F386" s="8">
        <f t="shared" si="32"/>
        <v>759.6</v>
      </c>
      <c r="G386" s="8">
        <f t="shared" si="33"/>
        <v>9115.2000000000007</v>
      </c>
      <c r="H386" s="8">
        <f t="shared" si="34"/>
        <v>1671.12</v>
      </c>
      <c r="I386" s="10">
        <f t="shared" si="35"/>
        <v>7444.0800000000008</v>
      </c>
    </row>
    <row r="387" spans="1:9" x14ac:dyDescent="0.25">
      <c r="A387" s="6">
        <v>514</v>
      </c>
      <c r="B387" s="5" t="str">
        <f>VLOOKUP(A387, EmployeeMaster!$A:$D, 3, FALSE)</f>
        <v>Research &amp; Development</v>
      </c>
      <c r="C387" s="8">
        <v>2285</v>
      </c>
      <c r="D387" s="8">
        <f t="shared" ref="D387:D450" si="36">C387*20%</f>
        <v>457</v>
      </c>
      <c r="E387" s="8">
        <f t="shared" ref="E387:E450" si="37">C387*12%</f>
        <v>274.2</v>
      </c>
      <c r="F387" s="8">
        <f t="shared" ref="F387:F450" si="38">C387*10%</f>
        <v>228.5</v>
      </c>
      <c r="G387" s="8">
        <f t="shared" ref="G387:G450" si="39">C387+D387</f>
        <v>2742</v>
      </c>
      <c r="H387" s="8">
        <f t="shared" ref="H387:H450" si="40">E387+F387</f>
        <v>502.7</v>
      </c>
      <c r="I387" s="10">
        <f t="shared" ref="I387:I450" si="41">G387-H387</f>
        <v>2239.3000000000002</v>
      </c>
    </row>
    <row r="388" spans="1:9" x14ac:dyDescent="0.25">
      <c r="A388" s="6">
        <v>515</v>
      </c>
      <c r="B388" s="5" t="str">
        <f>VLOOKUP(A388, EmployeeMaster!$A:$D, 3, FALSE)</f>
        <v>Research &amp; Development</v>
      </c>
      <c r="C388" s="8">
        <v>3034</v>
      </c>
      <c r="D388" s="8">
        <f t="shared" si="36"/>
        <v>606.80000000000007</v>
      </c>
      <c r="E388" s="8">
        <f t="shared" si="37"/>
        <v>364.08</v>
      </c>
      <c r="F388" s="8">
        <f t="shared" si="38"/>
        <v>303.40000000000003</v>
      </c>
      <c r="G388" s="8">
        <f t="shared" si="39"/>
        <v>3640.8</v>
      </c>
      <c r="H388" s="8">
        <f t="shared" si="40"/>
        <v>667.48</v>
      </c>
      <c r="I388" s="10">
        <f t="shared" si="41"/>
        <v>2973.32</v>
      </c>
    </row>
    <row r="389" spans="1:9" x14ac:dyDescent="0.25">
      <c r="A389" s="6">
        <v>516</v>
      </c>
      <c r="B389" s="5" t="str">
        <f>VLOOKUP(A389, EmployeeMaster!$A:$D, 3, FALSE)</f>
        <v>Sales</v>
      </c>
      <c r="C389" s="8">
        <v>5715</v>
      </c>
      <c r="D389" s="8">
        <f t="shared" si="36"/>
        <v>1143</v>
      </c>
      <c r="E389" s="8">
        <f t="shared" si="37"/>
        <v>685.8</v>
      </c>
      <c r="F389" s="8">
        <f t="shared" si="38"/>
        <v>571.5</v>
      </c>
      <c r="G389" s="8">
        <f t="shared" si="39"/>
        <v>6858</v>
      </c>
      <c r="H389" s="8">
        <f t="shared" si="40"/>
        <v>1257.3</v>
      </c>
      <c r="I389" s="10">
        <f t="shared" si="41"/>
        <v>5600.7</v>
      </c>
    </row>
    <row r="390" spans="1:9" x14ac:dyDescent="0.25">
      <c r="A390" s="6">
        <v>517</v>
      </c>
      <c r="B390" s="5" t="str">
        <f>VLOOKUP(A390, EmployeeMaster!$A:$D, 3, FALSE)</f>
        <v>Research &amp; Development</v>
      </c>
      <c r="C390" s="8">
        <v>2576</v>
      </c>
      <c r="D390" s="8">
        <f t="shared" si="36"/>
        <v>515.20000000000005</v>
      </c>
      <c r="E390" s="8">
        <f t="shared" si="37"/>
        <v>309.12</v>
      </c>
      <c r="F390" s="8">
        <f t="shared" si="38"/>
        <v>257.60000000000002</v>
      </c>
      <c r="G390" s="8">
        <f t="shared" si="39"/>
        <v>3091.2</v>
      </c>
      <c r="H390" s="8">
        <f t="shared" si="40"/>
        <v>566.72</v>
      </c>
      <c r="I390" s="10">
        <f t="shared" si="41"/>
        <v>2524.4799999999996</v>
      </c>
    </row>
    <row r="391" spans="1:9" x14ac:dyDescent="0.25">
      <c r="A391" s="6">
        <v>518</v>
      </c>
      <c r="B391" s="5" t="str">
        <f>VLOOKUP(A391, EmployeeMaster!$A:$D, 3, FALSE)</f>
        <v>Research &amp; Development</v>
      </c>
      <c r="C391" s="8">
        <v>4197</v>
      </c>
      <c r="D391" s="8">
        <f t="shared" si="36"/>
        <v>839.40000000000009</v>
      </c>
      <c r="E391" s="8">
        <f t="shared" si="37"/>
        <v>503.64</v>
      </c>
      <c r="F391" s="8">
        <f t="shared" si="38"/>
        <v>419.70000000000005</v>
      </c>
      <c r="G391" s="8">
        <f t="shared" si="39"/>
        <v>5036.3999999999996</v>
      </c>
      <c r="H391" s="8">
        <f t="shared" si="40"/>
        <v>923.34</v>
      </c>
      <c r="I391" s="10">
        <f t="shared" si="41"/>
        <v>4113.0599999999995</v>
      </c>
    </row>
    <row r="392" spans="1:9" x14ac:dyDescent="0.25">
      <c r="A392" s="6">
        <v>520</v>
      </c>
      <c r="B392" s="5" t="str">
        <f>VLOOKUP(A392, EmployeeMaster!$A:$D, 3, FALSE)</f>
        <v>Research &amp; Development</v>
      </c>
      <c r="C392" s="8">
        <v>14336</v>
      </c>
      <c r="D392" s="8">
        <f t="shared" si="36"/>
        <v>2867.2000000000003</v>
      </c>
      <c r="E392" s="8">
        <f t="shared" si="37"/>
        <v>1720.32</v>
      </c>
      <c r="F392" s="8">
        <f t="shared" si="38"/>
        <v>1433.6000000000001</v>
      </c>
      <c r="G392" s="8">
        <f t="shared" si="39"/>
        <v>17203.2</v>
      </c>
      <c r="H392" s="8">
        <f t="shared" si="40"/>
        <v>3153.92</v>
      </c>
      <c r="I392" s="10">
        <f t="shared" si="41"/>
        <v>14049.28</v>
      </c>
    </row>
    <row r="393" spans="1:9" x14ac:dyDescent="0.25">
      <c r="A393" s="6">
        <v>521</v>
      </c>
      <c r="B393" s="5" t="str">
        <f>VLOOKUP(A393, EmployeeMaster!$A:$D, 3, FALSE)</f>
        <v>Research &amp; Development</v>
      </c>
      <c r="C393" s="8">
        <v>3448</v>
      </c>
      <c r="D393" s="8">
        <f t="shared" si="36"/>
        <v>689.6</v>
      </c>
      <c r="E393" s="8">
        <f t="shared" si="37"/>
        <v>413.76</v>
      </c>
      <c r="F393" s="8">
        <f t="shared" si="38"/>
        <v>344.8</v>
      </c>
      <c r="G393" s="8">
        <f t="shared" si="39"/>
        <v>4137.6000000000004</v>
      </c>
      <c r="H393" s="8">
        <f t="shared" si="40"/>
        <v>758.56</v>
      </c>
      <c r="I393" s="10">
        <f t="shared" si="41"/>
        <v>3379.0400000000004</v>
      </c>
    </row>
    <row r="394" spans="1:9" x14ac:dyDescent="0.25">
      <c r="A394" s="6">
        <v>522</v>
      </c>
      <c r="B394" s="5" t="str">
        <f>VLOOKUP(A394, EmployeeMaster!$A:$D, 3, FALSE)</f>
        <v>Research &amp; Development</v>
      </c>
      <c r="C394" s="8">
        <v>19406</v>
      </c>
      <c r="D394" s="8">
        <f t="shared" si="36"/>
        <v>3881.2000000000003</v>
      </c>
      <c r="E394" s="8">
        <f t="shared" si="37"/>
        <v>2328.7199999999998</v>
      </c>
      <c r="F394" s="8">
        <f t="shared" si="38"/>
        <v>1940.6000000000001</v>
      </c>
      <c r="G394" s="8">
        <f t="shared" si="39"/>
        <v>23287.200000000001</v>
      </c>
      <c r="H394" s="8">
        <f t="shared" si="40"/>
        <v>4269.32</v>
      </c>
      <c r="I394" s="10">
        <f t="shared" si="41"/>
        <v>19017.88</v>
      </c>
    </row>
    <row r="395" spans="1:9" x14ac:dyDescent="0.25">
      <c r="A395" s="6">
        <v>523</v>
      </c>
      <c r="B395" s="5" t="str">
        <f>VLOOKUP(A395, EmployeeMaster!$A:$D, 3, FALSE)</f>
        <v>Sales</v>
      </c>
      <c r="C395" s="8">
        <v>6538</v>
      </c>
      <c r="D395" s="8">
        <f t="shared" si="36"/>
        <v>1307.6000000000001</v>
      </c>
      <c r="E395" s="8">
        <f t="shared" si="37"/>
        <v>784.56</v>
      </c>
      <c r="F395" s="8">
        <f t="shared" si="38"/>
        <v>653.80000000000007</v>
      </c>
      <c r="G395" s="8">
        <f t="shared" si="39"/>
        <v>7845.6</v>
      </c>
      <c r="H395" s="8">
        <f t="shared" si="40"/>
        <v>1438.3600000000001</v>
      </c>
      <c r="I395" s="10">
        <f t="shared" si="41"/>
        <v>6407.24</v>
      </c>
    </row>
    <row r="396" spans="1:9" x14ac:dyDescent="0.25">
      <c r="A396" s="6">
        <v>524</v>
      </c>
      <c r="B396" s="5" t="str">
        <f>VLOOKUP(A396, EmployeeMaster!$A:$D, 3, FALSE)</f>
        <v>Research &amp; Development</v>
      </c>
      <c r="C396" s="8">
        <v>4306</v>
      </c>
      <c r="D396" s="8">
        <f t="shared" si="36"/>
        <v>861.2</v>
      </c>
      <c r="E396" s="8">
        <f t="shared" si="37"/>
        <v>516.72</v>
      </c>
      <c r="F396" s="8">
        <f t="shared" si="38"/>
        <v>430.6</v>
      </c>
      <c r="G396" s="8">
        <f t="shared" si="39"/>
        <v>5167.2</v>
      </c>
      <c r="H396" s="8">
        <f t="shared" si="40"/>
        <v>947.32</v>
      </c>
      <c r="I396" s="10">
        <f t="shared" si="41"/>
        <v>4219.88</v>
      </c>
    </row>
    <row r="397" spans="1:9" x14ac:dyDescent="0.25">
      <c r="A397" s="6">
        <v>525</v>
      </c>
      <c r="B397" s="5" t="str">
        <f>VLOOKUP(A397, EmployeeMaster!$A:$D, 3, FALSE)</f>
        <v>Research &amp; Development</v>
      </c>
      <c r="C397" s="8">
        <v>2258</v>
      </c>
      <c r="D397" s="8">
        <f t="shared" si="36"/>
        <v>451.6</v>
      </c>
      <c r="E397" s="8">
        <f t="shared" si="37"/>
        <v>270.95999999999998</v>
      </c>
      <c r="F397" s="8">
        <f t="shared" si="38"/>
        <v>225.8</v>
      </c>
      <c r="G397" s="8">
        <f t="shared" si="39"/>
        <v>2709.6</v>
      </c>
      <c r="H397" s="8">
        <f t="shared" si="40"/>
        <v>496.76</v>
      </c>
      <c r="I397" s="10">
        <f t="shared" si="41"/>
        <v>2212.84</v>
      </c>
    </row>
    <row r="398" spans="1:9" x14ac:dyDescent="0.25">
      <c r="A398" s="6">
        <v>526</v>
      </c>
      <c r="B398" s="5" t="str">
        <f>VLOOKUP(A398, EmployeeMaster!$A:$D, 3, FALSE)</f>
        <v>Research &amp; Development</v>
      </c>
      <c r="C398" s="8">
        <v>4522</v>
      </c>
      <c r="D398" s="8">
        <f t="shared" si="36"/>
        <v>904.40000000000009</v>
      </c>
      <c r="E398" s="8">
        <f t="shared" si="37"/>
        <v>542.64</v>
      </c>
      <c r="F398" s="8">
        <f t="shared" si="38"/>
        <v>452.20000000000005</v>
      </c>
      <c r="G398" s="8">
        <f t="shared" si="39"/>
        <v>5426.4</v>
      </c>
      <c r="H398" s="8">
        <f t="shared" si="40"/>
        <v>994.84</v>
      </c>
      <c r="I398" s="10">
        <f t="shared" si="41"/>
        <v>4431.5599999999995</v>
      </c>
    </row>
    <row r="399" spans="1:9" x14ac:dyDescent="0.25">
      <c r="A399" s="6">
        <v>527</v>
      </c>
      <c r="B399" s="5" t="str">
        <f>VLOOKUP(A399, EmployeeMaster!$A:$D, 3, FALSE)</f>
        <v>Sales</v>
      </c>
      <c r="C399" s="8">
        <v>4487</v>
      </c>
      <c r="D399" s="8">
        <f t="shared" si="36"/>
        <v>897.40000000000009</v>
      </c>
      <c r="E399" s="8">
        <f t="shared" si="37"/>
        <v>538.43999999999994</v>
      </c>
      <c r="F399" s="8">
        <f t="shared" si="38"/>
        <v>448.70000000000005</v>
      </c>
      <c r="G399" s="8">
        <f t="shared" si="39"/>
        <v>5384.4</v>
      </c>
      <c r="H399" s="8">
        <f t="shared" si="40"/>
        <v>987.14</v>
      </c>
      <c r="I399" s="10">
        <f t="shared" si="41"/>
        <v>4397.2599999999993</v>
      </c>
    </row>
    <row r="400" spans="1:9" x14ac:dyDescent="0.25">
      <c r="A400" s="6">
        <v>529</v>
      </c>
      <c r="B400" s="5" t="str">
        <f>VLOOKUP(A400, EmployeeMaster!$A:$D, 3, FALSE)</f>
        <v>Research &amp; Development</v>
      </c>
      <c r="C400" s="8">
        <v>4449</v>
      </c>
      <c r="D400" s="8">
        <f t="shared" si="36"/>
        <v>889.80000000000007</v>
      </c>
      <c r="E400" s="8">
        <f t="shared" si="37"/>
        <v>533.88</v>
      </c>
      <c r="F400" s="8">
        <f t="shared" si="38"/>
        <v>444.90000000000003</v>
      </c>
      <c r="G400" s="8">
        <f t="shared" si="39"/>
        <v>5338.8</v>
      </c>
      <c r="H400" s="8">
        <f t="shared" si="40"/>
        <v>978.78</v>
      </c>
      <c r="I400" s="10">
        <f t="shared" si="41"/>
        <v>4360.0200000000004</v>
      </c>
    </row>
    <row r="401" spans="1:9" x14ac:dyDescent="0.25">
      <c r="A401" s="6">
        <v>530</v>
      </c>
      <c r="B401" s="5" t="str">
        <f>VLOOKUP(A401, EmployeeMaster!$A:$D, 3, FALSE)</f>
        <v>Research &amp; Development</v>
      </c>
      <c r="C401" s="8">
        <v>2218</v>
      </c>
      <c r="D401" s="8">
        <f t="shared" si="36"/>
        <v>443.6</v>
      </c>
      <c r="E401" s="8">
        <f t="shared" si="37"/>
        <v>266.15999999999997</v>
      </c>
      <c r="F401" s="8">
        <f t="shared" si="38"/>
        <v>221.8</v>
      </c>
      <c r="G401" s="8">
        <f t="shared" si="39"/>
        <v>2661.6</v>
      </c>
      <c r="H401" s="8">
        <f t="shared" si="40"/>
        <v>487.96</v>
      </c>
      <c r="I401" s="10">
        <f t="shared" si="41"/>
        <v>2173.64</v>
      </c>
    </row>
    <row r="402" spans="1:9" x14ac:dyDescent="0.25">
      <c r="A402" s="6">
        <v>531</v>
      </c>
      <c r="B402" s="5" t="str">
        <f>VLOOKUP(A402, EmployeeMaster!$A:$D, 3, FALSE)</f>
        <v>Research &amp; Development</v>
      </c>
      <c r="C402" s="8">
        <v>19197</v>
      </c>
      <c r="D402" s="8">
        <f t="shared" si="36"/>
        <v>3839.4</v>
      </c>
      <c r="E402" s="8">
        <f t="shared" si="37"/>
        <v>2303.64</v>
      </c>
      <c r="F402" s="8">
        <f t="shared" si="38"/>
        <v>1919.7</v>
      </c>
      <c r="G402" s="8">
        <f t="shared" si="39"/>
        <v>23036.400000000001</v>
      </c>
      <c r="H402" s="8">
        <f t="shared" si="40"/>
        <v>4223.34</v>
      </c>
      <c r="I402" s="10">
        <f t="shared" si="41"/>
        <v>18813.060000000001</v>
      </c>
    </row>
    <row r="403" spans="1:9" x14ac:dyDescent="0.25">
      <c r="A403" s="6">
        <v>532</v>
      </c>
      <c r="B403" s="5" t="str">
        <f>VLOOKUP(A403, EmployeeMaster!$A:$D, 3, FALSE)</f>
        <v>Sales</v>
      </c>
      <c r="C403" s="8">
        <v>13212</v>
      </c>
      <c r="D403" s="8">
        <f t="shared" si="36"/>
        <v>2642.4</v>
      </c>
      <c r="E403" s="8">
        <f t="shared" si="37"/>
        <v>1585.44</v>
      </c>
      <c r="F403" s="8">
        <f t="shared" si="38"/>
        <v>1321.2</v>
      </c>
      <c r="G403" s="8">
        <f t="shared" si="39"/>
        <v>15854.4</v>
      </c>
      <c r="H403" s="8">
        <f t="shared" si="40"/>
        <v>2906.6400000000003</v>
      </c>
      <c r="I403" s="10">
        <f t="shared" si="41"/>
        <v>12947.759999999998</v>
      </c>
    </row>
    <row r="404" spans="1:9" x14ac:dyDescent="0.25">
      <c r="A404" s="6">
        <v>533</v>
      </c>
      <c r="B404" s="5" t="str">
        <f>VLOOKUP(A404, EmployeeMaster!$A:$D, 3, FALSE)</f>
        <v>Sales</v>
      </c>
      <c r="C404" s="8">
        <v>6577</v>
      </c>
      <c r="D404" s="8">
        <f t="shared" si="36"/>
        <v>1315.4</v>
      </c>
      <c r="E404" s="8">
        <f t="shared" si="37"/>
        <v>789.24</v>
      </c>
      <c r="F404" s="8">
        <f t="shared" si="38"/>
        <v>657.7</v>
      </c>
      <c r="G404" s="8">
        <f t="shared" si="39"/>
        <v>7892.4</v>
      </c>
      <c r="H404" s="8">
        <f t="shared" si="40"/>
        <v>1446.94</v>
      </c>
      <c r="I404" s="10">
        <f t="shared" si="41"/>
        <v>6445.4599999999991</v>
      </c>
    </row>
    <row r="405" spans="1:9" x14ac:dyDescent="0.25">
      <c r="A405" s="6">
        <v>534</v>
      </c>
      <c r="B405" s="5" t="str">
        <f>VLOOKUP(A405, EmployeeMaster!$A:$D, 3, FALSE)</f>
        <v>Sales</v>
      </c>
      <c r="C405" s="8">
        <v>8392</v>
      </c>
      <c r="D405" s="8">
        <f t="shared" si="36"/>
        <v>1678.4</v>
      </c>
      <c r="E405" s="8">
        <f t="shared" si="37"/>
        <v>1007.04</v>
      </c>
      <c r="F405" s="8">
        <f t="shared" si="38"/>
        <v>839.2</v>
      </c>
      <c r="G405" s="8">
        <f t="shared" si="39"/>
        <v>10070.4</v>
      </c>
      <c r="H405" s="8">
        <f t="shared" si="40"/>
        <v>1846.24</v>
      </c>
      <c r="I405" s="10">
        <f t="shared" si="41"/>
        <v>8224.16</v>
      </c>
    </row>
    <row r="406" spans="1:9" x14ac:dyDescent="0.25">
      <c r="A406" s="6">
        <v>536</v>
      </c>
      <c r="B406" s="5" t="str">
        <f>VLOOKUP(A406, EmployeeMaster!$A:$D, 3, FALSE)</f>
        <v>Research &amp; Development</v>
      </c>
      <c r="C406" s="8">
        <v>4558</v>
      </c>
      <c r="D406" s="8">
        <f t="shared" si="36"/>
        <v>911.6</v>
      </c>
      <c r="E406" s="8">
        <f t="shared" si="37"/>
        <v>546.96</v>
      </c>
      <c r="F406" s="8">
        <f t="shared" si="38"/>
        <v>455.8</v>
      </c>
      <c r="G406" s="8">
        <f t="shared" si="39"/>
        <v>5469.6</v>
      </c>
      <c r="H406" s="8">
        <f t="shared" si="40"/>
        <v>1002.76</v>
      </c>
      <c r="I406" s="10">
        <f t="shared" si="41"/>
        <v>4466.84</v>
      </c>
    </row>
    <row r="407" spans="1:9" x14ac:dyDescent="0.25">
      <c r="A407" s="6">
        <v>538</v>
      </c>
      <c r="B407" s="5" t="str">
        <f>VLOOKUP(A407, EmployeeMaster!$A:$D, 3, FALSE)</f>
        <v>Research &amp; Development</v>
      </c>
      <c r="C407" s="8">
        <v>4031</v>
      </c>
      <c r="D407" s="8">
        <f t="shared" si="36"/>
        <v>806.2</v>
      </c>
      <c r="E407" s="8">
        <f t="shared" si="37"/>
        <v>483.71999999999997</v>
      </c>
      <c r="F407" s="8">
        <f t="shared" si="38"/>
        <v>403.1</v>
      </c>
      <c r="G407" s="8">
        <f t="shared" si="39"/>
        <v>4837.2</v>
      </c>
      <c r="H407" s="8">
        <f t="shared" si="40"/>
        <v>886.81999999999994</v>
      </c>
      <c r="I407" s="10">
        <f t="shared" si="41"/>
        <v>3950.38</v>
      </c>
    </row>
    <row r="408" spans="1:9" x14ac:dyDescent="0.25">
      <c r="A408" s="6">
        <v>543</v>
      </c>
      <c r="B408" s="5" t="str">
        <f>VLOOKUP(A408, EmployeeMaster!$A:$D, 3, FALSE)</f>
        <v>Research &amp; Development</v>
      </c>
      <c r="C408" s="8">
        <v>7969</v>
      </c>
      <c r="D408" s="8">
        <f t="shared" si="36"/>
        <v>1593.8000000000002</v>
      </c>
      <c r="E408" s="8">
        <f t="shared" si="37"/>
        <v>956.28</v>
      </c>
      <c r="F408" s="8">
        <f t="shared" si="38"/>
        <v>796.90000000000009</v>
      </c>
      <c r="G408" s="8">
        <f t="shared" si="39"/>
        <v>9562.7999999999993</v>
      </c>
      <c r="H408" s="8">
        <f t="shared" si="40"/>
        <v>1753.18</v>
      </c>
      <c r="I408" s="10">
        <f t="shared" si="41"/>
        <v>7809.619999999999</v>
      </c>
    </row>
    <row r="409" spans="1:9" x14ac:dyDescent="0.25">
      <c r="A409" s="6">
        <v>544</v>
      </c>
      <c r="B409" s="5" t="str">
        <f>VLOOKUP(A409, EmployeeMaster!$A:$D, 3, FALSE)</f>
        <v>Research &amp; Development</v>
      </c>
      <c r="C409" s="8">
        <v>2654</v>
      </c>
      <c r="D409" s="8">
        <f t="shared" si="36"/>
        <v>530.80000000000007</v>
      </c>
      <c r="E409" s="8">
        <f t="shared" si="37"/>
        <v>318.47999999999996</v>
      </c>
      <c r="F409" s="8">
        <f t="shared" si="38"/>
        <v>265.40000000000003</v>
      </c>
      <c r="G409" s="8">
        <f t="shared" si="39"/>
        <v>3184.8</v>
      </c>
      <c r="H409" s="8">
        <f t="shared" si="40"/>
        <v>583.88</v>
      </c>
      <c r="I409" s="10">
        <f t="shared" si="41"/>
        <v>2600.92</v>
      </c>
    </row>
    <row r="410" spans="1:9" x14ac:dyDescent="0.25">
      <c r="A410" s="6">
        <v>546</v>
      </c>
      <c r="B410" s="5" t="str">
        <f>VLOOKUP(A410, EmployeeMaster!$A:$D, 3, FALSE)</f>
        <v>Research &amp; Development</v>
      </c>
      <c r="C410" s="8">
        <v>16555</v>
      </c>
      <c r="D410" s="8">
        <f t="shared" si="36"/>
        <v>3311</v>
      </c>
      <c r="E410" s="8">
        <f t="shared" si="37"/>
        <v>1986.6</v>
      </c>
      <c r="F410" s="8">
        <f t="shared" si="38"/>
        <v>1655.5</v>
      </c>
      <c r="G410" s="8">
        <f t="shared" si="39"/>
        <v>19866</v>
      </c>
      <c r="H410" s="8">
        <f t="shared" si="40"/>
        <v>3642.1</v>
      </c>
      <c r="I410" s="10">
        <f t="shared" si="41"/>
        <v>16223.9</v>
      </c>
    </row>
    <row r="411" spans="1:9" x14ac:dyDescent="0.25">
      <c r="A411" s="6">
        <v>547</v>
      </c>
      <c r="B411" s="5" t="str">
        <f>VLOOKUP(A411, EmployeeMaster!$A:$D, 3, FALSE)</f>
        <v>Research &amp; Development</v>
      </c>
      <c r="C411" s="8">
        <v>4556</v>
      </c>
      <c r="D411" s="8">
        <f t="shared" si="36"/>
        <v>911.2</v>
      </c>
      <c r="E411" s="8">
        <f t="shared" si="37"/>
        <v>546.72</v>
      </c>
      <c r="F411" s="8">
        <f t="shared" si="38"/>
        <v>455.6</v>
      </c>
      <c r="G411" s="8">
        <f t="shared" si="39"/>
        <v>5467.2</v>
      </c>
      <c r="H411" s="8">
        <f t="shared" si="40"/>
        <v>1002.32</v>
      </c>
      <c r="I411" s="10">
        <f t="shared" si="41"/>
        <v>4464.88</v>
      </c>
    </row>
    <row r="412" spans="1:9" x14ac:dyDescent="0.25">
      <c r="A412" s="6">
        <v>548</v>
      </c>
      <c r="B412" s="5" t="str">
        <f>VLOOKUP(A412, EmployeeMaster!$A:$D, 3, FALSE)</f>
        <v>Research &amp; Development</v>
      </c>
      <c r="C412" s="8">
        <v>6091</v>
      </c>
      <c r="D412" s="8">
        <f t="shared" si="36"/>
        <v>1218.2</v>
      </c>
      <c r="E412" s="8">
        <f t="shared" si="37"/>
        <v>730.92</v>
      </c>
      <c r="F412" s="8">
        <f t="shared" si="38"/>
        <v>609.1</v>
      </c>
      <c r="G412" s="8">
        <f t="shared" si="39"/>
        <v>7309.2</v>
      </c>
      <c r="H412" s="8">
        <f t="shared" si="40"/>
        <v>1340.02</v>
      </c>
      <c r="I412" s="10">
        <f t="shared" si="41"/>
        <v>5969.18</v>
      </c>
    </row>
    <row r="413" spans="1:9" x14ac:dyDescent="0.25">
      <c r="A413" s="6">
        <v>549</v>
      </c>
      <c r="B413" s="5" t="str">
        <f>VLOOKUP(A413, EmployeeMaster!$A:$D, 3, FALSE)</f>
        <v>Research &amp; Development</v>
      </c>
      <c r="C413" s="8">
        <v>19566</v>
      </c>
      <c r="D413" s="8">
        <f t="shared" si="36"/>
        <v>3913.2000000000003</v>
      </c>
      <c r="E413" s="8">
        <f t="shared" si="37"/>
        <v>2347.92</v>
      </c>
      <c r="F413" s="8">
        <f t="shared" si="38"/>
        <v>1956.6000000000001</v>
      </c>
      <c r="G413" s="8">
        <f t="shared" si="39"/>
        <v>23479.200000000001</v>
      </c>
      <c r="H413" s="8">
        <f t="shared" si="40"/>
        <v>4304.5200000000004</v>
      </c>
      <c r="I413" s="10">
        <f t="shared" si="41"/>
        <v>19174.68</v>
      </c>
    </row>
    <row r="414" spans="1:9" x14ac:dyDescent="0.25">
      <c r="A414" s="6">
        <v>550</v>
      </c>
      <c r="B414" s="5" t="str">
        <f>VLOOKUP(A414, EmployeeMaster!$A:$D, 3, FALSE)</f>
        <v>Research &amp; Development</v>
      </c>
      <c r="C414" s="8">
        <v>4810</v>
      </c>
      <c r="D414" s="8">
        <f t="shared" si="36"/>
        <v>962</v>
      </c>
      <c r="E414" s="8">
        <f t="shared" si="37"/>
        <v>577.19999999999993</v>
      </c>
      <c r="F414" s="8">
        <f t="shared" si="38"/>
        <v>481</v>
      </c>
      <c r="G414" s="8">
        <f t="shared" si="39"/>
        <v>5772</v>
      </c>
      <c r="H414" s="8">
        <f t="shared" si="40"/>
        <v>1058.1999999999998</v>
      </c>
      <c r="I414" s="10">
        <f t="shared" si="41"/>
        <v>4713.8</v>
      </c>
    </row>
    <row r="415" spans="1:9" x14ac:dyDescent="0.25">
      <c r="A415" s="6">
        <v>551</v>
      </c>
      <c r="B415" s="5" t="str">
        <f>VLOOKUP(A415, EmployeeMaster!$A:$D, 3, FALSE)</f>
        <v>Research &amp; Development</v>
      </c>
      <c r="C415" s="8">
        <v>4523</v>
      </c>
      <c r="D415" s="8">
        <f t="shared" si="36"/>
        <v>904.6</v>
      </c>
      <c r="E415" s="8">
        <f t="shared" si="37"/>
        <v>542.76</v>
      </c>
      <c r="F415" s="8">
        <f t="shared" si="38"/>
        <v>452.3</v>
      </c>
      <c r="G415" s="8">
        <f t="shared" si="39"/>
        <v>5427.6</v>
      </c>
      <c r="H415" s="8">
        <f t="shared" si="40"/>
        <v>995.06</v>
      </c>
      <c r="I415" s="10">
        <f t="shared" si="41"/>
        <v>4432.5400000000009</v>
      </c>
    </row>
    <row r="416" spans="1:9" x14ac:dyDescent="0.25">
      <c r="A416" s="6">
        <v>554</v>
      </c>
      <c r="B416" s="5" t="str">
        <f>VLOOKUP(A416, EmployeeMaster!$A:$D, 3, FALSE)</f>
        <v>Sales</v>
      </c>
      <c r="C416" s="8">
        <v>3202</v>
      </c>
      <c r="D416" s="8">
        <f t="shared" si="36"/>
        <v>640.40000000000009</v>
      </c>
      <c r="E416" s="8">
        <f t="shared" si="37"/>
        <v>384.24</v>
      </c>
      <c r="F416" s="8">
        <f t="shared" si="38"/>
        <v>320.20000000000005</v>
      </c>
      <c r="G416" s="8">
        <f t="shared" si="39"/>
        <v>3842.4</v>
      </c>
      <c r="H416" s="8">
        <f t="shared" si="40"/>
        <v>704.44</v>
      </c>
      <c r="I416" s="10">
        <f t="shared" si="41"/>
        <v>3137.96</v>
      </c>
    </row>
    <row r="417" spans="1:9" x14ac:dyDescent="0.25">
      <c r="A417" s="6">
        <v>555</v>
      </c>
      <c r="B417" s="5" t="str">
        <f>VLOOKUP(A417, EmployeeMaster!$A:$D, 3, FALSE)</f>
        <v>Sales</v>
      </c>
      <c r="C417" s="8">
        <v>2351</v>
      </c>
      <c r="D417" s="8">
        <f t="shared" si="36"/>
        <v>470.20000000000005</v>
      </c>
      <c r="E417" s="8">
        <f t="shared" si="37"/>
        <v>282.12</v>
      </c>
      <c r="F417" s="8">
        <f t="shared" si="38"/>
        <v>235.10000000000002</v>
      </c>
      <c r="G417" s="8">
        <f t="shared" si="39"/>
        <v>2821.2</v>
      </c>
      <c r="H417" s="8">
        <f t="shared" si="40"/>
        <v>517.22</v>
      </c>
      <c r="I417" s="10">
        <f t="shared" si="41"/>
        <v>2303.9799999999996</v>
      </c>
    </row>
    <row r="418" spans="1:9" x14ac:dyDescent="0.25">
      <c r="A418" s="6">
        <v>556</v>
      </c>
      <c r="B418" s="5" t="str">
        <f>VLOOKUP(A418, EmployeeMaster!$A:$D, 3, FALSE)</f>
        <v>Research &amp; Development</v>
      </c>
      <c r="C418" s="8">
        <v>1702</v>
      </c>
      <c r="D418" s="8">
        <f t="shared" si="36"/>
        <v>340.40000000000003</v>
      </c>
      <c r="E418" s="8">
        <f t="shared" si="37"/>
        <v>204.23999999999998</v>
      </c>
      <c r="F418" s="8">
        <f t="shared" si="38"/>
        <v>170.20000000000002</v>
      </c>
      <c r="G418" s="8">
        <f t="shared" si="39"/>
        <v>2042.4</v>
      </c>
      <c r="H418" s="8">
        <f t="shared" si="40"/>
        <v>374.44</v>
      </c>
      <c r="I418" s="10">
        <f t="shared" si="41"/>
        <v>1667.96</v>
      </c>
    </row>
    <row r="419" spans="1:9" x14ac:dyDescent="0.25">
      <c r="A419" s="6">
        <v>558</v>
      </c>
      <c r="B419" s="5" t="str">
        <f>VLOOKUP(A419, EmployeeMaster!$A:$D, 3, FALSE)</f>
        <v>Sales</v>
      </c>
      <c r="C419" s="8">
        <v>18041</v>
      </c>
      <c r="D419" s="8">
        <f t="shared" si="36"/>
        <v>3608.2000000000003</v>
      </c>
      <c r="E419" s="8">
        <f t="shared" si="37"/>
        <v>2164.92</v>
      </c>
      <c r="F419" s="8">
        <f t="shared" si="38"/>
        <v>1804.1000000000001</v>
      </c>
      <c r="G419" s="8">
        <f t="shared" si="39"/>
        <v>21649.200000000001</v>
      </c>
      <c r="H419" s="8">
        <f t="shared" si="40"/>
        <v>3969.0200000000004</v>
      </c>
      <c r="I419" s="10">
        <f t="shared" si="41"/>
        <v>17680.18</v>
      </c>
    </row>
    <row r="420" spans="1:9" x14ac:dyDescent="0.25">
      <c r="A420" s="6">
        <v>560</v>
      </c>
      <c r="B420" s="5" t="str">
        <f>VLOOKUP(A420, EmployeeMaster!$A:$D, 3, FALSE)</f>
        <v>Research &amp; Development</v>
      </c>
      <c r="C420" s="8">
        <v>2886</v>
      </c>
      <c r="D420" s="8">
        <f t="shared" si="36"/>
        <v>577.20000000000005</v>
      </c>
      <c r="E420" s="8">
        <f t="shared" si="37"/>
        <v>346.32</v>
      </c>
      <c r="F420" s="8">
        <f t="shared" si="38"/>
        <v>288.60000000000002</v>
      </c>
      <c r="G420" s="8">
        <f t="shared" si="39"/>
        <v>3463.2</v>
      </c>
      <c r="H420" s="8">
        <f t="shared" si="40"/>
        <v>634.92000000000007</v>
      </c>
      <c r="I420" s="10">
        <f t="shared" si="41"/>
        <v>2828.2799999999997</v>
      </c>
    </row>
    <row r="421" spans="1:9" x14ac:dyDescent="0.25">
      <c r="A421" s="6">
        <v>562</v>
      </c>
      <c r="B421" s="5" t="str">
        <f>VLOOKUP(A421, EmployeeMaster!$A:$D, 3, FALSE)</f>
        <v>Research &amp; Development</v>
      </c>
      <c r="C421" s="8">
        <v>2097</v>
      </c>
      <c r="D421" s="8">
        <f t="shared" si="36"/>
        <v>419.40000000000003</v>
      </c>
      <c r="E421" s="8">
        <f t="shared" si="37"/>
        <v>251.64</v>
      </c>
      <c r="F421" s="8">
        <f t="shared" si="38"/>
        <v>209.70000000000002</v>
      </c>
      <c r="G421" s="8">
        <f t="shared" si="39"/>
        <v>2516.4</v>
      </c>
      <c r="H421" s="8">
        <f t="shared" si="40"/>
        <v>461.34000000000003</v>
      </c>
      <c r="I421" s="10">
        <f t="shared" si="41"/>
        <v>2055.06</v>
      </c>
    </row>
    <row r="422" spans="1:9" x14ac:dyDescent="0.25">
      <c r="A422" s="6">
        <v>564</v>
      </c>
      <c r="B422" s="5" t="str">
        <f>VLOOKUP(A422, EmployeeMaster!$A:$D, 3, FALSE)</f>
        <v>Research &amp; Development</v>
      </c>
      <c r="C422" s="8">
        <v>11935</v>
      </c>
      <c r="D422" s="8">
        <f t="shared" si="36"/>
        <v>2387</v>
      </c>
      <c r="E422" s="8">
        <f t="shared" si="37"/>
        <v>1432.2</v>
      </c>
      <c r="F422" s="8">
        <f t="shared" si="38"/>
        <v>1193.5</v>
      </c>
      <c r="G422" s="8">
        <f t="shared" si="39"/>
        <v>14322</v>
      </c>
      <c r="H422" s="8">
        <f t="shared" si="40"/>
        <v>2625.7</v>
      </c>
      <c r="I422" s="10">
        <f t="shared" si="41"/>
        <v>11696.3</v>
      </c>
    </row>
    <row r="423" spans="1:9" x14ac:dyDescent="0.25">
      <c r="A423" s="6">
        <v>565</v>
      </c>
      <c r="B423" s="5" t="str">
        <f>VLOOKUP(A423, EmployeeMaster!$A:$D, 3, FALSE)</f>
        <v>Research &amp; Development</v>
      </c>
      <c r="C423" s="8">
        <v>2546</v>
      </c>
      <c r="D423" s="8">
        <f t="shared" si="36"/>
        <v>509.20000000000005</v>
      </c>
      <c r="E423" s="8">
        <f t="shared" si="37"/>
        <v>305.52</v>
      </c>
      <c r="F423" s="8">
        <f t="shared" si="38"/>
        <v>254.60000000000002</v>
      </c>
      <c r="G423" s="8">
        <f t="shared" si="39"/>
        <v>3055.2</v>
      </c>
      <c r="H423" s="8">
        <f t="shared" si="40"/>
        <v>560.12</v>
      </c>
      <c r="I423" s="10">
        <f t="shared" si="41"/>
        <v>2495.08</v>
      </c>
    </row>
    <row r="424" spans="1:9" x14ac:dyDescent="0.25">
      <c r="A424" s="6">
        <v>566</v>
      </c>
      <c r="B424" s="5" t="str">
        <f>VLOOKUP(A424, EmployeeMaster!$A:$D, 3, FALSE)</f>
        <v>Human Resources</v>
      </c>
      <c r="C424" s="8">
        <v>2564</v>
      </c>
      <c r="D424" s="8">
        <f t="shared" si="36"/>
        <v>512.80000000000007</v>
      </c>
      <c r="E424" s="8">
        <f t="shared" si="37"/>
        <v>307.68</v>
      </c>
      <c r="F424" s="8">
        <f t="shared" si="38"/>
        <v>256.40000000000003</v>
      </c>
      <c r="G424" s="8">
        <f t="shared" si="39"/>
        <v>3076.8</v>
      </c>
      <c r="H424" s="8">
        <f t="shared" si="40"/>
        <v>564.08000000000004</v>
      </c>
      <c r="I424" s="10">
        <f t="shared" si="41"/>
        <v>2512.7200000000003</v>
      </c>
    </row>
    <row r="425" spans="1:9" x14ac:dyDescent="0.25">
      <c r="A425" s="6">
        <v>567</v>
      </c>
      <c r="B425" s="5" t="str">
        <f>VLOOKUP(A425, EmployeeMaster!$A:$D, 3, FALSE)</f>
        <v>Sales</v>
      </c>
      <c r="C425" s="8">
        <v>8412</v>
      </c>
      <c r="D425" s="8">
        <f t="shared" si="36"/>
        <v>1682.4</v>
      </c>
      <c r="E425" s="8">
        <f t="shared" si="37"/>
        <v>1009.4399999999999</v>
      </c>
      <c r="F425" s="8">
        <f t="shared" si="38"/>
        <v>841.2</v>
      </c>
      <c r="G425" s="8">
        <f t="shared" si="39"/>
        <v>10094.4</v>
      </c>
      <c r="H425" s="8">
        <f t="shared" si="40"/>
        <v>1850.6399999999999</v>
      </c>
      <c r="I425" s="10">
        <f t="shared" si="41"/>
        <v>8243.76</v>
      </c>
    </row>
    <row r="426" spans="1:9" x14ac:dyDescent="0.25">
      <c r="A426" s="6">
        <v>568</v>
      </c>
      <c r="B426" s="5" t="str">
        <f>VLOOKUP(A426, EmployeeMaster!$A:$D, 3, FALSE)</f>
        <v>Sales</v>
      </c>
      <c r="C426" s="8">
        <v>14118</v>
      </c>
      <c r="D426" s="8">
        <f t="shared" si="36"/>
        <v>2823.6000000000004</v>
      </c>
      <c r="E426" s="8">
        <f t="shared" si="37"/>
        <v>1694.1599999999999</v>
      </c>
      <c r="F426" s="8">
        <f t="shared" si="38"/>
        <v>1411.8000000000002</v>
      </c>
      <c r="G426" s="8">
        <f t="shared" si="39"/>
        <v>16941.599999999999</v>
      </c>
      <c r="H426" s="8">
        <f t="shared" si="40"/>
        <v>3105.96</v>
      </c>
      <c r="I426" s="10">
        <f t="shared" si="41"/>
        <v>13835.64</v>
      </c>
    </row>
    <row r="427" spans="1:9" x14ac:dyDescent="0.25">
      <c r="A427" s="6">
        <v>569</v>
      </c>
      <c r="B427" s="5" t="str">
        <f>VLOOKUP(A427, EmployeeMaster!$A:$D, 3, FALSE)</f>
        <v>Research &amp; Development</v>
      </c>
      <c r="C427" s="8">
        <v>17046</v>
      </c>
      <c r="D427" s="8">
        <f t="shared" si="36"/>
        <v>3409.2000000000003</v>
      </c>
      <c r="E427" s="8">
        <f t="shared" si="37"/>
        <v>2045.52</v>
      </c>
      <c r="F427" s="8">
        <f t="shared" si="38"/>
        <v>1704.6000000000001</v>
      </c>
      <c r="G427" s="8">
        <f t="shared" si="39"/>
        <v>20455.2</v>
      </c>
      <c r="H427" s="8">
        <f t="shared" si="40"/>
        <v>3750.12</v>
      </c>
      <c r="I427" s="10">
        <f t="shared" si="41"/>
        <v>16705.080000000002</v>
      </c>
    </row>
    <row r="428" spans="1:9" x14ac:dyDescent="0.25">
      <c r="A428" s="6">
        <v>571</v>
      </c>
      <c r="B428" s="5" t="str">
        <f>VLOOKUP(A428, EmployeeMaster!$A:$D, 3, FALSE)</f>
        <v>Research &amp; Development</v>
      </c>
      <c r="C428" s="8">
        <v>2564</v>
      </c>
      <c r="D428" s="8">
        <f t="shared" si="36"/>
        <v>512.80000000000007</v>
      </c>
      <c r="E428" s="8">
        <f t="shared" si="37"/>
        <v>307.68</v>
      </c>
      <c r="F428" s="8">
        <f t="shared" si="38"/>
        <v>256.40000000000003</v>
      </c>
      <c r="G428" s="8">
        <f t="shared" si="39"/>
        <v>3076.8</v>
      </c>
      <c r="H428" s="8">
        <f t="shared" si="40"/>
        <v>564.08000000000004</v>
      </c>
      <c r="I428" s="10">
        <f t="shared" si="41"/>
        <v>2512.7200000000003</v>
      </c>
    </row>
    <row r="429" spans="1:9" x14ac:dyDescent="0.25">
      <c r="A429" s="6">
        <v>573</v>
      </c>
      <c r="B429" s="5" t="str">
        <f>VLOOKUP(A429, EmployeeMaster!$A:$D, 3, FALSE)</f>
        <v>Sales</v>
      </c>
      <c r="C429" s="8">
        <v>10266</v>
      </c>
      <c r="D429" s="8">
        <f t="shared" si="36"/>
        <v>2053.2000000000003</v>
      </c>
      <c r="E429" s="8">
        <f t="shared" si="37"/>
        <v>1231.9199999999998</v>
      </c>
      <c r="F429" s="8">
        <f t="shared" si="38"/>
        <v>1026.6000000000001</v>
      </c>
      <c r="G429" s="8">
        <f t="shared" si="39"/>
        <v>12319.2</v>
      </c>
      <c r="H429" s="8">
        <f t="shared" si="40"/>
        <v>2258.52</v>
      </c>
      <c r="I429" s="10">
        <f t="shared" si="41"/>
        <v>10060.68</v>
      </c>
    </row>
    <row r="430" spans="1:9" x14ac:dyDescent="0.25">
      <c r="A430" s="6">
        <v>574</v>
      </c>
      <c r="B430" s="5" t="str">
        <f>VLOOKUP(A430, EmployeeMaster!$A:$D, 3, FALSE)</f>
        <v>Research &amp; Development</v>
      </c>
      <c r="C430" s="8">
        <v>5070</v>
      </c>
      <c r="D430" s="8">
        <f t="shared" si="36"/>
        <v>1014</v>
      </c>
      <c r="E430" s="8">
        <f t="shared" si="37"/>
        <v>608.4</v>
      </c>
      <c r="F430" s="8">
        <f t="shared" si="38"/>
        <v>507</v>
      </c>
      <c r="G430" s="8">
        <f t="shared" si="39"/>
        <v>6084</v>
      </c>
      <c r="H430" s="8">
        <f t="shared" si="40"/>
        <v>1115.4000000000001</v>
      </c>
      <c r="I430" s="10">
        <f t="shared" si="41"/>
        <v>4968.6000000000004</v>
      </c>
    </row>
    <row r="431" spans="1:9" x14ac:dyDescent="0.25">
      <c r="A431" s="6">
        <v>575</v>
      </c>
      <c r="B431" s="5" t="str">
        <f>VLOOKUP(A431, EmployeeMaster!$A:$D, 3, FALSE)</f>
        <v>Research &amp; Development</v>
      </c>
      <c r="C431" s="8">
        <v>17861</v>
      </c>
      <c r="D431" s="8">
        <f t="shared" si="36"/>
        <v>3572.2000000000003</v>
      </c>
      <c r="E431" s="8">
        <f t="shared" si="37"/>
        <v>2143.3199999999997</v>
      </c>
      <c r="F431" s="8">
        <f t="shared" si="38"/>
        <v>1786.1000000000001</v>
      </c>
      <c r="G431" s="8">
        <f t="shared" si="39"/>
        <v>21433.200000000001</v>
      </c>
      <c r="H431" s="8">
        <f t="shared" si="40"/>
        <v>3929.42</v>
      </c>
      <c r="I431" s="10">
        <f t="shared" si="41"/>
        <v>17503.78</v>
      </c>
    </row>
    <row r="432" spans="1:9" x14ac:dyDescent="0.25">
      <c r="A432" s="6">
        <v>577</v>
      </c>
      <c r="B432" s="5" t="str">
        <f>VLOOKUP(A432, EmployeeMaster!$A:$D, 3, FALSE)</f>
        <v>Research &amp; Development</v>
      </c>
      <c r="C432" s="8">
        <v>4230</v>
      </c>
      <c r="D432" s="8">
        <f t="shared" si="36"/>
        <v>846</v>
      </c>
      <c r="E432" s="8">
        <f t="shared" si="37"/>
        <v>507.59999999999997</v>
      </c>
      <c r="F432" s="8">
        <f t="shared" si="38"/>
        <v>423</v>
      </c>
      <c r="G432" s="8">
        <f t="shared" si="39"/>
        <v>5076</v>
      </c>
      <c r="H432" s="8">
        <f t="shared" si="40"/>
        <v>930.59999999999991</v>
      </c>
      <c r="I432" s="10">
        <f t="shared" si="41"/>
        <v>4145.3999999999996</v>
      </c>
    </row>
    <row r="433" spans="1:9" x14ac:dyDescent="0.25">
      <c r="A433" s="6">
        <v>578</v>
      </c>
      <c r="B433" s="5" t="str">
        <f>VLOOKUP(A433, EmployeeMaster!$A:$D, 3, FALSE)</f>
        <v>Research &amp; Development</v>
      </c>
      <c r="C433" s="8">
        <v>3780</v>
      </c>
      <c r="D433" s="8">
        <f t="shared" si="36"/>
        <v>756</v>
      </c>
      <c r="E433" s="8">
        <f t="shared" si="37"/>
        <v>453.59999999999997</v>
      </c>
      <c r="F433" s="8">
        <f t="shared" si="38"/>
        <v>378</v>
      </c>
      <c r="G433" s="8">
        <f t="shared" si="39"/>
        <v>4536</v>
      </c>
      <c r="H433" s="8">
        <f t="shared" si="40"/>
        <v>831.59999999999991</v>
      </c>
      <c r="I433" s="10">
        <f t="shared" si="41"/>
        <v>3704.4</v>
      </c>
    </row>
    <row r="434" spans="1:9" x14ac:dyDescent="0.25">
      <c r="A434" s="6">
        <v>579</v>
      </c>
      <c r="B434" s="5" t="str">
        <f>VLOOKUP(A434, EmployeeMaster!$A:$D, 3, FALSE)</f>
        <v>Research &amp; Development</v>
      </c>
      <c r="C434" s="8">
        <v>2768</v>
      </c>
      <c r="D434" s="8">
        <f t="shared" si="36"/>
        <v>553.6</v>
      </c>
      <c r="E434" s="8">
        <f t="shared" si="37"/>
        <v>332.15999999999997</v>
      </c>
      <c r="F434" s="8">
        <f t="shared" si="38"/>
        <v>276.8</v>
      </c>
      <c r="G434" s="8">
        <f t="shared" si="39"/>
        <v>3321.6</v>
      </c>
      <c r="H434" s="8">
        <f t="shared" si="40"/>
        <v>608.96</v>
      </c>
      <c r="I434" s="10">
        <f t="shared" si="41"/>
        <v>2712.64</v>
      </c>
    </row>
    <row r="435" spans="1:9" x14ac:dyDescent="0.25">
      <c r="A435" s="6">
        <v>580</v>
      </c>
      <c r="B435" s="5" t="str">
        <f>VLOOKUP(A435, EmployeeMaster!$A:$D, 3, FALSE)</f>
        <v>Sales</v>
      </c>
      <c r="C435" s="8">
        <v>9071</v>
      </c>
      <c r="D435" s="8">
        <f t="shared" si="36"/>
        <v>1814.2</v>
      </c>
      <c r="E435" s="8">
        <f t="shared" si="37"/>
        <v>1088.52</v>
      </c>
      <c r="F435" s="8">
        <f t="shared" si="38"/>
        <v>907.1</v>
      </c>
      <c r="G435" s="8">
        <f t="shared" si="39"/>
        <v>10885.2</v>
      </c>
      <c r="H435" s="8">
        <f t="shared" si="40"/>
        <v>1995.62</v>
      </c>
      <c r="I435" s="10">
        <f t="shared" si="41"/>
        <v>8889.5800000000017</v>
      </c>
    </row>
    <row r="436" spans="1:9" x14ac:dyDescent="0.25">
      <c r="A436" s="6">
        <v>581</v>
      </c>
      <c r="B436" s="5" t="str">
        <f>VLOOKUP(A436, EmployeeMaster!$A:$D, 3, FALSE)</f>
        <v>Research &amp; Development</v>
      </c>
      <c r="C436" s="8">
        <v>10648</v>
      </c>
      <c r="D436" s="8">
        <f t="shared" si="36"/>
        <v>2129.6</v>
      </c>
      <c r="E436" s="8">
        <f t="shared" si="37"/>
        <v>1277.76</v>
      </c>
      <c r="F436" s="8">
        <f t="shared" si="38"/>
        <v>1064.8</v>
      </c>
      <c r="G436" s="8">
        <f t="shared" si="39"/>
        <v>12777.6</v>
      </c>
      <c r="H436" s="8">
        <f t="shared" si="40"/>
        <v>2342.56</v>
      </c>
      <c r="I436" s="10">
        <f t="shared" si="41"/>
        <v>10435.040000000001</v>
      </c>
    </row>
    <row r="437" spans="1:9" x14ac:dyDescent="0.25">
      <c r="A437" s="6">
        <v>582</v>
      </c>
      <c r="B437" s="5" t="str">
        <f>VLOOKUP(A437, EmployeeMaster!$A:$D, 3, FALSE)</f>
        <v>Research &amp; Development</v>
      </c>
      <c r="C437" s="8">
        <v>13610</v>
      </c>
      <c r="D437" s="8">
        <f t="shared" si="36"/>
        <v>2722</v>
      </c>
      <c r="E437" s="8">
        <f t="shared" si="37"/>
        <v>1633.2</v>
      </c>
      <c r="F437" s="8">
        <f t="shared" si="38"/>
        <v>1361</v>
      </c>
      <c r="G437" s="8">
        <f t="shared" si="39"/>
        <v>16332</v>
      </c>
      <c r="H437" s="8">
        <f t="shared" si="40"/>
        <v>2994.2</v>
      </c>
      <c r="I437" s="10">
        <f t="shared" si="41"/>
        <v>13337.8</v>
      </c>
    </row>
    <row r="438" spans="1:9" x14ac:dyDescent="0.25">
      <c r="A438" s="6">
        <v>584</v>
      </c>
      <c r="B438" s="5" t="str">
        <f>VLOOKUP(A438, EmployeeMaster!$A:$D, 3, FALSE)</f>
        <v>Research &amp; Development</v>
      </c>
      <c r="C438" s="8">
        <v>3408</v>
      </c>
      <c r="D438" s="8">
        <f t="shared" si="36"/>
        <v>681.6</v>
      </c>
      <c r="E438" s="8">
        <f t="shared" si="37"/>
        <v>408.96</v>
      </c>
      <c r="F438" s="8">
        <f t="shared" si="38"/>
        <v>340.8</v>
      </c>
      <c r="G438" s="8">
        <f t="shared" si="39"/>
        <v>4089.6</v>
      </c>
      <c r="H438" s="8">
        <f t="shared" si="40"/>
        <v>749.76</v>
      </c>
      <c r="I438" s="10">
        <f t="shared" si="41"/>
        <v>3339.84</v>
      </c>
    </row>
    <row r="439" spans="1:9" x14ac:dyDescent="0.25">
      <c r="A439" s="6">
        <v>585</v>
      </c>
      <c r="B439" s="5" t="str">
        <f>VLOOKUP(A439, EmployeeMaster!$A:$D, 3, FALSE)</f>
        <v>Sales</v>
      </c>
      <c r="C439" s="8">
        <v>2983</v>
      </c>
      <c r="D439" s="8">
        <f t="shared" si="36"/>
        <v>596.6</v>
      </c>
      <c r="E439" s="8">
        <f t="shared" si="37"/>
        <v>357.96</v>
      </c>
      <c r="F439" s="8">
        <f t="shared" si="38"/>
        <v>298.3</v>
      </c>
      <c r="G439" s="8">
        <f t="shared" si="39"/>
        <v>3579.6</v>
      </c>
      <c r="H439" s="8">
        <f t="shared" si="40"/>
        <v>656.26</v>
      </c>
      <c r="I439" s="10">
        <f t="shared" si="41"/>
        <v>2923.34</v>
      </c>
    </row>
    <row r="440" spans="1:9" x14ac:dyDescent="0.25">
      <c r="A440" s="6">
        <v>586</v>
      </c>
      <c r="B440" s="5" t="str">
        <f>VLOOKUP(A440, EmployeeMaster!$A:$D, 3, FALSE)</f>
        <v>Research &amp; Development</v>
      </c>
      <c r="C440" s="8">
        <v>7632</v>
      </c>
      <c r="D440" s="8">
        <f t="shared" si="36"/>
        <v>1526.4</v>
      </c>
      <c r="E440" s="8">
        <f t="shared" si="37"/>
        <v>915.83999999999992</v>
      </c>
      <c r="F440" s="8">
        <f t="shared" si="38"/>
        <v>763.2</v>
      </c>
      <c r="G440" s="8">
        <f t="shared" si="39"/>
        <v>9158.4</v>
      </c>
      <c r="H440" s="8">
        <f t="shared" si="40"/>
        <v>1679.04</v>
      </c>
      <c r="I440" s="10">
        <f t="shared" si="41"/>
        <v>7479.36</v>
      </c>
    </row>
    <row r="441" spans="1:9" x14ac:dyDescent="0.25">
      <c r="A441" s="6">
        <v>587</v>
      </c>
      <c r="B441" s="5" t="str">
        <f>VLOOKUP(A441, EmployeeMaster!$A:$D, 3, FALSE)</f>
        <v>Research &amp; Development</v>
      </c>
      <c r="C441" s="8">
        <v>9824</v>
      </c>
      <c r="D441" s="8">
        <f t="shared" si="36"/>
        <v>1964.8000000000002</v>
      </c>
      <c r="E441" s="8">
        <f t="shared" si="37"/>
        <v>1178.8799999999999</v>
      </c>
      <c r="F441" s="8">
        <f t="shared" si="38"/>
        <v>982.40000000000009</v>
      </c>
      <c r="G441" s="8">
        <f t="shared" si="39"/>
        <v>11788.8</v>
      </c>
      <c r="H441" s="8">
        <f t="shared" si="40"/>
        <v>2161.2799999999997</v>
      </c>
      <c r="I441" s="10">
        <f t="shared" si="41"/>
        <v>9627.52</v>
      </c>
    </row>
    <row r="442" spans="1:9" x14ac:dyDescent="0.25">
      <c r="A442" s="6">
        <v>590</v>
      </c>
      <c r="B442" s="5" t="str">
        <f>VLOOKUP(A442, EmployeeMaster!$A:$D, 3, FALSE)</f>
        <v>Human Resources</v>
      </c>
      <c r="C442" s="8">
        <v>9950</v>
      </c>
      <c r="D442" s="8">
        <f t="shared" si="36"/>
        <v>1990</v>
      </c>
      <c r="E442" s="8">
        <f t="shared" si="37"/>
        <v>1194</v>
      </c>
      <c r="F442" s="8">
        <f t="shared" si="38"/>
        <v>995</v>
      </c>
      <c r="G442" s="8">
        <f t="shared" si="39"/>
        <v>11940</v>
      </c>
      <c r="H442" s="8">
        <f t="shared" si="40"/>
        <v>2189</v>
      </c>
      <c r="I442" s="10">
        <f t="shared" si="41"/>
        <v>9751</v>
      </c>
    </row>
    <row r="443" spans="1:9" x14ac:dyDescent="0.25">
      <c r="A443" s="6">
        <v>591</v>
      </c>
      <c r="B443" s="5" t="str">
        <f>VLOOKUP(A443, EmployeeMaster!$A:$D, 3, FALSE)</f>
        <v>Research &amp; Development</v>
      </c>
      <c r="C443" s="8">
        <v>2093</v>
      </c>
      <c r="D443" s="8">
        <f t="shared" si="36"/>
        <v>418.6</v>
      </c>
      <c r="E443" s="8">
        <f t="shared" si="37"/>
        <v>251.16</v>
      </c>
      <c r="F443" s="8">
        <f t="shared" si="38"/>
        <v>209.3</v>
      </c>
      <c r="G443" s="8">
        <f t="shared" si="39"/>
        <v>2511.6</v>
      </c>
      <c r="H443" s="8">
        <f t="shared" si="40"/>
        <v>460.46000000000004</v>
      </c>
      <c r="I443" s="10">
        <f t="shared" si="41"/>
        <v>2051.14</v>
      </c>
    </row>
    <row r="444" spans="1:9" x14ac:dyDescent="0.25">
      <c r="A444" s="6">
        <v>592</v>
      </c>
      <c r="B444" s="5" t="str">
        <f>VLOOKUP(A444, EmployeeMaster!$A:$D, 3, FALSE)</f>
        <v>Sales</v>
      </c>
      <c r="C444" s="8">
        <v>9980</v>
      </c>
      <c r="D444" s="8">
        <f t="shared" si="36"/>
        <v>1996</v>
      </c>
      <c r="E444" s="8">
        <f t="shared" si="37"/>
        <v>1197.5999999999999</v>
      </c>
      <c r="F444" s="8">
        <f t="shared" si="38"/>
        <v>998</v>
      </c>
      <c r="G444" s="8">
        <f t="shared" si="39"/>
        <v>11976</v>
      </c>
      <c r="H444" s="8">
        <f t="shared" si="40"/>
        <v>2195.6</v>
      </c>
      <c r="I444" s="10">
        <f t="shared" si="41"/>
        <v>9780.4</v>
      </c>
    </row>
    <row r="445" spans="1:9" x14ac:dyDescent="0.25">
      <c r="A445" s="6">
        <v>593</v>
      </c>
      <c r="B445" s="5" t="str">
        <f>VLOOKUP(A445, EmployeeMaster!$A:$D, 3, FALSE)</f>
        <v>Research &amp; Development</v>
      </c>
      <c r="C445" s="8">
        <v>3894</v>
      </c>
      <c r="D445" s="8">
        <f t="shared" si="36"/>
        <v>778.80000000000007</v>
      </c>
      <c r="E445" s="8">
        <f t="shared" si="37"/>
        <v>467.28</v>
      </c>
      <c r="F445" s="8">
        <f t="shared" si="38"/>
        <v>389.40000000000003</v>
      </c>
      <c r="G445" s="8">
        <f t="shared" si="39"/>
        <v>4672.8</v>
      </c>
      <c r="H445" s="8">
        <f t="shared" si="40"/>
        <v>856.68000000000006</v>
      </c>
      <c r="I445" s="10">
        <f t="shared" si="41"/>
        <v>3816.12</v>
      </c>
    </row>
    <row r="446" spans="1:9" x14ac:dyDescent="0.25">
      <c r="A446" s="6">
        <v>595</v>
      </c>
      <c r="B446" s="5" t="str">
        <f>VLOOKUP(A446, EmployeeMaster!$A:$D, 3, FALSE)</f>
        <v>Sales</v>
      </c>
      <c r="C446" s="8">
        <v>4051</v>
      </c>
      <c r="D446" s="8">
        <f t="shared" si="36"/>
        <v>810.2</v>
      </c>
      <c r="E446" s="8">
        <f t="shared" si="37"/>
        <v>486.12</v>
      </c>
      <c r="F446" s="8">
        <f t="shared" si="38"/>
        <v>405.1</v>
      </c>
      <c r="G446" s="8">
        <f t="shared" si="39"/>
        <v>4861.2</v>
      </c>
      <c r="H446" s="8">
        <f t="shared" si="40"/>
        <v>891.22</v>
      </c>
      <c r="I446" s="10">
        <f t="shared" si="41"/>
        <v>3969.9799999999996</v>
      </c>
    </row>
    <row r="447" spans="1:9" x14ac:dyDescent="0.25">
      <c r="A447" s="6">
        <v>597</v>
      </c>
      <c r="B447" s="5" t="str">
        <f>VLOOKUP(A447, EmployeeMaster!$A:$D, 3, FALSE)</f>
        <v>Sales</v>
      </c>
      <c r="C447" s="8">
        <v>16835</v>
      </c>
      <c r="D447" s="8">
        <f t="shared" si="36"/>
        <v>3367</v>
      </c>
      <c r="E447" s="8">
        <f t="shared" si="37"/>
        <v>2020.1999999999998</v>
      </c>
      <c r="F447" s="8">
        <f t="shared" si="38"/>
        <v>1683.5</v>
      </c>
      <c r="G447" s="8">
        <f t="shared" si="39"/>
        <v>20202</v>
      </c>
      <c r="H447" s="8">
        <f t="shared" si="40"/>
        <v>3703.7</v>
      </c>
      <c r="I447" s="10">
        <f t="shared" si="41"/>
        <v>16498.3</v>
      </c>
    </row>
    <row r="448" spans="1:9" x14ac:dyDescent="0.25">
      <c r="A448" s="6">
        <v>599</v>
      </c>
      <c r="B448" s="5" t="str">
        <f>VLOOKUP(A448, EmployeeMaster!$A:$D, 3, FALSE)</f>
        <v>Sales</v>
      </c>
      <c r="C448" s="8">
        <v>6230</v>
      </c>
      <c r="D448" s="8">
        <f t="shared" si="36"/>
        <v>1246</v>
      </c>
      <c r="E448" s="8">
        <f t="shared" si="37"/>
        <v>747.6</v>
      </c>
      <c r="F448" s="8">
        <f t="shared" si="38"/>
        <v>623</v>
      </c>
      <c r="G448" s="8">
        <f t="shared" si="39"/>
        <v>7476</v>
      </c>
      <c r="H448" s="8">
        <f t="shared" si="40"/>
        <v>1370.6</v>
      </c>
      <c r="I448" s="10">
        <f t="shared" si="41"/>
        <v>6105.4</v>
      </c>
    </row>
    <row r="449" spans="1:9" x14ac:dyDescent="0.25">
      <c r="A449" s="6">
        <v>600</v>
      </c>
      <c r="B449" s="5" t="str">
        <f>VLOOKUP(A449, EmployeeMaster!$A:$D, 3, FALSE)</f>
        <v>Sales</v>
      </c>
      <c r="C449" s="8">
        <v>4717</v>
      </c>
      <c r="D449" s="8">
        <f t="shared" si="36"/>
        <v>943.40000000000009</v>
      </c>
      <c r="E449" s="8">
        <f t="shared" si="37"/>
        <v>566.04</v>
      </c>
      <c r="F449" s="8">
        <f t="shared" si="38"/>
        <v>471.70000000000005</v>
      </c>
      <c r="G449" s="8">
        <f t="shared" si="39"/>
        <v>5660.4</v>
      </c>
      <c r="H449" s="8">
        <f t="shared" si="40"/>
        <v>1037.74</v>
      </c>
      <c r="I449" s="10">
        <f t="shared" si="41"/>
        <v>4622.66</v>
      </c>
    </row>
    <row r="450" spans="1:9" x14ac:dyDescent="0.25">
      <c r="A450" s="6">
        <v>601</v>
      </c>
      <c r="B450" s="5" t="str">
        <f>VLOOKUP(A450, EmployeeMaster!$A:$D, 3, FALSE)</f>
        <v>Research &amp; Development</v>
      </c>
      <c r="C450" s="8">
        <v>13237</v>
      </c>
      <c r="D450" s="8">
        <f t="shared" si="36"/>
        <v>2647.4</v>
      </c>
      <c r="E450" s="8">
        <f t="shared" si="37"/>
        <v>1588.44</v>
      </c>
      <c r="F450" s="8">
        <f t="shared" si="38"/>
        <v>1323.7</v>
      </c>
      <c r="G450" s="8">
        <f t="shared" si="39"/>
        <v>15884.4</v>
      </c>
      <c r="H450" s="8">
        <f t="shared" si="40"/>
        <v>2912.1400000000003</v>
      </c>
      <c r="I450" s="10">
        <f t="shared" si="41"/>
        <v>12972.259999999998</v>
      </c>
    </row>
    <row r="451" spans="1:9" x14ac:dyDescent="0.25">
      <c r="A451" s="6">
        <v>602</v>
      </c>
      <c r="B451" s="5" t="str">
        <f>VLOOKUP(A451, EmployeeMaster!$A:$D, 3, FALSE)</f>
        <v>Research &amp; Development</v>
      </c>
      <c r="C451" s="8">
        <v>3755</v>
      </c>
      <c r="D451" s="8">
        <f t="shared" ref="D451:D514" si="42">C451*20%</f>
        <v>751</v>
      </c>
      <c r="E451" s="8">
        <f t="shared" ref="E451:E514" si="43">C451*12%</f>
        <v>450.59999999999997</v>
      </c>
      <c r="F451" s="8">
        <f t="shared" ref="F451:F514" si="44">C451*10%</f>
        <v>375.5</v>
      </c>
      <c r="G451" s="8">
        <f t="shared" ref="G451:G514" si="45">C451+D451</f>
        <v>4506</v>
      </c>
      <c r="H451" s="8">
        <f t="shared" ref="H451:H514" si="46">E451+F451</f>
        <v>826.09999999999991</v>
      </c>
      <c r="I451" s="10">
        <f t="shared" ref="I451:I514" si="47">G451-H451</f>
        <v>3679.9</v>
      </c>
    </row>
    <row r="452" spans="1:9" x14ac:dyDescent="0.25">
      <c r="A452" s="6">
        <v>604</v>
      </c>
      <c r="B452" s="5" t="str">
        <f>VLOOKUP(A452, EmployeeMaster!$A:$D, 3, FALSE)</f>
        <v>Sales</v>
      </c>
      <c r="C452" s="8">
        <v>6582</v>
      </c>
      <c r="D452" s="8">
        <f t="shared" si="42"/>
        <v>1316.4</v>
      </c>
      <c r="E452" s="8">
        <f t="shared" si="43"/>
        <v>789.83999999999992</v>
      </c>
      <c r="F452" s="8">
        <f t="shared" si="44"/>
        <v>658.2</v>
      </c>
      <c r="G452" s="8">
        <f t="shared" si="45"/>
        <v>7898.4</v>
      </c>
      <c r="H452" s="8">
        <f t="shared" si="46"/>
        <v>1448.04</v>
      </c>
      <c r="I452" s="10">
        <f t="shared" si="47"/>
        <v>6450.36</v>
      </c>
    </row>
    <row r="453" spans="1:9" x14ac:dyDescent="0.25">
      <c r="A453" s="6">
        <v>605</v>
      </c>
      <c r="B453" s="5" t="str">
        <f>VLOOKUP(A453, EmployeeMaster!$A:$D, 3, FALSE)</f>
        <v>Research &amp; Development</v>
      </c>
      <c r="C453" s="8">
        <v>7406</v>
      </c>
      <c r="D453" s="8">
        <f t="shared" si="42"/>
        <v>1481.2</v>
      </c>
      <c r="E453" s="8">
        <f t="shared" si="43"/>
        <v>888.71999999999991</v>
      </c>
      <c r="F453" s="8">
        <f t="shared" si="44"/>
        <v>740.6</v>
      </c>
      <c r="G453" s="8">
        <f t="shared" si="45"/>
        <v>8887.2000000000007</v>
      </c>
      <c r="H453" s="8">
        <f t="shared" si="46"/>
        <v>1629.32</v>
      </c>
      <c r="I453" s="10">
        <f t="shared" si="47"/>
        <v>7257.880000000001</v>
      </c>
    </row>
    <row r="454" spans="1:9" x14ac:dyDescent="0.25">
      <c r="A454" s="6">
        <v>606</v>
      </c>
      <c r="B454" s="5" t="str">
        <f>VLOOKUP(A454, EmployeeMaster!$A:$D, 3, FALSE)</f>
        <v>Sales</v>
      </c>
      <c r="C454" s="8">
        <v>4805</v>
      </c>
      <c r="D454" s="8">
        <f t="shared" si="42"/>
        <v>961</v>
      </c>
      <c r="E454" s="8">
        <f t="shared" si="43"/>
        <v>576.6</v>
      </c>
      <c r="F454" s="8">
        <f t="shared" si="44"/>
        <v>480.5</v>
      </c>
      <c r="G454" s="8">
        <f t="shared" si="45"/>
        <v>5766</v>
      </c>
      <c r="H454" s="8">
        <f t="shared" si="46"/>
        <v>1057.0999999999999</v>
      </c>
      <c r="I454" s="10">
        <f t="shared" si="47"/>
        <v>4708.8999999999996</v>
      </c>
    </row>
    <row r="455" spans="1:9" x14ac:dyDescent="0.25">
      <c r="A455" s="6">
        <v>608</v>
      </c>
      <c r="B455" s="5" t="str">
        <f>VLOOKUP(A455, EmployeeMaster!$A:$D, 3, FALSE)</f>
        <v>Human Resources</v>
      </c>
      <c r="C455" s="8">
        <v>2741</v>
      </c>
      <c r="D455" s="8">
        <f t="shared" si="42"/>
        <v>548.20000000000005</v>
      </c>
      <c r="E455" s="8">
        <f t="shared" si="43"/>
        <v>328.92</v>
      </c>
      <c r="F455" s="8">
        <f t="shared" si="44"/>
        <v>274.10000000000002</v>
      </c>
      <c r="G455" s="8">
        <f t="shared" si="45"/>
        <v>3289.2</v>
      </c>
      <c r="H455" s="8">
        <f t="shared" si="46"/>
        <v>603.02</v>
      </c>
      <c r="I455" s="10">
        <f t="shared" si="47"/>
        <v>2686.18</v>
      </c>
    </row>
    <row r="456" spans="1:9" x14ac:dyDescent="0.25">
      <c r="A456" s="6">
        <v>611</v>
      </c>
      <c r="B456" s="5" t="str">
        <f>VLOOKUP(A456, EmployeeMaster!$A:$D, 3, FALSE)</f>
        <v>Research &amp; Development</v>
      </c>
      <c r="C456" s="8">
        <v>4262</v>
      </c>
      <c r="D456" s="8">
        <f t="shared" si="42"/>
        <v>852.40000000000009</v>
      </c>
      <c r="E456" s="8">
        <f t="shared" si="43"/>
        <v>511.44</v>
      </c>
      <c r="F456" s="8">
        <f t="shared" si="44"/>
        <v>426.20000000000005</v>
      </c>
      <c r="G456" s="8">
        <f t="shared" si="45"/>
        <v>5114.3999999999996</v>
      </c>
      <c r="H456" s="8">
        <f t="shared" si="46"/>
        <v>937.6400000000001</v>
      </c>
      <c r="I456" s="10">
        <f t="shared" si="47"/>
        <v>4176.7599999999993</v>
      </c>
    </row>
    <row r="457" spans="1:9" x14ac:dyDescent="0.25">
      <c r="A457" s="6">
        <v>612</v>
      </c>
      <c r="B457" s="5" t="str">
        <f>VLOOKUP(A457, EmployeeMaster!$A:$D, 3, FALSE)</f>
        <v>Research &amp; Development</v>
      </c>
      <c r="C457" s="8">
        <v>16184</v>
      </c>
      <c r="D457" s="8">
        <f t="shared" si="42"/>
        <v>3236.8</v>
      </c>
      <c r="E457" s="8">
        <f t="shared" si="43"/>
        <v>1942.08</v>
      </c>
      <c r="F457" s="8">
        <f t="shared" si="44"/>
        <v>1618.4</v>
      </c>
      <c r="G457" s="8">
        <f t="shared" si="45"/>
        <v>19420.8</v>
      </c>
      <c r="H457" s="8">
        <f t="shared" si="46"/>
        <v>3560.48</v>
      </c>
      <c r="I457" s="10">
        <f t="shared" si="47"/>
        <v>15860.32</v>
      </c>
    </row>
    <row r="458" spans="1:9" x14ac:dyDescent="0.25">
      <c r="A458" s="6">
        <v>613</v>
      </c>
      <c r="B458" s="5" t="str">
        <f>VLOOKUP(A458, EmployeeMaster!$A:$D, 3, FALSE)</f>
        <v>Sales</v>
      </c>
      <c r="C458" s="8">
        <v>11557</v>
      </c>
      <c r="D458" s="8">
        <f t="shared" si="42"/>
        <v>2311.4</v>
      </c>
      <c r="E458" s="8">
        <f t="shared" si="43"/>
        <v>1386.84</v>
      </c>
      <c r="F458" s="8">
        <f t="shared" si="44"/>
        <v>1155.7</v>
      </c>
      <c r="G458" s="8">
        <f t="shared" si="45"/>
        <v>13868.4</v>
      </c>
      <c r="H458" s="8">
        <f t="shared" si="46"/>
        <v>2542.54</v>
      </c>
      <c r="I458" s="10">
        <f t="shared" si="47"/>
        <v>11325.86</v>
      </c>
    </row>
    <row r="459" spans="1:9" x14ac:dyDescent="0.25">
      <c r="A459" s="6">
        <v>614</v>
      </c>
      <c r="B459" s="5" t="str">
        <f>VLOOKUP(A459, EmployeeMaster!$A:$D, 3, FALSE)</f>
        <v>Sales</v>
      </c>
      <c r="C459" s="8">
        <v>1878</v>
      </c>
      <c r="D459" s="8">
        <f t="shared" si="42"/>
        <v>375.6</v>
      </c>
      <c r="E459" s="8">
        <f t="shared" si="43"/>
        <v>225.35999999999999</v>
      </c>
      <c r="F459" s="8">
        <f t="shared" si="44"/>
        <v>187.8</v>
      </c>
      <c r="G459" s="8">
        <f t="shared" si="45"/>
        <v>2253.6</v>
      </c>
      <c r="H459" s="8">
        <f t="shared" si="46"/>
        <v>413.15999999999997</v>
      </c>
      <c r="I459" s="10">
        <f t="shared" si="47"/>
        <v>1840.44</v>
      </c>
    </row>
    <row r="460" spans="1:9" x14ac:dyDescent="0.25">
      <c r="A460" s="6">
        <v>615</v>
      </c>
      <c r="B460" s="5" t="str">
        <f>VLOOKUP(A460, EmployeeMaster!$A:$D, 3, FALSE)</f>
        <v>Sales</v>
      </c>
      <c r="C460" s="8">
        <v>10932</v>
      </c>
      <c r="D460" s="8">
        <f t="shared" si="42"/>
        <v>2186.4</v>
      </c>
      <c r="E460" s="8">
        <f t="shared" si="43"/>
        <v>1311.84</v>
      </c>
      <c r="F460" s="8">
        <f t="shared" si="44"/>
        <v>1093.2</v>
      </c>
      <c r="G460" s="8">
        <f t="shared" si="45"/>
        <v>13118.4</v>
      </c>
      <c r="H460" s="8">
        <f t="shared" si="46"/>
        <v>2405.04</v>
      </c>
      <c r="I460" s="10">
        <f t="shared" si="47"/>
        <v>10713.36</v>
      </c>
    </row>
    <row r="461" spans="1:9" x14ac:dyDescent="0.25">
      <c r="A461" s="6">
        <v>616</v>
      </c>
      <c r="B461" s="5" t="str">
        <f>VLOOKUP(A461, EmployeeMaster!$A:$D, 3, FALSE)</f>
        <v>Research &amp; Development</v>
      </c>
      <c r="C461" s="8">
        <v>6811</v>
      </c>
      <c r="D461" s="8">
        <f t="shared" si="42"/>
        <v>1362.2</v>
      </c>
      <c r="E461" s="8">
        <f t="shared" si="43"/>
        <v>817.31999999999994</v>
      </c>
      <c r="F461" s="8">
        <f t="shared" si="44"/>
        <v>681.1</v>
      </c>
      <c r="G461" s="8">
        <f t="shared" si="45"/>
        <v>8173.2</v>
      </c>
      <c r="H461" s="8">
        <f t="shared" si="46"/>
        <v>1498.42</v>
      </c>
      <c r="I461" s="10">
        <f t="shared" si="47"/>
        <v>6674.78</v>
      </c>
    </row>
    <row r="462" spans="1:9" x14ac:dyDescent="0.25">
      <c r="A462" s="6">
        <v>618</v>
      </c>
      <c r="B462" s="5" t="str">
        <f>VLOOKUP(A462, EmployeeMaster!$A:$D, 3, FALSE)</f>
        <v>Sales</v>
      </c>
      <c r="C462" s="8">
        <v>4306</v>
      </c>
      <c r="D462" s="8">
        <f t="shared" si="42"/>
        <v>861.2</v>
      </c>
      <c r="E462" s="8">
        <f t="shared" si="43"/>
        <v>516.72</v>
      </c>
      <c r="F462" s="8">
        <f t="shared" si="44"/>
        <v>430.6</v>
      </c>
      <c r="G462" s="8">
        <f t="shared" si="45"/>
        <v>5167.2</v>
      </c>
      <c r="H462" s="8">
        <f t="shared" si="46"/>
        <v>947.32</v>
      </c>
      <c r="I462" s="10">
        <f t="shared" si="47"/>
        <v>4219.88</v>
      </c>
    </row>
    <row r="463" spans="1:9" x14ac:dyDescent="0.25">
      <c r="A463" s="6">
        <v>620</v>
      </c>
      <c r="B463" s="5" t="str">
        <f>VLOOKUP(A463, EmployeeMaster!$A:$D, 3, FALSE)</f>
        <v>Sales</v>
      </c>
      <c r="C463" s="8">
        <v>4859</v>
      </c>
      <c r="D463" s="8">
        <f t="shared" si="42"/>
        <v>971.80000000000007</v>
      </c>
      <c r="E463" s="8">
        <f t="shared" si="43"/>
        <v>583.07999999999993</v>
      </c>
      <c r="F463" s="8">
        <f t="shared" si="44"/>
        <v>485.90000000000003</v>
      </c>
      <c r="G463" s="8">
        <f t="shared" si="45"/>
        <v>5830.8</v>
      </c>
      <c r="H463" s="8">
        <f t="shared" si="46"/>
        <v>1068.98</v>
      </c>
      <c r="I463" s="10">
        <f t="shared" si="47"/>
        <v>4761.82</v>
      </c>
    </row>
    <row r="464" spans="1:9" x14ac:dyDescent="0.25">
      <c r="A464" s="6">
        <v>621</v>
      </c>
      <c r="B464" s="5" t="str">
        <f>VLOOKUP(A464, EmployeeMaster!$A:$D, 3, FALSE)</f>
        <v>Sales</v>
      </c>
      <c r="C464" s="8">
        <v>5337</v>
      </c>
      <c r="D464" s="8">
        <f t="shared" si="42"/>
        <v>1067.4000000000001</v>
      </c>
      <c r="E464" s="8">
        <f t="shared" si="43"/>
        <v>640.43999999999994</v>
      </c>
      <c r="F464" s="8">
        <f t="shared" si="44"/>
        <v>533.70000000000005</v>
      </c>
      <c r="G464" s="8">
        <f t="shared" si="45"/>
        <v>6404.4</v>
      </c>
      <c r="H464" s="8">
        <f t="shared" si="46"/>
        <v>1174.1399999999999</v>
      </c>
      <c r="I464" s="10">
        <f t="shared" si="47"/>
        <v>5230.26</v>
      </c>
    </row>
    <row r="465" spans="1:9" x14ac:dyDescent="0.25">
      <c r="A465" s="6">
        <v>622</v>
      </c>
      <c r="B465" s="5" t="str">
        <f>VLOOKUP(A465, EmployeeMaster!$A:$D, 3, FALSE)</f>
        <v>Research &amp; Development</v>
      </c>
      <c r="C465" s="8">
        <v>2340</v>
      </c>
      <c r="D465" s="8">
        <f t="shared" si="42"/>
        <v>468</v>
      </c>
      <c r="E465" s="8">
        <f t="shared" si="43"/>
        <v>280.8</v>
      </c>
      <c r="F465" s="8">
        <f t="shared" si="44"/>
        <v>234</v>
      </c>
      <c r="G465" s="8">
        <f t="shared" si="45"/>
        <v>2808</v>
      </c>
      <c r="H465" s="8">
        <f t="shared" si="46"/>
        <v>514.79999999999995</v>
      </c>
      <c r="I465" s="10">
        <f t="shared" si="47"/>
        <v>2293.1999999999998</v>
      </c>
    </row>
    <row r="466" spans="1:9" x14ac:dyDescent="0.25">
      <c r="A466" s="6">
        <v>623</v>
      </c>
      <c r="B466" s="5" t="str">
        <f>VLOOKUP(A466, EmployeeMaster!$A:$D, 3, FALSE)</f>
        <v>Research &amp; Development</v>
      </c>
      <c r="C466" s="8">
        <v>7491</v>
      </c>
      <c r="D466" s="8">
        <f t="shared" si="42"/>
        <v>1498.2</v>
      </c>
      <c r="E466" s="8">
        <f t="shared" si="43"/>
        <v>898.92</v>
      </c>
      <c r="F466" s="8">
        <f t="shared" si="44"/>
        <v>749.1</v>
      </c>
      <c r="G466" s="8">
        <f t="shared" si="45"/>
        <v>8989.2000000000007</v>
      </c>
      <c r="H466" s="8">
        <f t="shared" si="46"/>
        <v>1648.02</v>
      </c>
      <c r="I466" s="10">
        <f t="shared" si="47"/>
        <v>7341.18</v>
      </c>
    </row>
    <row r="467" spans="1:9" x14ac:dyDescent="0.25">
      <c r="A467" s="6">
        <v>624</v>
      </c>
      <c r="B467" s="5" t="str">
        <f>VLOOKUP(A467, EmployeeMaster!$A:$D, 3, FALSE)</f>
        <v>Research &amp; Development</v>
      </c>
      <c r="C467" s="8">
        <v>10527</v>
      </c>
      <c r="D467" s="8">
        <f t="shared" si="42"/>
        <v>2105.4</v>
      </c>
      <c r="E467" s="8">
        <f t="shared" si="43"/>
        <v>1263.24</v>
      </c>
      <c r="F467" s="8">
        <f t="shared" si="44"/>
        <v>1052.7</v>
      </c>
      <c r="G467" s="8">
        <f t="shared" si="45"/>
        <v>12632.4</v>
      </c>
      <c r="H467" s="8">
        <f t="shared" si="46"/>
        <v>2315.94</v>
      </c>
      <c r="I467" s="10">
        <f t="shared" si="47"/>
        <v>10316.459999999999</v>
      </c>
    </row>
    <row r="468" spans="1:9" x14ac:dyDescent="0.25">
      <c r="A468" s="6">
        <v>625</v>
      </c>
      <c r="B468" s="5" t="str">
        <f>VLOOKUP(A468, EmployeeMaster!$A:$D, 3, FALSE)</f>
        <v>Sales</v>
      </c>
      <c r="C468" s="8">
        <v>16595</v>
      </c>
      <c r="D468" s="8">
        <f t="shared" si="42"/>
        <v>3319</v>
      </c>
      <c r="E468" s="8">
        <f t="shared" si="43"/>
        <v>1991.3999999999999</v>
      </c>
      <c r="F468" s="8">
        <f t="shared" si="44"/>
        <v>1659.5</v>
      </c>
      <c r="G468" s="8">
        <f t="shared" si="45"/>
        <v>19914</v>
      </c>
      <c r="H468" s="8">
        <f t="shared" si="46"/>
        <v>3650.8999999999996</v>
      </c>
      <c r="I468" s="10">
        <f t="shared" si="47"/>
        <v>16263.1</v>
      </c>
    </row>
    <row r="469" spans="1:9" x14ac:dyDescent="0.25">
      <c r="A469" s="6">
        <v>626</v>
      </c>
      <c r="B469" s="5" t="str">
        <f>VLOOKUP(A469, EmployeeMaster!$A:$D, 3, FALSE)</f>
        <v>Sales</v>
      </c>
      <c r="C469" s="8">
        <v>8834</v>
      </c>
      <c r="D469" s="8">
        <f t="shared" si="42"/>
        <v>1766.8000000000002</v>
      </c>
      <c r="E469" s="8">
        <f t="shared" si="43"/>
        <v>1060.08</v>
      </c>
      <c r="F469" s="8">
        <f t="shared" si="44"/>
        <v>883.40000000000009</v>
      </c>
      <c r="G469" s="8">
        <f t="shared" si="45"/>
        <v>10600.8</v>
      </c>
      <c r="H469" s="8">
        <f t="shared" si="46"/>
        <v>1943.48</v>
      </c>
      <c r="I469" s="10">
        <f t="shared" si="47"/>
        <v>8657.32</v>
      </c>
    </row>
    <row r="470" spans="1:9" x14ac:dyDescent="0.25">
      <c r="A470" s="6">
        <v>630</v>
      </c>
      <c r="B470" s="5" t="str">
        <f>VLOOKUP(A470, EmployeeMaster!$A:$D, 3, FALSE)</f>
        <v>Research &amp; Development</v>
      </c>
      <c r="C470" s="8">
        <v>5577</v>
      </c>
      <c r="D470" s="8">
        <f t="shared" si="42"/>
        <v>1115.4000000000001</v>
      </c>
      <c r="E470" s="8">
        <f t="shared" si="43"/>
        <v>669.24</v>
      </c>
      <c r="F470" s="8">
        <f t="shared" si="44"/>
        <v>557.70000000000005</v>
      </c>
      <c r="G470" s="8">
        <f t="shared" si="45"/>
        <v>6692.4</v>
      </c>
      <c r="H470" s="8">
        <f t="shared" si="46"/>
        <v>1226.94</v>
      </c>
      <c r="I470" s="10">
        <f t="shared" si="47"/>
        <v>5465.4599999999991</v>
      </c>
    </row>
    <row r="471" spans="1:9" x14ac:dyDescent="0.25">
      <c r="A471" s="6">
        <v>631</v>
      </c>
      <c r="B471" s="5" t="str">
        <f>VLOOKUP(A471, EmployeeMaster!$A:$D, 3, FALSE)</f>
        <v>Sales</v>
      </c>
      <c r="C471" s="8">
        <v>4707</v>
      </c>
      <c r="D471" s="8">
        <f t="shared" si="42"/>
        <v>941.40000000000009</v>
      </c>
      <c r="E471" s="8">
        <f t="shared" si="43"/>
        <v>564.84</v>
      </c>
      <c r="F471" s="8">
        <f t="shared" si="44"/>
        <v>470.70000000000005</v>
      </c>
      <c r="G471" s="8">
        <f t="shared" si="45"/>
        <v>5648.4</v>
      </c>
      <c r="H471" s="8">
        <f t="shared" si="46"/>
        <v>1035.54</v>
      </c>
      <c r="I471" s="10">
        <f t="shared" si="47"/>
        <v>4612.8599999999997</v>
      </c>
    </row>
    <row r="472" spans="1:9" x14ac:dyDescent="0.25">
      <c r="A472" s="6">
        <v>632</v>
      </c>
      <c r="B472" s="5" t="str">
        <f>VLOOKUP(A472, EmployeeMaster!$A:$D, 3, FALSE)</f>
        <v>Sales</v>
      </c>
      <c r="C472" s="8">
        <v>2400</v>
      </c>
      <c r="D472" s="8">
        <f t="shared" si="42"/>
        <v>480</v>
      </c>
      <c r="E472" s="8">
        <f t="shared" si="43"/>
        <v>288</v>
      </c>
      <c r="F472" s="8">
        <f t="shared" si="44"/>
        <v>240</v>
      </c>
      <c r="G472" s="8">
        <f t="shared" si="45"/>
        <v>2880</v>
      </c>
      <c r="H472" s="8">
        <f t="shared" si="46"/>
        <v>528</v>
      </c>
      <c r="I472" s="10">
        <f t="shared" si="47"/>
        <v>2352</v>
      </c>
    </row>
    <row r="473" spans="1:9" x14ac:dyDescent="0.25">
      <c r="A473" s="6">
        <v>634</v>
      </c>
      <c r="B473" s="5" t="str">
        <f>VLOOKUP(A473, EmployeeMaster!$A:$D, 3, FALSE)</f>
        <v>Research &amp; Development</v>
      </c>
      <c r="C473" s="8">
        <v>9824</v>
      </c>
      <c r="D473" s="8">
        <f t="shared" si="42"/>
        <v>1964.8000000000002</v>
      </c>
      <c r="E473" s="8">
        <f t="shared" si="43"/>
        <v>1178.8799999999999</v>
      </c>
      <c r="F473" s="8">
        <f t="shared" si="44"/>
        <v>982.40000000000009</v>
      </c>
      <c r="G473" s="8">
        <f t="shared" si="45"/>
        <v>11788.8</v>
      </c>
      <c r="H473" s="8">
        <f t="shared" si="46"/>
        <v>2161.2799999999997</v>
      </c>
      <c r="I473" s="10">
        <f t="shared" si="47"/>
        <v>9627.52</v>
      </c>
    </row>
    <row r="474" spans="1:9" x14ac:dyDescent="0.25">
      <c r="A474" s="6">
        <v>635</v>
      </c>
      <c r="B474" s="5" t="str">
        <f>VLOOKUP(A474, EmployeeMaster!$A:$D, 3, FALSE)</f>
        <v>Research &amp; Development</v>
      </c>
      <c r="C474" s="8">
        <v>6447</v>
      </c>
      <c r="D474" s="8">
        <f t="shared" si="42"/>
        <v>1289.4000000000001</v>
      </c>
      <c r="E474" s="8">
        <f t="shared" si="43"/>
        <v>773.64</v>
      </c>
      <c r="F474" s="8">
        <f t="shared" si="44"/>
        <v>644.70000000000005</v>
      </c>
      <c r="G474" s="8">
        <f t="shared" si="45"/>
        <v>7736.4</v>
      </c>
      <c r="H474" s="8">
        <f t="shared" si="46"/>
        <v>1418.3400000000001</v>
      </c>
      <c r="I474" s="10">
        <f t="shared" si="47"/>
        <v>6318.0599999999995</v>
      </c>
    </row>
    <row r="475" spans="1:9" x14ac:dyDescent="0.25">
      <c r="A475" s="6">
        <v>638</v>
      </c>
      <c r="B475" s="5" t="str">
        <f>VLOOKUP(A475, EmployeeMaster!$A:$D, 3, FALSE)</f>
        <v>Research &amp; Development</v>
      </c>
      <c r="C475" s="8">
        <v>19502</v>
      </c>
      <c r="D475" s="8">
        <f t="shared" si="42"/>
        <v>3900.4</v>
      </c>
      <c r="E475" s="8">
        <f t="shared" si="43"/>
        <v>2340.2399999999998</v>
      </c>
      <c r="F475" s="8">
        <f t="shared" si="44"/>
        <v>1950.2</v>
      </c>
      <c r="G475" s="8">
        <f t="shared" si="45"/>
        <v>23402.400000000001</v>
      </c>
      <c r="H475" s="8">
        <f t="shared" si="46"/>
        <v>4290.4399999999996</v>
      </c>
      <c r="I475" s="10">
        <f t="shared" si="47"/>
        <v>19111.960000000003</v>
      </c>
    </row>
    <row r="476" spans="1:9" x14ac:dyDescent="0.25">
      <c r="A476" s="6">
        <v>639</v>
      </c>
      <c r="B476" s="5" t="str">
        <f>VLOOKUP(A476, EmployeeMaster!$A:$D, 3, FALSE)</f>
        <v>Research &amp; Development</v>
      </c>
      <c r="C476" s="8">
        <v>2725</v>
      </c>
      <c r="D476" s="8">
        <f t="shared" si="42"/>
        <v>545</v>
      </c>
      <c r="E476" s="8">
        <f t="shared" si="43"/>
        <v>327</v>
      </c>
      <c r="F476" s="8">
        <f t="shared" si="44"/>
        <v>272.5</v>
      </c>
      <c r="G476" s="8">
        <f t="shared" si="45"/>
        <v>3270</v>
      </c>
      <c r="H476" s="8">
        <f t="shared" si="46"/>
        <v>599.5</v>
      </c>
      <c r="I476" s="10">
        <f t="shared" si="47"/>
        <v>2670.5</v>
      </c>
    </row>
    <row r="477" spans="1:9" x14ac:dyDescent="0.25">
      <c r="A477" s="6">
        <v>641</v>
      </c>
      <c r="B477" s="5" t="str">
        <f>VLOOKUP(A477, EmployeeMaster!$A:$D, 3, FALSE)</f>
        <v>Sales</v>
      </c>
      <c r="C477" s="8">
        <v>6272</v>
      </c>
      <c r="D477" s="8">
        <f t="shared" si="42"/>
        <v>1254.4000000000001</v>
      </c>
      <c r="E477" s="8">
        <f t="shared" si="43"/>
        <v>752.64</v>
      </c>
      <c r="F477" s="8">
        <f t="shared" si="44"/>
        <v>627.20000000000005</v>
      </c>
      <c r="G477" s="8">
        <f t="shared" si="45"/>
        <v>7526.4</v>
      </c>
      <c r="H477" s="8">
        <f t="shared" si="46"/>
        <v>1379.8400000000001</v>
      </c>
      <c r="I477" s="10">
        <f t="shared" si="47"/>
        <v>6146.5599999999995</v>
      </c>
    </row>
    <row r="478" spans="1:9" x14ac:dyDescent="0.25">
      <c r="A478" s="6">
        <v>643</v>
      </c>
      <c r="B478" s="5" t="str">
        <f>VLOOKUP(A478, EmployeeMaster!$A:$D, 3, FALSE)</f>
        <v>Research &amp; Development</v>
      </c>
      <c r="C478" s="8">
        <v>2127</v>
      </c>
      <c r="D478" s="8">
        <f t="shared" si="42"/>
        <v>425.40000000000003</v>
      </c>
      <c r="E478" s="8">
        <f t="shared" si="43"/>
        <v>255.23999999999998</v>
      </c>
      <c r="F478" s="8">
        <f t="shared" si="44"/>
        <v>212.70000000000002</v>
      </c>
      <c r="G478" s="8">
        <f t="shared" si="45"/>
        <v>2552.4</v>
      </c>
      <c r="H478" s="8">
        <f t="shared" si="46"/>
        <v>467.94</v>
      </c>
      <c r="I478" s="10">
        <f t="shared" si="47"/>
        <v>2084.46</v>
      </c>
    </row>
    <row r="479" spans="1:9" x14ac:dyDescent="0.25">
      <c r="A479" s="6">
        <v>644</v>
      </c>
      <c r="B479" s="5" t="str">
        <f>VLOOKUP(A479, EmployeeMaster!$A:$D, 3, FALSE)</f>
        <v>Human Resources</v>
      </c>
      <c r="C479" s="8">
        <v>18200</v>
      </c>
      <c r="D479" s="8">
        <f t="shared" si="42"/>
        <v>3640</v>
      </c>
      <c r="E479" s="8">
        <f t="shared" si="43"/>
        <v>2184</v>
      </c>
      <c r="F479" s="8">
        <f t="shared" si="44"/>
        <v>1820</v>
      </c>
      <c r="G479" s="8">
        <f t="shared" si="45"/>
        <v>21840</v>
      </c>
      <c r="H479" s="8">
        <f t="shared" si="46"/>
        <v>4004</v>
      </c>
      <c r="I479" s="10">
        <f t="shared" si="47"/>
        <v>17836</v>
      </c>
    </row>
    <row r="480" spans="1:9" x14ac:dyDescent="0.25">
      <c r="A480" s="6">
        <v>645</v>
      </c>
      <c r="B480" s="5" t="str">
        <f>VLOOKUP(A480, EmployeeMaster!$A:$D, 3, FALSE)</f>
        <v>Sales</v>
      </c>
      <c r="C480" s="8">
        <v>2096</v>
      </c>
      <c r="D480" s="8">
        <f t="shared" si="42"/>
        <v>419.20000000000005</v>
      </c>
      <c r="E480" s="8">
        <f t="shared" si="43"/>
        <v>251.51999999999998</v>
      </c>
      <c r="F480" s="8">
        <f t="shared" si="44"/>
        <v>209.60000000000002</v>
      </c>
      <c r="G480" s="8">
        <f t="shared" si="45"/>
        <v>2515.1999999999998</v>
      </c>
      <c r="H480" s="8">
        <f t="shared" si="46"/>
        <v>461.12</v>
      </c>
      <c r="I480" s="10">
        <f t="shared" si="47"/>
        <v>2054.08</v>
      </c>
    </row>
    <row r="481" spans="1:9" x14ac:dyDescent="0.25">
      <c r="A481" s="6">
        <v>647</v>
      </c>
      <c r="B481" s="5" t="str">
        <f>VLOOKUP(A481, EmployeeMaster!$A:$D, 3, FALSE)</f>
        <v>Research &amp; Development</v>
      </c>
      <c r="C481" s="8">
        <v>2886</v>
      </c>
      <c r="D481" s="8">
        <f t="shared" si="42"/>
        <v>577.20000000000005</v>
      </c>
      <c r="E481" s="8">
        <f t="shared" si="43"/>
        <v>346.32</v>
      </c>
      <c r="F481" s="8">
        <f t="shared" si="44"/>
        <v>288.60000000000002</v>
      </c>
      <c r="G481" s="8">
        <f t="shared" si="45"/>
        <v>3463.2</v>
      </c>
      <c r="H481" s="8">
        <f t="shared" si="46"/>
        <v>634.92000000000007</v>
      </c>
      <c r="I481" s="10">
        <f t="shared" si="47"/>
        <v>2828.2799999999997</v>
      </c>
    </row>
    <row r="482" spans="1:9" x14ac:dyDescent="0.25">
      <c r="A482" s="6">
        <v>648</v>
      </c>
      <c r="B482" s="5" t="str">
        <f>VLOOKUP(A482, EmployeeMaster!$A:$D, 3, FALSE)</f>
        <v>Sales</v>
      </c>
      <c r="C482" s="8">
        <v>2033</v>
      </c>
      <c r="D482" s="8">
        <f t="shared" si="42"/>
        <v>406.6</v>
      </c>
      <c r="E482" s="8">
        <f t="shared" si="43"/>
        <v>243.95999999999998</v>
      </c>
      <c r="F482" s="8">
        <f t="shared" si="44"/>
        <v>203.3</v>
      </c>
      <c r="G482" s="8">
        <f t="shared" si="45"/>
        <v>2439.6</v>
      </c>
      <c r="H482" s="8">
        <f t="shared" si="46"/>
        <v>447.26</v>
      </c>
      <c r="I482" s="10">
        <f t="shared" si="47"/>
        <v>1992.34</v>
      </c>
    </row>
    <row r="483" spans="1:9" x14ac:dyDescent="0.25">
      <c r="A483" s="6">
        <v>649</v>
      </c>
      <c r="B483" s="5" t="str">
        <f>VLOOKUP(A483, EmployeeMaster!$A:$D, 3, FALSE)</f>
        <v>Research &amp; Development</v>
      </c>
      <c r="C483" s="8">
        <v>3622</v>
      </c>
      <c r="D483" s="8">
        <f t="shared" si="42"/>
        <v>724.40000000000009</v>
      </c>
      <c r="E483" s="8">
        <f t="shared" si="43"/>
        <v>434.64</v>
      </c>
      <c r="F483" s="8">
        <f t="shared" si="44"/>
        <v>362.20000000000005</v>
      </c>
      <c r="G483" s="8">
        <f t="shared" si="45"/>
        <v>4346.3999999999996</v>
      </c>
      <c r="H483" s="8">
        <f t="shared" si="46"/>
        <v>796.84</v>
      </c>
      <c r="I483" s="10">
        <f t="shared" si="47"/>
        <v>3549.5599999999995</v>
      </c>
    </row>
    <row r="484" spans="1:9" x14ac:dyDescent="0.25">
      <c r="A484" s="6">
        <v>650</v>
      </c>
      <c r="B484" s="5" t="str">
        <f>VLOOKUP(A484, EmployeeMaster!$A:$D, 3, FALSE)</f>
        <v>Sales</v>
      </c>
      <c r="C484" s="8">
        <v>4233</v>
      </c>
      <c r="D484" s="8">
        <f t="shared" si="42"/>
        <v>846.6</v>
      </c>
      <c r="E484" s="8">
        <f t="shared" si="43"/>
        <v>507.96</v>
      </c>
      <c r="F484" s="8">
        <f t="shared" si="44"/>
        <v>423.3</v>
      </c>
      <c r="G484" s="8">
        <f t="shared" si="45"/>
        <v>5079.6000000000004</v>
      </c>
      <c r="H484" s="8">
        <f t="shared" si="46"/>
        <v>931.26</v>
      </c>
      <c r="I484" s="10">
        <f t="shared" si="47"/>
        <v>4148.34</v>
      </c>
    </row>
    <row r="485" spans="1:9" x14ac:dyDescent="0.25">
      <c r="A485" s="6">
        <v>652</v>
      </c>
      <c r="B485" s="5" t="str">
        <f>VLOOKUP(A485, EmployeeMaster!$A:$D, 3, FALSE)</f>
        <v>Research &amp; Development</v>
      </c>
      <c r="C485" s="8">
        <v>3681</v>
      </c>
      <c r="D485" s="8">
        <f t="shared" si="42"/>
        <v>736.2</v>
      </c>
      <c r="E485" s="8">
        <f t="shared" si="43"/>
        <v>441.71999999999997</v>
      </c>
      <c r="F485" s="8">
        <f t="shared" si="44"/>
        <v>368.1</v>
      </c>
      <c r="G485" s="8">
        <f t="shared" si="45"/>
        <v>4417.2</v>
      </c>
      <c r="H485" s="8">
        <f t="shared" si="46"/>
        <v>809.81999999999994</v>
      </c>
      <c r="I485" s="10">
        <f t="shared" si="47"/>
        <v>3607.38</v>
      </c>
    </row>
    <row r="486" spans="1:9" x14ac:dyDescent="0.25">
      <c r="A486" s="6">
        <v>653</v>
      </c>
      <c r="B486" s="5" t="str">
        <f>VLOOKUP(A486, EmployeeMaster!$A:$D, 3, FALSE)</f>
        <v>Sales</v>
      </c>
      <c r="C486" s="8">
        <v>5460</v>
      </c>
      <c r="D486" s="8">
        <f t="shared" si="42"/>
        <v>1092</v>
      </c>
      <c r="E486" s="8">
        <f t="shared" si="43"/>
        <v>655.19999999999993</v>
      </c>
      <c r="F486" s="8">
        <f t="shared" si="44"/>
        <v>546</v>
      </c>
      <c r="G486" s="8">
        <f t="shared" si="45"/>
        <v>6552</v>
      </c>
      <c r="H486" s="8">
        <f t="shared" si="46"/>
        <v>1201.1999999999998</v>
      </c>
      <c r="I486" s="10">
        <f t="shared" si="47"/>
        <v>5350.8</v>
      </c>
    </row>
    <row r="487" spans="1:9" x14ac:dyDescent="0.25">
      <c r="A487" s="6">
        <v>655</v>
      </c>
      <c r="B487" s="5" t="str">
        <f>VLOOKUP(A487, EmployeeMaster!$A:$D, 3, FALSE)</f>
        <v>Research &amp; Development</v>
      </c>
      <c r="C487" s="8">
        <v>2187</v>
      </c>
      <c r="D487" s="8">
        <f t="shared" si="42"/>
        <v>437.40000000000003</v>
      </c>
      <c r="E487" s="8">
        <f t="shared" si="43"/>
        <v>262.44</v>
      </c>
      <c r="F487" s="8">
        <f t="shared" si="44"/>
        <v>218.70000000000002</v>
      </c>
      <c r="G487" s="8">
        <f t="shared" si="45"/>
        <v>2624.4</v>
      </c>
      <c r="H487" s="8">
        <f t="shared" si="46"/>
        <v>481.14</v>
      </c>
      <c r="I487" s="10">
        <f t="shared" si="47"/>
        <v>2143.2600000000002</v>
      </c>
    </row>
    <row r="488" spans="1:9" x14ac:dyDescent="0.25">
      <c r="A488" s="6">
        <v>656</v>
      </c>
      <c r="B488" s="5" t="str">
        <f>VLOOKUP(A488, EmployeeMaster!$A:$D, 3, FALSE)</f>
        <v>Sales</v>
      </c>
      <c r="C488" s="8">
        <v>9602</v>
      </c>
      <c r="D488" s="8">
        <f t="shared" si="42"/>
        <v>1920.4</v>
      </c>
      <c r="E488" s="8">
        <f t="shared" si="43"/>
        <v>1152.24</v>
      </c>
      <c r="F488" s="8">
        <f t="shared" si="44"/>
        <v>960.2</v>
      </c>
      <c r="G488" s="8">
        <f t="shared" si="45"/>
        <v>11522.4</v>
      </c>
      <c r="H488" s="8">
        <f t="shared" si="46"/>
        <v>2112.44</v>
      </c>
      <c r="I488" s="10">
        <f t="shared" si="47"/>
        <v>9409.9599999999991</v>
      </c>
    </row>
    <row r="489" spans="1:9" x14ac:dyDescent="0.25">
      <c r="A489" s="6">
        <v>657</v>
      </c>
      <c r="B489" s="5" t="str">
        <f>VLOOKUP(A489, EmployeeMaster!$A:$D, 3, FALSE)</f>
        <v>Research &amp; Development</v>
      </c>
      <c r="C489" s="8">
        <v>2836</v>
      </c>
      <c r="D489" s="8">
        <f t="shared" si="42"/>
        <v>567.20000000000005</v>
      </c>
      <c r="E489" s="8">
        <f t="shared" si="43"/>
        <v>340.32</v>
      </c>
      <c r="F489" s="8">
        <f t="shared" si="44"/>
        <v>283.60000000000002</v>
      </c>
      <c r="G489" s="8">
        <f t="shared" si="45"/>
        <v>3403.2</v>
      </c>
      <c r="H489" s="8">
        <f t="shared" si="46"/>
        <v>623.92000000000007</v>
      </c>
      <c r="I489" s="10">
        <f t="shared" si="47"/>
        <v>2779.2799999999997</v>
      </c>
    </row>
    <row r="490" spans="1:9" x14ac:dyDescent="0.25">
      <c r="A490" s="6">
        <v>659</v>
      </c>
      <c r="B490" s="5" t="str">
        <f>VLOOKUP(A490, EmployeeMaster!$A:$D, 3, FALSE)</f>
        <v>Research &amp; Development</v>
      </c>
      <c r="C490" s="8">
        <v>4089</v>
      </c>
      <c r="D490" s="8">
        <f t="shared" si="42"/>
        <v>817.80000000000007</v>
      </c>
      <c r="E490" s="8">
        <f t="shared" si="43"/>
        <v>490.68</v>
      </c>
      <c r="F490" s="8">
        <f t="shared" si="44"/>
        <v>408.90000000000003</v>
      </c>
      <c r="G490" s="8">
        <f t="shared" si="45"/>
        <v>4906.8</v>
      </c>
      <c r="H490" s="8">
        <f t="shared" si="46"/>
        <v>899.58</v>
      </c>
      <c r="I490" s="10">
        <f t="shared" si="47"/>
        <v>4007.2200000000003</v>
      </c>
    </row>
    <row r="491" spans="1:9" x14ac:dyDescent="0.25">
      <c r="A491" s="6">
        <v>661</v>
      </c>
      <c r="B491" s="5" t="str">
        <f>VLOOKUP(A491, EmployeeMaster!$A:$D, 3, FALSE)</f>
        <v>Research &amp; Development</v>
      </c>
      <c r="C491" s="8">
        <v>16627</v>
      </c>
      <c r="D491" s="8">
        <f t="shared" si="42"/>
        <v>3325.4</v>
      </c>
      <c r="E491" s="8">
        <f t="shared" si="43"/>
        <v>1995.24</v>
      </c>
      <c r="F491" s="8">
        <f t="shared" si="44"/>
        <v>1662.7</v>
      </c>
      <c r="G491" s="8">
        <f t="shared" si="45"/>
        <v>19952.400000000001</v>
      </c>
      <c r="H491" s="8">
        <f t="shared" si="46"/>
        <v>3657.94</v>
      </c>
      <c r="I491" s="10">
        <f t="shared" si="47"/>
        <v>16294.460000000001</v>
      </c>
    </row>
    <row r="492" spans="1:9" x14ac:dyDescent="0.25">
      <c r="A492" s="6">
        <v>662</v>
      </c>
      <c r="B492" s="5" t="str">
        <f>VLOOKUP(A492, EmployeeMaster!$A:$D, 3, FALSE)</f>
        <v>Research &amp; Development</v>
      </c>
      <c r="C492" s="8">
        <v>2619</v>
      </c>
      <c r="D492" s="8">
        <f t="shared" si="42"/>
        <v>523.80000000000007</v>
      </c>
      <c r="E492" s="8">
        <f t="shared" si="43"/>
        <v>314.27999999999997</v>
      </c>
      <c r="F492" s="8">
        <f t="shared" si="44"/>
        <v>261.90000000000003</v>
      </c>
      <c r="G492" s="8">
        <f t="shared" si="45"/>
        <v>3142.8</v>
      </c>
      <c r="H492" s="8">
        <f t="shared" si="46"/>
        <v>576.18000000000006</v>
      </c>
      <c r="I492" s="10">
        <f t="shared" si="47"/>
        <v>2566.62</v>
      </c>
    </row>
    <row r="493" spans="1:9" x14ac:dyDescent="0.25">
      <c r="A493" s="6">
        <v>663</v>
      </c>
      <c r="B493" s="5" t="str">
        <f>VLOOKUP(A493, EmployeeMaster!$A:$D, 3, FALSE)</f>
        <v>Research &amp; Development</v>
      </c>
      <c r="C493" s="8">
        <v>5679</v>
      </c>
      <c r="D493" s="8">
        <f t="shared" si="42"/>
        <v>1135.8</v>
      </c>
      <c r="E493" s="8">
        <f t="shared" si="43"/>
        <v>681.48</v>
      </c>
      <c r="F493" s="8">
        <f t="shared" si="44"/>
        <v>567.9</v>
      </c>
      <c r="G493" s="8">
        <f t="shared" si="45"/>
        <v>6814.8</v>
      </c>
      <c r="H493" s="8">
        <f t="shared" si="46"/>
        <v>1249.3800000000001</v>
      </c>
      <c r="I493" s="10">
        <f t="shared" si="47"/>
        <v>5565.42</v>
      </c>
    </row>
    <row r="494" spans="1:9" x14ac:dyDescent="0.25">
      <c r="A494" s="6">
        <v>664</v>
      </c>
      <c r="B494" s="5" t="str">
        <f>VLOOKUP(A494, EmployeeMaster!$A:$D, 3, FALSE)</f>
        <v>Research &amp; Development</v>
      </c>
      <c r="C494" s="8">
        <v>15402</v>
      </c>
      <c r="D494" s="8">
        <f t="shared" si="42"/>
        <v>3080.4</v>
      </c>
      <c r="E494" s="8">
        <f t="shared" si="43"/>
        <v>1848.24</v>
      </c>
      <c r="F494" s="8">
        <f t="shared" si="44"/>
        <v>1540.2</v>
      </c>
      <c r="G494" s="8">
        <f t="shared" si="45"/>
        <v>18482.400000000001</v>
      </c>
      <c r="H494" s="8">
        <f t="shared" si="46"/>
        <v>3388.44</v>
      </c>
      <c r="I494" s="10">
        <f t="shared" si="47"/>
        <v>15093.960000000001</v>
      </c>
    </row>
    <row r="495" spans="1:9" x14ac:dyDescent="0.25">
      <c r="A495" s="6">
        <v>665</v>
      </c>
      <c r="B495" s="5" t="str">
        <f>VLOOKUP(A495, EmployeeMaster!$A:$D, 3, FALSE)</f>
        <v>Human Resources</v>
      </c>
      <c r="C495" s="8">
        <v>5985</v>
      </c>
      <c r="D495" s="8">
        <f t="shared" si="42"/>
        <v>1197</v>
      </c>
      <c r="E495" s="8">
        <f t="shared" si="43"/>
        <v>718.19999999999993</v>
      </c>
      <c r="F495" s="8">
        <f t="shared" si="44"/>
        <v>598.5</v>
      </c>
      <c r="G495" s="8">
        <f t="shared" si="45"/>
        <v>7182</v>
      </c>
      <c r="H495" s="8">
        <f t="shared" si="46"/>
        <v>1316.6999999999998</v>
      </c>
      <c r="I495" s="10">
        <f t="shared" si="47"/>
        <v>5865.3</v>
      </c>
    </row>
    <row r="496" spans="1:9" x14ac:dyDescent="0.25">
      <c r="A496" s="6">
        <v>666</v>
      </c>
      <c r="B496" s="5" t="str">
        <f>VLOOKUP(A496, EmployeeMaster!$A:$D, 3, FALSE)</f>
        <v>Sales</v>
      </c>
      <c r="C496" s="8">
        <v>2579</v>
      </c>
      <c r="D496" s="8">
        <f t="shared" si="42"/>
        <v>515.80000000000007</v>
      </c>
      <c r="E496" s="8">
        <f t="shared" si="43"/>
        <v>309.47999999999996</v>
      </c>
      <c r="F496" s="8">
        <f t="shared" si="44"/>
        <v>257.90000000000003</v>
      </c>
      <c r="G496" s="8">
        <f t="shared" si="45"/>
        <v>3094.8</v>
      </c>
      <c r="H496" s="8">
        <f t="shared" si="46"/>
        <v>567.38</v>
      </c>
      <c r="I496" s="10">
        <f t="shared" si="47"/>
        <v>2527.42</v>
      </c>
    </row>
    <row r="497" spans="1:9" x14ac:dyDescent="0.25">
      <c r="A497" s="6">
        <v>667</v>
      </c>
      <c r="B497" s="5" t="str">
        <f>VLOOKUP(A497, EmployeeMaster!$A:$D, 3, FALSE)</f>
        <v>Sales</v>
      </c>
      <c r="C497" s="8">
        <v>3041</v>
      </c>
      <c r="D497" s="8">
        <f t="shared" si="42"/>
        <v>608.20000000000005</v>
      </c>
      <c r="E497" s="8">
        <f t="shared" si="43"/>
        <v>364.91999999999996</v>
      </c>
      <c r="F497" s="8">
        <f t="shared" si="44"/>
        <v>304.10000000000002</v>
      </c>
      <c r="G497" s="8">
        <f t="shared" si="45"/>
        <v>3649.2</v>
      </c>
      <c r="H497" s="8">
        <f t="shared" si="46"/>
        <v>669.02</v>
      </c>
      <c r="I497" s="10">
        <f t="shared" si="47"/>
        <v>2980.18</v>
      </c>
    </row>
    <row r="498" spans="1:9" x14ac:dyDescent="0.25">
      <c r="A498" s="6">
        <v>669</v>
      </c>
      <c r="B498" s="5" t="str">
        <f>VLOOKUP(A498, EmployeeMaster!$A:$D, 3, FALSE)</f>
        <v>Sales</v>
      </c>
      <c r="C498" s="8">
        <v>3447</v>
      </c>
      <c r="D498" s="8">
        <f t="shared" si="42"/>
        <v>689.40000000000009</v>
      </c>
      <c r="E498" s="8">
        <f t="shared" si="43"/>
        <v>413.64</v>
      </c>
      <c r="F498" s="8">
        <f t="shared" si="44"/>
        <v>344.70000000000005</v>
      </c>
      <c r="G498" s="8">
        <f t="shared" si="45"/>
        <v>4136.3999999999996</v>
      </c>
      <c r="H498" s="8">
        <f t="shared" si="46"/>
        <v>758.34</v>
      </c>
      <c r="I498" s="10">
        <f t="shared" si="47"/>
        <v>3378.0599999999995</v>
      </c>
    </row>
    <row r="499" spans="1:9" x14ac:dyDescent="0.25">
      <c r="A499" s="6">
        <v>671</v>
      </c>
      <c r="B499" s="5" t="str">
        <f>VLOOKUP(A499, EmployeeMaster!$A:$D, 3, FALSE)</f>
        <v>Research &amp; Development</v>
      </c>
      <c r="C499" s="8">
        <v>19513</v>
      </c>
      <c r="D499" s="8">
        <f t="shared" si="42"/>
        <v>3902.6000000000004</v>
      </c>
      <c r="E499" s="8">
        <f t="shared" si="43"/>
        <v>2341.56</v>
      </c>
      <c r="F499" s="8">
        <f t="shared" si="44"/>
        <v>1951.3000000000002</v>
      </c>
      <c r="G499" s="8">
        <f t="shared" si="45"/>
        <v>23415.599999999999</v>
      </c>
      <c r="H499" s="8">
        <f t="shared" si="46"/>
        <v>4292.8600000000006</v>
      </c>
      <c r="I499" s="10">
        <f t="shared" si="47"/>
        <v>19122.739999999998</v>
      </c>
    </row>
    <row r="500" spans="1:9" x14ac:dyDescent="0.25">
      <c r="A500" s="6">
        <v>675</v>
      </c>
      <c r="B500" s="5" t="str">
        <f>VLOOKUP(A500, EmployeeMaster!$A:$D, 3, FALSE)</f>
        <v>Research &amp; Development</v>
      </c>
      <c r="C500" s="8">
        <v>2773</v>
      </c>
      <c r="D500" s="8">
        <f t="shared" si="42"/>
        <v>554.6</v>
      </c>
      <c r="E500" s="8">
        <f t="shared" si="43"/>
        <v>332.76</v>
      </c>
      <c r="F500" s="8">
        <f t="shared" si="44"/>
        <v>277.3</v>
      </c>
      <c r="G500" s="8">
        <f t="shared" si="45"/>
        <v>3327.6</v>
      </c>
      <c r="H500" s="8">
        <f t="shared" si="46"/>
        <v>610.05999999999995</v>
      </c>
      <c r="I500" s="10">
        <f t="shared" si="47"/>
        <v>2717.54</v>
      </c>
    </row>
    <row r="501" spans="1:9" x14ac:dyDescent="0.25">
      <c r="A501" s="6">
        <v>677</v>
      </c>
      <c r="B501" s="5" t="str">
        <f>VLOOKUP(A501, EmployeeMaster!$A:$D, 3, FALSE)</f>
        <v>Sales</v>
      </c>
      <c r="C501" s="8">
        <v>7104</v>
      </c>
      <c r="D501" s="8">
        <f t="shared" si="42"/>
        <v>1420.8000000000002</v>
      </c>
      <c r="E501" s="8">
        <f t="shared" si="43"/>
        <v>852.48</v>
      </c>
      <c r="F501" s="8">
        <f t="shared" si="44"/>
        <v>710.40000000000009</v>
      </c>
      <c r="G501" s="8">
        <f t="shared" si="45"/>
        <v>8524.7999999999993</v>
      </c>
      <c r="H501" s="8">
        <f t="shared" si="46"/>
        <v>1562.88</v>
      </c>
      <c r="I501" s="10">
        <f t="shared" si="47"/>
        <v>6961.9199999999992</v>
      </c>
    </row>
    <row r="502" spans="1:9" x14ac:dyDescent="0.25">
      <c r="A502" s="6">
        <v>679</v>
      </c>
      <c r="B502" s="5" t="str">
        <f>VLOOKUP(A502, EmployeeMaster!$A:$D, 3, FALSE)</f>
        <v>Research &amp; Development</v>
      </c>
      <c r="C502" s="8">
        <v>6322</v>
      </c>
      <c r="D502" s="8">
        <f t="shared" si="42"/>
        <v>1264.4000000000001</v>
      </c>
      <c r="E502" s="8">
        <f t="shared" si="43"/>
        <v>758.64</v>
      </c>
      <c r="F502" s="8">
        <f t="shared" si="44"/>
        <v>632.20000000000005</v>
      </c>
      <c r="G502" s="8">
        <f t="shared" si="45"/>
        <v>7586.4</v>
      </c>
      <c r="H502" s="8">
        <f t="shared" si="46"/>
        <v>1390.8400000000001</v>
      </c>
      <c r="I502" s="10">
        <f t="shared" si="47"/>
        <v>6195.5599999999995</v>
      </c>
    </row>
    <row r="503" spans="1:9" x14ac:dyDescent="0.25">
      <c r="A503" s="6">
        <v>680</v>
      </c>
      <c r="B503" s="5" t="str">
        <f>VLOOKUP(A503, EmployeeMaster!$A:$D, 3, FALSE)</f>
        <v>Research &amp; Development</v>
      </c>
      <c r="C503" s="8">
        <v>2083</v>
      </c>
      <c r="D503" s="8">
        <f t="shared" si="42"/>
        <v>416.6</v>
      </c>
      <c r="E503" s="8">
        <f t="shared" si="43"/>
        <v>249.95999999999998</v>
      </c>
      <c r="F503" s="8">
        <f t="shared" si="44"/>
        <v>208.3</v>
      </c>
      <c r="G503" s="8">
        <f t="shared" si="45"/>
        <v>2499.6</v>
      </c>
      <c r="H503" s="8">
        <f t="shared" si="46"/>
        <v>458.26</v>
      </c>
      <c r="I503" s="10">
        <f t="shared" si="47"/>
        <v>2041.34</v>
      </c>
    </row>
    <row r="504" spans="1:9" x14ac:dyDescent="0.25">
      <c r="A504" s="6">
        <v>682</v>
      </c>
      <c r="B504" s="5" t="str">
        <f>VLOOKUP(A504, EmployeeMaster!$A:$D, 3, FALSE)</f>
        <v>Sales</v>
      </c>
      <c r="C504" s="8">
        <v>8381</v>
      </c>
      <c r="D504" s="8">
        <f t="shared" si="42"/>
        <v>1676.2</v>
      </c>
      <c r="E504" s="8">
        <f t="shared" si="43"/>
        <v>1005.7199999999999</v>
      </c>
      <c r="F504" s="8">
        <f t="shared" si="44"/>
        <v>838.1</v>
      </c>
      <c r="G504" s="8">
        <f t="shared" si="45"/>
        <v>10057.200000000001</v>
      </c>
      <c r="H504" s="8">
        <f t="shared" si="46"/>
        <v>1843.82</v>
      </c>
      <c r="I504" s="10">
        <f t="shared" si="47"/>
        <v>8213.380000000001</v>
      </c>
    </row>
    <row r="505" spans="1:9" x14ac:dyDescent="0.25">
      <c r="A505" s="6">
        <v>683</v>
      </c>
      <c r="B505" s="5" t="str">
        <f>VLOOKUP(A505, EmployeeMaster!$A:$D, 3, FALSE)</f>
        <v>Research &amp; Development</v>
      </c>
      <c r="C505" s="8">
        <v>2691</v>
      </c>
      <c r="D505" s="8">
        <f t="shared" si="42"/>
        <v>538.20000000000005</v>
      </c>
      <c r="E505" s="8">
        <f t="shared" si="43"/>
        <v>322.92</v>
      </c>
      <c r="F505" s="8">
        <f t="shared" si="44"/>
        <v>269.10000000000002</v>
      </c>
      <c r="G505" s="8">
        <f t="shared" si="45"/>
        <v>3229.2</v>
      </c>
      <c r="H505" s="8">
        <f t="shared" si="46"/>
        <v>592.02</v>
      </c>
      <c r="I505" s="10">
        <f t="shared" si="47"/>
        <v>2637.18</v>
      </c>
    </row>
    <row r="506" spans="1:9" x14ac:dyDescent="0.25">
      <c r="A506" s="6">
        <v>684</v>
      </c>
      <c r="B506" s="5" t="str">
        <f>VLOOKUP(A506, EmployeeMaster!$A:$D, 3, FALSE)</f>
        <v>Sales</v>
      </c>
      <c r="C506" s="8">
        <v>4286</v>
      </c>
      <c r="D506" s="8">
        <f t="shared" si="42"/>
        <v>857.2</v>
      </c>
      <c r="E506" s="8">
        <f t="shared" si="43"/>
        <v>514.31999999999994</v>
      </c>
      <c r="F506" s="8">
        <f t="shared" si="44"/>
        <v>428.6</v>
      </c>
      <c r="G506" s="8">
        <f t="shared" si="45"/>
        <v>5143.2</v>
      </c>
      <c r="H506" s="8">
        <f t="shared" si="46"/>
        <v>942.92</v>
      </c>
      <c r="I506" s="10">
        <f t="shared" si="47"/>
        <v>4200.28</v>
      </c>
    </row>
    <row r="507" spans="1:9" x14ac:dyDescent="0.25">
      <c r="A507" s="6">
        <v>686</v>
      </c>
      <c r="B507" s="5" t="str">
        <f>VLOOKUP(A507, EmployeeMaster!$A:$D, 3, FALSE)</f>
        <v>Research &amp; Development</v>
      </c>
      <c r="C507" s="8">
        <v>2659</v>
      </c>
      <c r="D507" s="8">
        <f t="shared" si="42"/>
        <v>531.80000000000007</v>
      </c>
      <c r="E507" s="8">
        <f t="shared" si="43"/>
        <v>319.08</v>
      </c>
      <c r="F507" s="8">
        <f t="shared" si="44"/>
        <v>265.90000000000003</v>
      </c>
      <c r="G507" s="8">
        <f t="shared" si="45"/>
        <v>3190.8</v>
      </c>
      <c r="H507" s="8">
        <f t="shared" si="46"/>
        <v>584.98</v>
      </c>
      <c r="I507" s="10">
        <f t="shared" si="47"/>
        <v>2605.8200000000002</v>
      </c>
    </row>
    <row r="508" spans="1:9" x14ac:dyDescent="0.25">
      <c r="A508" s="6">
        <v>689</v>
      </c>
      <c r="B508" s="5" t="str">
        <f>VLOOKUP(A508, EmployeeMaster!$A:$D, 3, FALSE)</f>
        <v>Research &amp; Development</v>
      </c>
      <c r="C508" s="8">
        <v>9434</v>
      </c>
      <c r="D508" s="8">
        <f t="shared" si="42"/>
        <v>1886.8000000000002</v>
      </c>
      <c r="E508" s="8">
        <f t="shared" si="43"/>
        <v>1132.08</v>
      </c>
      <c r="F508" s="8">
        <f t="shared" si="44"/>
        <v>943.40000000000009</v>
      </c>
      <c r="G508" s="8">
        <f t="shared" si="45"/>
        <v>11320.8</v>
      </c>
      <c r="H508" s="8">
        <f t="shared" si="46"/>
        <v>2075.48</v>
      </c>
      <c r="I508" s="10">
        <f t="shared" si="47"/>
        <v>9245.32</v>
      </c>
    </row>
    <row r="509" spans="1:9" x14ac:dyDescent="0.25">
      <c r="A509" s="6">
        <v>690</v>
      </c>
      <c r="B509" s="5" t="str">
        <f>VLOOKUP(A509, EmployeeMaster!$A:$D, 3, FALSE)</f>
        <v>Sales</v>
      </c>
      <c r="C509" s="8">
        <v>5561</v>
      </c>
      <c r="D509" s="8">
        <f t="shared" si="42"/>
        <v>1112.2</v>
      </c>
      <c r="E509" s="8">
        <f t="shared" si="43"/>
        <v>667.31999999999994</v>
      </c>
      <c r="F509" s="8">
        <f t="shared" si="44"/>
        <v>556.1</v>
      </c>
      <c r="G509" s="8">
        <f t="shared" si="45"/>
        <v>6673.2</v>
      </c>
      <c r="H509" s="8">
        <f t="shared" si="46"/>
        <v>1223.42</v>
      </c>
      <c r="I509" s="10">
        <f t="shared" si="47"/>
        <v>5449.78</v>
      </c>
    </row>
    <row r="510" spans="1:9" x14ac:dyDescent="0.25">
      <c r="A510" s="6">
        <v>691</v>
      </c>
      <c r="B510" s="5" t="str">
        <f>VLOOKUP(A510, EmployeeMaster!$A:$D, 3, FALSE)</f>
        <v>Research &amp; Development</v>
      </c>
      <c r="C510" s="8">
        <v>6646</v>
      </c>
      <c r="D510" s="8">
        <f t="shared" si="42"/>
        <v>1329.2</v>
      </c>
      <c r="E510" s="8">
        <f t="shared" si="43"/>
        <v>797.52</v>
      </c>
      <c r="F510" s="8">
        <f t="shared" si="44"/>
        <v>664.6</v>
      </c>
      <c r="G510" s="8">
        <f t="shared" si="45"/>
        <v>7975.2</v>
      </c>
      <c r="H510" s="8">
        <f t="shared" si="46"/>
        <v>1462.12</v>
      </c>
      <c r="I510" s="10">
        <f t="shared" si="47"/>
        <v>6513.08</v>
      </c>
    </row>
    <row r="511" spans="1:9" x14ac:dyDescent="0.25">
      <c r="A511" s="6">
        <v>692</v>
      </c>
      <c r="B511" s="5" t="str">
        <f>VLOOKUP(A511, EmployeeMaster!$A:$D, 3, FALSE)</f>
        <v>Research &amp; Development</v>
      </c>
      <c r="C511" s="8">
        <v>7725</v>
      </c>
      <c r="D511" s="8">
        <f t="shared" si="42"/>
        <v>1545</v>
      </c>
      <c r="E511" s="8">
        <f t="shared" si="43"/>
        <v>927</v>
      </c>
      <c r="F511" s="8">
        <f t="shared" si="44"/>
        <v>772.5</v>
      </c>
      <c r="G511" s="8">
        <f t="shared" si="45"/>
        <v>9270</v>
      </c>
      <c r="H511" s="8">
        <f t="shared" si="46"/>
        <v>1699.5</v>
      </c>
      <c r="I511" s="10">
        <f t="shared" si="47"/>
        <v>7570.5</v>
      </c>
    </row>
    <row r="512" spans="1:9" x14ac:dyDescent="0.25">
      <c r="A512" s="6">
        <v>698</v>
      </c>
      <c r="B512" s="5" t="str">
        <f>VLOOKUP(A512, EmployeeMaster!$A:$D, 3, FALSE)</f>
        <v>Human Resources</v>
      </c>
      <c r="C512" s="8">
        <v>10725</v>
      </c>
      <c r="D512" s="8">
        <f t="shared" si="42"/>
        <v>2145</v>
      </c>
      <c r="E512" s="8">
        <f t="shared" si="43"/>
        <v>1287</v>
      </c>
      <c r="F512" s="8">
        <f t="shared" si="44"/>
        <v>1072.5</v>
      </c>
      <c r="G512" s="8">
        <f t="shared" si="45"/>
        <v>12870</v>
      </c>
      <c r="H512" s="8">
        <f t="shared" si="46"/>
        <v>2359.5</v>
      </c>
      <c r="I512" s="10">
        <f t="shared" si="47"/>
        <v>10510.5</v>
      </c>
    </row>
    <row r="513" spans="1:9" x14ac:dyDescent="0.25">
      <c r="A513" s="6">
        <v>699</v>
      </c>
      <c r="B513" s="5" t="str">
        <f>VLOOKUP(A513, EmployeeMaster!$A:$D, 3, FALSE)</f>
        <v>Research &amp; Development</v>
      </c>
      <c r="C513" s="8">
        <v>8847</v>
      </c>
      <c r="D513" s="8">
        <f t="shared" si="42"/>
        <v>1769.4</v>
      </c>
      <c r="E513" s="8">
        <f t="shared" si="43"/>
        <v>1061.6399999999999</v>
      </c>
      <c r="F513" s="8">
        <f t="shared" si="44"/>
        <v>884.7</v>
      </c>
      <c r="G513" s="8">
        <f t="shared" si="45"/>
        <v>10616.4</v>
      </c>
      <c r="H513" s="8">
        <f t="shared" si="46"/>
        <v>1946.34</v>
      </c>
      <c r="I513" s="10">
        <f t="shared" si="47"/>
        <v>8670.06</v>
      </c>
    </row>
    <row r="514" spans="1:9" x14ac:dyDescent="0.25">
      <c r="A514" s="6">
        <v>700</v>
      </c>
      <c r="B514" s="5" t="str">
        <f>VLOOKUP(A514, EmployeeMaster!$A:$D, 3, FALSE)</f>
        <v>Research &amp; Development</v>
      </c>
      <c r="C514" s="8">
        <v>2045</v>
      </c>
      <c r="D514" s="8">
        <f t="shared" si="42"/>
        <v>409</v>
      </c>
      <c r="E514" s="8">
        <f t="shared" si="43"/>
        <v>245.39999999999998</v>
      </c>
      <c r="F514" s="8">
        <f t="shared" si="44"/>
        <v>204.5</v>
      </c>
      <c r="G514" s="8">
        <f t="shared" si="45"/>
        <v>2454</v>
      </c>
      <c r="H514" s="8">
        <f t="shared" si="46"/>
        <v>449.9</v>
      </c>
      <c r="I514" s="10">
        <f t="shared" si="47"/>
        <v>2004.1</v>
      </c>
    </row>
    <row r="515" spans="1:9" x14ac:dyDescent="0.25">
      <c r="A515" s="6">
        <v>701</v>
      </c>
      <c r="B515" s="5" t="str">
        <f>VLOOKUP(A515, EmployeeMaster!$A:$D, 3, FALSE)</f>
        <v>Research &amp; Development</v>
      </c>
      <c r="C515" s="8">
        <v>1009</v>
      </c>
      <c r="D515" s="8">
        <f t="shared" ref="D515:D578" si="48">C515*20%</f>
        <v>201.8</v>
      </c>
      <c r="E515" s="8">
        <f t="shared" ref="E515:E578" si="49">C515*12%</f>
        <v>121.08</v>
      </c>
      <c r="F515" s="8">
        <f t="shared" ref="F515:F578" si="50">C515*10%</f>
        <v>100.9</v>
      </c>
      <c r="G515" s="8">
        <f t="shared" ref="G515:G578" si="51">C515+D515</f>
        <v>1210.8</v>
      </c>
      <c r="H515" s="8">
        <f t="shared" ref="H515:H578" si="52">E515+F515</f>
        <v>221.98000000000002</v>
      </c>
      <c r="I515" s="10">
        <f t="shared" ref="I515:I578" si="53">G515-H515</f>
        <v>988.81999999999994</v>
      </c>
    </row>
    <row r="516" spans="1:9" x14ac:dyDescent="0.25">
      <c r="A516" s="6">
        <v>702</v>
      </c>
      <c r="B516" s="5" t="str">
        <f>VLOOKUP(A516, EmployeeMaster!$A:$D, 3, FALSE)</f>
        <v>Research &amp; Development</v>
      </c>
      <c r="C516" s="8">
        <v>3348</v>
      </c>
      <c r="D516" s="8">
        <f t="shared" si="48"/>
        <v>669.6</v>
      </c>
      <c r="E516" s="8">
        <f t="shared" si="49"/>
        <v>401.76</v>
      </c>
      <c r="F516" s="8">
        <f t="shared" si="50"/>
        <v>334.8</v>
      </c>
      <c r="G516" s="8">
        <f t="shared" si="51"/>
        <v>4017.6</v>
      </c>
      <c r="H516" s="8">
        <f t="shared" si="52"/>
        <v>736.56</v>
      </c>
      <c r="I516" s="10">
        <f t="shared" si="53"/>
        <v>3281.04</v>
      </c>
    </row>
    <row r="517" spans="1:9" x14ac:dyDescent="0.25">
      <c r="A517" s="6">
        <v>704</v>
      </c>
      <c r="B517" s="5" t="str">
        <f>VLOOKUP(A517, EmployeeMaster!$A:$D, 3, FALSE)</f>
        <v>Research &amp; Development</v>
      </c>
      <c r="C517" s="8">
        <v>1281</v>
      </c>
      <c r="D517" s="8">
        <f t="shared" si="48"/>
        <v>256.2</v>
      </c>
      <c r="E517" s="8">
        <f t="shared" si="49"/>
        <v>153.72</v>
      </c>
      <c r="F517" s="8">
        <f t="shared" si="50"/>
        <v>128.1</v>
      </c>
      <c r="G517" s="8">
        <f t="shared" si="51"/>
        <v>1537.2</v>
      </c>
      <c r="H517" s="8">
        <f t="shared" si="52"/>
        <v>281.82</v>
      </c>
      <c r="I517" s="10">
        <f t="shared" si="53"/>
        <v>1255.3800000000001</v>
      </c>
    </row>
    <row r="518" spans="1:9" x14ac:dyDescent="0.25">
      <c r="A518" s="6">
        <v>705</v>
      </c>
      <c r="B518" s="5" t="str">
        <f>VLOOKUP(A518, EmployeeMaster!$A:$D, 3, FALSE)</f>
        <v>Research &amp; Development</v>
      </c>
      <c r="C518" s="8">
        <v>2819</v>
      </c>
      <c r="D518" s="8">
        <f t="shared" si="48"/>
        <v>563.80000000000007</v>
      </c>
      <c r="E518" s="8">
        <f t="shared" si="49"/>
        <v>338.28</v>
      </c>
      <c r="F518" s="8">
        <f t="shared" si="50"/>
        <v>281.90000000000003</v>
      </c>
      <c r="G518" s="8">
        <f t="shared" si="51"/>
        <v>3382.8</v>
      </c>
      <c r="H518" s="8">
        <f t="shared" si="52"/>
        <v>620.18000000000006</v>
      </c>
      <c r="I518" s="10">
        <f t="shared" si="53"/>
        <v>2762.62</v>
      </c>
    </row>
    <row r="519" spans="1:9" x14ac:dyDescent="0.25">
      <c r="A519" s="6">
        <v>707</v>
      </c>
      <c r="B519" s="5" t="str">
        <f>VLOOKUP(A519, EmployeeMaster!$A:$D, 3, FALSE)</f>
        <v>Sales</v>
      </c>
      <c r="C519" s="8">
        <v>4851</v>
      </c>
      <c r="D519" s="8">
        <f t="shared" si="48"/>
        <v>970.2</v>
      </c>
      <c r="E519" s="8">
        <f t="shared" si="49"/>
        <v>582.12</v>
      </c>
      <c r="F519" s="8">
        <f t="shared" si="50"/>
        <v>485.1</v>
      </c>
      <c r="G519" s="8">
        <f t="shared" si="51"/>
        <v>5821.2</v>
      </c>
      <c r="H519" s="8">
        <f t="shared" si="52"/>
        <v>1067.22</v>
      </c>
      <c r="I519" s="10">
        <f t="shared" si="53"/>
        <v>4753.9799999999996</v>
      </c>
    </row>
    <row r="520" spans="1:9" x14ac:dyDescent="0.25">
      <c r="A520" s="6">
        <v>709</v>
      </c>
      <c r="B520" s="5" t="str">
        <f>VLOOKUP(A520, EmployeeMaster!$A:$D, 3, FALSE)</f>
        <v>Sales</v>
      </c>
      <c r="C520" s="8">
        <v>4028</v>
      </c>
      <c r="D520" s="8">
        <f t="shared" si="48"/>
        <v>805.6</v>
      </c>
      <c r="E520" s="8">
        <f t="shared" si="49"/>
        <v>483.35999999999996</v>
      </c>
      <c r="F520" s="8">
        <f t="shared" si="50"/>
        <v>402.8</v>
      </c>
      <c r="G520" s="8">
        <f t="shared" si="51"/>
        <v>4833.6000000000004</v>
      </c>
      <c r="H520" s="8">
        <f t="shared" si="52"/>
        <v>886.16</v>
      </c>
      <c r="I520" s="10">
        <f t="shared" si="53"/>
        <v>3947.4400000000005</v>
      </c>
    </row>
    <row r="521" spans="1:9" x14ac:dyDescent="0.25">
      <c r="A521" s="6">
        <v>710</v>
      </c>
      <c r="B521" s="5" t="str">
        <f>VLOOKUP(A521, EmployeeMaster!$A:$D, 3, FALSE)</f>
        <v>Research &amp; Development</v>
      </c>
      <c r="C521" s="8">
        <v>2720</v>
      </c>
      <c r="D521" s="8">
        <f t="shared" si="48"/>
        <v>544</v>
      </c>
      <c r="E521" s="8">
        <f t="shared" si="49"/>
        <v>326.39999999999998</v>
      </c>
      <c r="F521" s="8">
        <f t="shared" si="50"/>
        <v>272</v>
      </c>
      <c r="G521" s="8">
        <f t="shared" si="51"/>
        <v>3264</v>
      </c>
      <c r="H521" s="8">
        <f t="shared" si="52"/>
        <v>598.4</v>
      </c>
      <c r="I521" s="10">
        <f t="shared" si="53"/>
        <v>2665.6</v>
      </c>
    </row>
    <row r="522" spans="1:9" x14ac:dyDescent="0.25">
      <c r="A522" s="6">
        <v>712</v>
      </c>
      <c r="B522" s="5" t="str">
        <f>VLOOKUP(A522, EmployeeMaster!$A:$D, 3, FALSE)</f>
        <v>Sales</v>
      </c>
      <c r="C522" s="8">
        <v>8120</v>
      </c>
      <c r="D522" s="8">
        <f t="shared" si="48"/>
        <v>1624</v>
      </c>
      <c r="E522" s="8">
        <f t="shared" si="49"/>
        <v>974.4</v>
      </c>
      <c r="F522" s="8">
        <f t="shared" si="50"/>
        <v>812</v>
      </c>
      <c r="G522" s="8">
        <f t="shared" si="51"/>
        <v>9744</v>
      </c>
      <c r="H522" s="8">
        <f t="shared" si="52"/>
        <v>1786.4</v>
      </c>
      <c r="I522" s="10">
        <f t="shared" si="53"/>
        <v>7957.6</v>
      </c>
    </row>
    <row r="523" spans="1:9" x14ac:dyDescent="0.25">
      <c r="A523" s="6">
        <v>714</v>
      </c>
      <c r="B523" s="5" t="str">
        <f>VLOOKUP(A523, EmployeeMaster!$A:$D, 3, FALSE)</f>
        <v>Sales</v>
      </c>
      <c r="C523" s="8">
        <v>4647</v>
      </c>
      <c r="D523" s="8">
        <f t="shared" si="48"/>
        <v>929.40000000000009</v>
      </c>
      <c r="E523" s="8">
        <f t="shared" si="49"/>
        <v>557.64</v>
      </c>
      <c r="F523" s="8">
        <f t="shared" si="50"/>
        <v>464.70000000000005</v>
      </c>
      <c r="G523" s="8">
        <f t="shared" si="51"/>
        <v>5576.4</v>
      </c>
      <c r="H523" s="8">
        <f t="shared" si="52"/>
        <v>1022.34</v>
      </c>
      <c r="I523" s="10">
        <f t="shared" si="53"/>
        <v>4554.0599999999995</v>
      </c>
    </row>
    <row r="524" spans="1:9" x14ac:dyDescent="0.25">
      <c r="A524" s="6">
        <v>715</v>
      </c>
      <c r="B524" s="5" t="str">
        <f>VLOOKUP(A524, EmployeeMaster!$A:$D, 3, FALSE)</f>
        <v>Research &amp; Development</v>
      </c>
      <c r="C524" s="8">
        <v>4680</v>
      </c>
      <c r="D524" s="8">
        <f t="shared" si="48"/>
        <v>936</v>
      </c>
      <c r="E524" s="8">
        <f t="shared" si="49"/>
        <v>561.6</v>
      </c>
      <c r="F524" s="8">
        <f t="shared" si="50"/>
        <v>468</v>
      </c>
      <c r="G524" s="8">
        <f t="shared" si="51"/>
        <v>5616</v>
      </c>
      <c r="H524" s="8">
        <f t="shared" si="52"/>
        <v>1029.5999999999999</v>
      </c>
      <c r="I524" s="10">
        <f t="shared" si="53"/>
        <v>4586.3999999999996</v>
      </c>
    </row>
    <row r="525" spans="1:9" x14ac:dyDescent="0.25">
      <c r="A525" s="6">
        <v>716</v>
      </c>
      <c r="B525" s="5" t="str">
        <f>VLOOKUP(A525, EmployeeMaster!$A:$D, 3, FALSE)</f>
        <v>Research &amp; Development</v>
      </c>
      <c r="C525" s="8">
        <v>3221</v>
      </c>
      <c r="D525" s="8">
        <f t="shared" si="48"/>
        <v>644.20000000000005</v>
      </c>
      <c r="E525" s="8">
        <f t="shared" si="49"/>
        <v>386.52</v>
      </c>
      <c r="F525" s="8">
        <f t="shared" si="50"/>
        <v>322.10000000000002</v>
      </c>
      <c r="G525" s="8">
        <f t="shared" si="51"/>
        <v>3865.2</v>
      </c>
      <c r="H525" s="8">
        <f t="shared" si="52"/>
        <v>708.62</v>
      </c>
      <c r="I525" s="10">
        <f t="shared" si="53"/>
        <v>3156.58</v>
      </c>
    </row>
    <row r="526" spans="1:9" x14ac:dyDescent="0.25">
      <c r="A526" s="6">
        <v>717</v>
      </c>
      <c r="B526" s="5" t="str">
        <f>VLOOKUP(A526, EmployeeMaster!$A:$D, 3, FALSE)</f>
        <v>Research &amp; Development</v>
      </c>
      <c r="C526" s="8">
        <v>8621</v>
      </c>
      <c r="D526" s="8">
        <f t="shared" si="48"/>
        <v>1724.2</v>
      </c>
      <c r="E526" s="8">
        <f t="shared" si="49"/>
        <v>1034.52</v>
      </c>
      <c r="F526" s="8">
        <f t="shared" si="50"/>
        <v>862.1</v>
      </c>
      <c r="G526" s="8">
        <f t="shared" si="51"/>
        <v>10345.200000000001</v>
      </c>
      <c r="H526" s="8">
        <f t="shared" si="52"/>
        <v>1896.62</v>
      </c>
      <c r="I526" s="10">
        <f t="shared" si="53"/>
        <v>8448.5800000000017</v>
      </c>
    </row>
    <row r="527" spans="1:9" x14ac:dyDescent="0.25">
      <c r="A527" s="6">
        <v>720</v>
      </c>
      <c r="B527" s="5" t="str">
        <f>VLOOKUP(A527, EmployeeMaster!$A:$D, 3, FALSE)</f>
        <v>Sales</v>
      </c>
      <c r="C527" s="8">
        <v>4577</v>
      </c>
      <c r="D527" s="8">
        <f t="shared" si="48"/>
        <v>915.40000000000009</v>
      </c>
      <c r="E527" s="8">
        <f t="shared" si="49"/>
        <v>549.24</v>
      </c>
      <c r="F527" s="8">
        <f t="shared" si="50"/>
        <v>457.70000000000005</v>
      </c>
      <c r="G527" s="8">
        <f t="shared" si="51"/>
        <v>5492.4</v>
      </c>
      <c r="H527" s="8">
        <f t="shared" si="52"/>
        <v>1006.94</v>
      </c>
      <c r="I527" s="10">
        <f t="shared" si="53"/>
        <v>4485.4599999999991</v>
      </c>
    </row>
    <row r="528" spans="1:9" x14ac:dyDescent="0.25">
      <c r="A528" s="6">
        <v>721</v>
      </c>
      <c r="B528" s="5" t="str">
        <f>VLOOKUP(A528, EmployeeMaster!$A:$D, 3, FALSE)</f>
        <v>Research &amp; Development</v>
      </c>
      <c r="C528" s="8">
        <v>4553</v>
      </c>
      <c r="D528" s="8">
        <f t="shared" si="48"/>
        <v>910.6</v>
      </c>
      <c r="E528" s="8">
        <f t="shared" si="49"/>
        <v>546.36</v>
      </c>
      <c r="F528" s="8">
        <f t="shared" si="50"/>
        <v>455.3</v>
      </c>
      <c r="G528" s="8">
        <f t="shared" si="51"/>
        <v>5463.6</v>
      </c>
      <c r="H528" s="8">
        <f t="shared" si="52"/>
        <v>1001.6600000000001</v>
      </c>
      <c r="I528" s="10">
        <f t="shared" si="53"/>
        <v>4461.9400000000005</v>
      </c>
    </row>
    <row r="529" spans="1:9" x14ac:dyDescent="0.25">
      <c r="A529" s="6">
        <v>722</v>
      </c>
      <c r="B529" s="5" t="str">
        <f>VLOOKUP(A529, EmployeeMaster!$A:$D, 3, FALSE)</f>
        <v>Sales</v>
      </c>
      <c r="C529" s="8">
        <v>5396</v>
      </c>
      <c r="D529" s="8">
        <f t="shared" si="48"/>
        <v>1079.2</v>
      </c>
      <c r="E529" s="8">
        <f t="shared" si="49"/>
        <v>647.52</v>
      </c>
      <c r="F529" s="8">
        <f t="shared" si="50"/>
        <v>539.6</v>
      </c>
      <c r="G529" s="8">
        <f t="shared" si="51"/>
        <v>6475.2</v>
      </c>
      <c r="H529" s="8">
        <f t="shared" si="52"/>
        <v>1187.1199999999999</v>
      </c>
      <c r="I529" s="10">
        <f t="shared" si="53"/>
        <v>5288.08</v>
      </c>
    </row>
    <row r="530" spans="1:9" x14ac:dyDescent="0.25">
      <c r="A530" s="6">
        <v>723</v>
      </c>
      <c r="B530" s="5" t="str">
        <f>VLOOKUP(A530, EmployeeMaster!$A:$D, 3, FALSE)</f>
        <v>Sales</v>
      </c>
      <c r="C530" s="8">
        <v>6796</v>
      </c>
      <c r="D530" s="8">
        <f t="shared" si="48"/>
        <v>1359.2</v>
      </c>
      <c r="E530" s="8">
        <f t="shared" si="49"/>
        <v>815.52</v>
      </c>
      <c r="F530" s="8">
        <f t="shared" si="50"/>
        <v>679.6</v>
      </c>
      <c r="G530" s="8">
        <f t="shared" si="51"/>
        <v>8155.2</v>
      </c>
      <c r="H530" s="8">
        <f t="shared" si="52"/>
        <v>1495.12</v>
      </c>
      <c r="I530" s="10">
        <f t="shared" si="53"/>
        <v>6660.08</v>
      </c>
    </row>
    <row r="531" spans="1:9" x14ac:dyDescent="0.25">
      <c r="A531" s="6">
        <v>724</v>
      </c>
      <c r="B531" s="5" t="str">
        <f>VLOOKUP(A531, EmployeeMaster!$A:$D, 3, FALSE)</f>
        <v>Research &amp; Development</v>
      </c>
      <c r="C531" s="8">
        <v>7625</v>
      </c>
      <c r="D531" s="8">
        <f t="shared" si="48"/>
        <v>1525</v>
      </c>
      <c r="E531" s="8">
        <f t="shared" si="49"/>
        <v>915</v>
      </c>
      <c r="F531" s="8">
        <f t="shared" si="50"/>
        <v>762.5</v>
      </c>
      <c r="G531" s="8">
        <f t="shared" si="51"/>
        <v>9150</v>
      </c>
      <c r="H531" s="8">
        <f t="shared" si="52"/>
        <v>1677.5</v>
      </c>
      <c r="I531" s="10">
        <f t="shared" si="53"/>
        <v>7472.5</v>
      </c>
    </row>
    <row r="532" spans="1:9" x14ac:dyDescent="0.25">
      <c r="A532" s="6">
        <v>725</v>
      </c>
      <c r="B532" s="5" t="str">
        <f>VLOOKUP(A532, EmployeeMaster!$A:$D, 3, FALSE)</f>
        <v>Research &amp; Development</v>
      </c>
      <c r="C532" s="8">
        <v>7412</v>
      </c>
      <c r="D532" s="8">
        <f t="shared" si="48"/>
        <v>1482.4</v>
      </c>
      <c r="E532" s="8">
        <f t="shared" si="49"/>
        <v>889.43999999999994</v>
      </c>
      <c r="F532" s="8">
        <f t="shared" si="50"/>
        <v>741.2</v>
      </c>
      <c r="G532" s="8">
        <f t="shared" si="51"/>
        <v>8894.4</v>
      </c>
      <c r="H532" s="8">
        <f t="shared" si="52"/>
        <v>1630.6399999999999</v>
      </c>
      <c r="I532" s="10">
        <f t="shared" si="53"/>
        <v>7263.76</v>
      </c>
    </row>
    <row r="533" spans="1:9" x14ac:dyDescent="0.25">
      <c r="A533" s="6">
        <v>727</v>
      </c>
      <c r="B533" s="5" t="str">
        <f>VLOOKUP(A533, EmployeeMaster!$A:$D, 3, FALSE)</f>
        <v>Research &amp; Development</v>
      </c>
      <c r="C533" s="8">
        <v>11159</v>
      </c>
      <c r="D533" s="8">
        <f t="shared" si="48"/>
        <v>2231.8000000000002</v>
      </c>
      <c r="E533" s="8">
        <f t="shared" si="49"/>
        <v>1339.08</v>
      </c>
      <c r="F533" s="8">
        <f t="shared" si="50"/>
        <v>1115.9000000000001</v>
      </c>
      <c r="G533" s="8">
        <f t="shared" si="51"/>
        <v>13390.8</v>
      </c>
      <c r="H533" s="8">
        <f t="shared" si="52"/>
        <v>2454.98</v>
      </c>
      <c r="I533" s="10">
        <f t="shared" si="53"/>
        <v>10935.82</v>
      </c>
    </row>
    <row r="534" spans="1:9" x14ac:dyDescent="0.25">
      <c r="A534" s="6">
        <v>728</v>
      </c>
      <c r="B534" s="5" t="str">
        <f>VLOOKUP(A534, EmployeeMaster!$A:$D, 3, FALSE)</f>
        <v>Sales</v>
      </c>
      <c r="C534" s="8">
        <v>4960</v>
      </c>
      <c r="D534" s="8">
        <f t="shared" si="48"/>
        <v>992</v>
      </c>
      <c r="E534" s="8">
        <f t="shared" si="49"/>
        <v>595.19999999999993</v>
      </c>
      <c r="F534" s="8">
        <f t="shared" si="50"/>
        <v>496</v>
      </c>
      <c r="G534" s="8">
        <f t="shared" si="51"/>
        <v>5952</v>
      </c>
      <c r="H534" s="8">
        <f t="shared" si="52"/>
        <v>1091.1999999999998</v>
      </c>
      <c r="I534" s="10">
        <f t="shared" si="53"/>
        <v>4860.8</v>
      </c>
    </row>
    <row r="535" spans="1:9" x14ac:dyDescent="0.25">
      <c r="A535" s="6">
        <v>729</v>
      </c>
      <c r="B535" s="5" t="str">
        <f>VLOOKUP(A535, EmployeeMaster!$A:$D, 3, FALSE)</f>
        <v>Sales</v>
      </c>
      <c r="C535" s="8">
        <v>10475</v>
      </c>
      <c r="D535" s="8">
        <f t="shared" si="48"/>
        <v>2095</v>
      </c>
      <c r="E535" s="8">
        <f t="shared" si="49"/>
        <v>1257</v>
      </c>
      <c r="F535" s="8">
        <f t="shared" si="50"/>
        <v>1047.5</v>
      </c>
      <c r="G535" s="8">
        <f t="shared" si="51"/>
        <v>12570</v>
      </c>
      <c r="H535" s="8">
        <f t="shared" si="52"/>
        <v>2304.5</v>
      </c>
      <c r="I535" s="10">
        <f t="shared" si="53"/>
        <v>10265.5</v>
      </c>
    </row>
    <row r="536" spans="1:9" x14ac:dyDescent="0.25">
      <c r="A536" s="6">
        <v>730</v>
      </c>
      <c r="B536" s="5" t="str">
        <f>VLOOKUP(A536, EmployeeMaster!$A:$D, 3, FALSE)</f>
        <v>Research &amp; Development</v>
      </c>
      <c r="C536" s="8">
        <v>14814</v>
      </c>
      <c r="D536" s="8">
        <f t="shared" si="48"/>
        <v>2962.8</v>
      </c>
      <c r="E536" s="8">
        <f t="shared" si="49"/>
        <v>1777.6799999999998</v>
      </c>
      <c r="F536" s="8">
        <f t="shared" si="50"/>
        <v>1481.4</v>
      </c>
      <c r="G536" s="8">
        <f t="shared" si="51"/>
        <v>17776.8</v>
      </c>
      <c r="H536" s="8">
        <f t="shared" si="52"/>
        <v>3259.08</v>
      </c>
      <c r="I536" s="10">
        <f t="shared" si="53"/>
        <v>14517.72</v>
      </c>
    </row>
    <row r="537" spans="1:9" x14ac:dyDescent="0.25">
      <c r="A537" s="6">
        <v>731</v>
      </c>
      <c r="B537" s="5" t="str">
        <f>VLOOKUP(A537, EmployeeMaster!$A:$D, 3, FALSE)</f>
        <v>Human Resources</v>
      </c>
      <c r="C537" s="8">
        <v>19141</v>
      </c>
      <c r="D537" s="8">
        <f t="shared" si="48"/>
        <v>3828.2000000000003</v>
      </c>
      <c r="E537" s="8">
        <f t="shared" si="49"/>
        <v>2296.92</v>
      </c>
      <c r="F537" s="8">
        <f t="shared" si="50"/>
        <v>1914.1000000000001</v>
      </c>
      <c r="G537" s="8">
        <f t="shared" si="51"/>
        <v>22969.200000000001</v>
      </c>
      <c r="H537" s="8">
        <f t="shared" si="52"/>
        <v>4211.0200000000004</v>
      </c>
      <c r="I537" s="10">
        <f t="shared" si="53"/>
        <v>18758.18</v>
      </c>
    </row>
    <row r="538" spans="1:9" x14ac:dyDescent="0.25">
      <c r="A538" s="6">
        <v>732</v>
      </c>
      <c r="B538" s="5" t="str">
        <f>VLOOKUP(A538, EmployeeMaster!$A:$D, 3, FALSE)</f>
        <v>Sales</v>
      </c>
      <c r="C538" s="8">
        <v>5405</v>
      </c>
      <c r="D538" s="8">
        <f t="shared" si="48"/>
        <v>1081</v>
      </c>
      <c r="E538" s="8">
        <f t="shared" si="49"/>
        <v>648.6</v>
      </c>
      <c r="F538" s="8">
        <f t="shared" si="50"/>
        <v>540.5</v>
      </c>
      <c r="G538" s="8">
        <f t="shared" si="51"/>
        <v>6486</v>
      </c>
      <c r="H538" s="8">
        <f t="shared" si="52"/>
        <v>1189.0999999999999</v>
      </c>
      <c r="I538" s="10">
        <f t="shared" si="53"/>
        <v>5296.9</v>
      </c>
    </row>
    <row r="539" spans="1:9" x14ac:dyDescent="0.25">
      <c r="A539" s="6">
        <v>733</v>
      </c>
      <c r="B539" s="5" t="str">
        <f>VLOOKUP(A539, EmployeeMaster!$A:$D, 3, FALSE)</f>
        <v>Research &amp; Development</v>
      </c>
      <c r="C539" s="8">
        <v>8793</v>
      </c>
      <c r="D539" s="8">
        <f t="shared" si="48"/>
        <v>1758.6000000000001</v>
      </c>
      <c r="E539" s="8">
        <f t="shared" si="49"/>
        <v>1055.1599999999999</v>
      </c>
      <c r="F539" s="8">
        <f t="shared" si="50"/>
        <v>879.30000000000007</v>
      </c>
      <c r="G539" s="8">
        <f t="shared" si="51"/>
        <v>10551.6</v>
      </c>
      <c r="H539" s="8">
        <f t="shared" si="52"/>
        <v>1934.46</v>
      </c>
      <c r="I539" s="10">
        <f t="shared" si="53"/>
        <v>8617.14</v>
      </c>
    </row>
    <row r="540" spans="1:9" x14ac:dyDescent="0.25">
      <c r="A540" s="6">
        <v>734</v>
      </c>
      <c r="B540" s="5" t="str">
        <f>VLOOKUP(A540, EmployeeMaster!$A:$D, 3, FALSE)</f>
        <v>Human Resources</v>
      </c>
      <c r="C540" s="8">
        <v>19189</v>
      </c>
      <c r="D540" s="8">
        <f t="shared" si="48"/>
        <v>3837.8</v>
      </c>
      <c r="E540" s="8">
        <f t="shared" si="49"/>
        <v>2302.6799999999998</v>
      </c>
      <c r="F540" s="8">
        <f t="shared" si="50"/>
        <v>1918.9</v>
      </c>
      <c r="G540" s="8">
        <f t="shared" si="51"/>
        <v>23026.799999999999</v>
      </c>
      <c r="H540" s="8">
        <f t="shared" si="52"/>
        <v>4221.58</v>
      </c>
      <c r="I540" s="10">
        <f t="shared" si="53"/>
        <v>18805.22</v>
      </c>
    </row>
    <row r="541" spans="1:9" x14ac:dyDescent="0.25">
      <c r="A541" s="6">
        <v>738</v>
      </c>
      <c r="B541" s="5" t="str">
        <f>VLOOKUP(A541, EmployeeMaster!$A:$D, 3, FALSE)</f>
        <v>Sales</v>
      </c>
      <c r="C541" s="8">
        <v>3875</v>
      </c>
      <c r="D541" s="8">
        <f t="shared" si="48"/>
        <v>775</v>
      </c>
      <c r="E541" s="8">
        <f t="shared" si="49"/>
        <v>465</v>
      </c>
      <c r="F541" s="8">
        <f t="shared" si="50"/>
        <v>387.5</v>
      </c>
      <c r="G541" s="8">
        <f t="shared" si="51"/>
        <v>4650</v>
      </c>
      <c r="H541" s="8">
        <f t="shared" si="52"/>
        <v>852.5</v>
      </c>
      <c r="I541" s="10">
        <f t="shared" si="53"/>
        <v>3797.5</v>
      </c>
    </row>
    <row r="542" spans="1:9" x14ac:dyDescent="0.25">
      <c r="A542" s="6">
        <v>741</v>
      </c>
      <c r="B542" s="5" t="str">
        <f>VLOOKUP(A542, EmployeeMaster!$A:$D, 3, FALSE)</f>
        <v>Research &amp; Development</v>
      </c>
      <c r="C542" s="8">
        <v>2216</v>
      </c>
      <c r="D542" s="8">
        <f t="shared" si="48"/>
        <v>443.20000000000005</v>
      </c>
      <c r="E542" s="8">
        <f t="shared" si="49"/>
        <v>265.92</v>
      </c>
      <c r="F542" s="8">
        <f t="shared" si="50"/>
        <v>221.60000000000002</v>
      </c>
      <c r="G542" s="8">
        <f t="shared" si="51"/>
        <v>2659.2</v>
      </c>
      <c r="H542" s="8">
        <f t="shared" si="52"/>
        <v>487.52000000000004</v>
      </c>
      <c r="I542" s="10">
        <f t="shared" si="53"/>
        <v>2171.6799999999998</v>
      </c>
    </row>
    <row r="543" spans="1:9" x14ac:dyDescent="0.25">
      <c r="A543" s="6">
        <v>742</v>
      </c>
      <c r="B543" s="5" t="str">
        <f>VLOOKUP(A543, EmployeeMaster!$A:$D, 3, FALSE)</f>
        <v>Research &amp; Development</v>
      </c>
      <c r="C543" s="8">
        <v>11713</v>
      </c>
      <c r="D543" s="8">
        <f t="shared" si="48"/>
        <v>2342.6</v>
      </c>
      <c r="E543" s="8">
        <f t="shared" si="49"/>
        <v>1405.56</v>
      </c>
      <c r="F543" s="8">
        <f t="shared" si="50"/>
        <v>1171.3</v>
      </c>
      <c r="G543" s="8">
        <f t="shared" si="51"/>
        <v>14055.6</v>
      </c>
      <c r="H543" s="8">
        <f t="shared" si="52"/>
        <v>2576.8599999999997</v>
      </c>
      <c r="I543" s="10">
        <f t="shared" si="53"/>
        <v>11478.740000000002</v>
      </c>
    </row>
    <row r="544" spans="1:9" x14ac:dyDescent="0.25">
      <c r="A544" s="6">
        <v>743</v>
      </c>
      <c r="B544" s="5" t="str">
        <f>VLOOKUP(A544, EmployeeMaster!$A:$D, 3, FALSE)</f>
        <v>Research &amp; Development</v>
      </c>
      <c r="C544" s="8">
        <v>7861</v>
      </c>
      <c r="D544" s="8">
        <f t="shared" si="48"/>
        <v>1572.2</v>
      </c>
      <c r="E544" s="8">
        <f t="shared" si="49"/>
        <v>943.31999999999994</v>
      </c>
      <c r="F544" s="8">
        <f t="shared" si="50"/>
        <v>786.1</v>
      </c>
      <c r="G544" s="8">
        <f t="shared" si="51"/>
        <v>9433.2000000000007</v>
      </c>
      <c r="H544" s="8">
        <f t="shared" si="52"/>
        <v>1729.42</v>
      </c>
      <c r="I544" s="10">
        <f t="shared" si="53"/>
        <v>7703.7800000000007</v>
      </c>
    </row>
    <row r="545" spans="1:9" x14ac:dyDescent="0.25">
      <c r="A545" s="6">
        <v>744</v>
      </c>
      <c r="B545" s="5" t="str">
        <f>VLOOKUP(A545, EmployeeMaster!$A:$D, 3, FALSE)</f>
        <v>Research &amp; Development</v>
      </c>
      <c r="C545" s="8">
        <v>3708</v>
      </c>
      <c r="D545" s="8">
        <f t="shared" si="48"/>
        <v>741.6</v>
      </c>
      <c r="E545" s="8">
        <f t="shared" si="49"/>
        <v>444.96</v>
      </c>
      <c r="F545" s="8">
        <f t="shared" si="50"/>
        <v>370.8</v>
      </c>
      <c r="G545" s="8">
        <f t="shared" si="51"/>
        <v>4449.6000000000004</v>
      </c>
      <c r="H545" s="8">
        <f t="shared" si="52"/>
        <v>815.76</v>
      </c>
      <c r="I545" s="10">
        <f t="shared" si="53"/>
        <v>3633.84</v>
      </c>
    </row>
    <row r="546" spans="1:9" x14ac:dyDescent="0.25">
      <c r="A546" s="6">
        <v>746</v>
      </c>
      <c r="B546" s="5" t="str">
        <f>VLOOKUP(A546, EmployeeMaster!$A:$D, 3, FALSE)</f>
        <v>Sales</v>
      </c>
      <c r="C546" s="8">
        <v>13770</v>
      </c>
      <c r="D546" s="8">
        <f t="shared" si="48"/>
        <v>2754</v>
      </c>
      <c r="E546" s="8">
        <f t="shared" si="49"/>
        <v>1652.3999999999999</v>
      </c>
      <c r="F546" s="8">
        <f t="shared" si="50"/>
        <v>1377</v>
      </c>
      <c r="G546" s="8">
        <f t="shared" si="51"/>
        <v>16524</v>
      </c>
      <c r="H546" s="8">
        <f t="shared" si="52"/>
        <v>3029.3999999999996</v>
      </c>
      <c r="I546" s="10">
        <f t="shared" si="53"/>
        <v>13494.6</v>
      </c>
    </row>
    <row r="547" spans="1:9" x14ac:dyDescent="0.25">
      <c r="A547" s="6">
        <v>747</v>
      </c>
      <c r="B547" s="5" t="str">
        <f>VLOOKUP(A547, EmployeeMaster!$A:$D, 3, FALSE)</f>
        <v>Sales</v>
      </c>
      <c r="C547" s="8">
        <v>5304</v>
      </c>
      <c r="D547" s="8">
        <f t="shared" si="48"/>
        <v>1060.8</v>
      </c>
      <c r="E547" s="8">
        <f t="shared" si="49"/>
        <v>636.48</v>
      </c>
      <c r="F547" s="8">
        <f t="shared" si="50"/>
        <v>530.4</v>
      </c>
      <c r="G547" s="8">
        <f t="shared" si="51"/>
        <v>6364.8</v>
      </c>
      <c r="H547" s="8">
        <f t="shared" si="52"/>
        <v>1166.8800000000001</v>
      </c>
      <c r="I547" s="10">
        <f t="shared" si="53"/>
        <v>5197.92</v>
      </c>
    </row>
    <row r="548" spans="1:9" x14ac:dyDescent="0.25">
      <c r="A548" s="6">
        <v>749</v>
      </c>
      <c r="B548" s="5" t="str">
        <f>VLOOKUP(A548, EmployeeMaster!$A:$D, 3, FALSE)</f>
        <v>Sales</v>
      </c>
      <c r="C548" s="8">
        <v>2642</v>
      </c>
      <c r="D548" s="8">
        <f t="shared" si="48"/>
        <v>528.4</v>
      </c>
      <c r="E548" s="8">
        <f t="shared" si="49"/>
        <v>317.03999999999996</v>
      </c>
      <c r="F548" s="8">
        <f t="shared" si="50"/>
        <v>264.2</v>
      </c>
      <c r="G548" s="8">
        <f t="shared" si="51"/>
        <v>3170.4</v>
      </c>
      <c r="H548" s="8">
        <f t="shared" si="52"/>
        <v>581.24</v>
      </c>
      <c r="I548" s="10">
        <f t="shared" si="53"/>
        <v>2589.16</v>
      </c>
    </row>
    <row r="549" spans="1:9" x14ac:dyDescent="0.25">
      <c r="A549" s="6">
        <v>752</v>
      </c>
      <c r="B549" s="5" t="str">
        <f>VLOOKUP(A549, EmployeeMaster!$A:$D, 3, FALSE)</f>
        <v>Research &amp; Development</v>
      </c>
      <c r="C549" s="8">
        <v>2759</v>
      </c>
      <c r="D549" s="8">
        <f t="shared" si="48"/>
        <v>551.80000000000007</v>
      </c>
      <c r="E549" s="8">
        <f t="shared" si="49"/>
        <v>331.08</v>
      </c>
      <c r="F549" s="8">
        <f t="shared" si="50"/>
        <v>275.90000000000003</v>
      </c>
      <c r="G549" s="8">
        <f t="shared" si="51"/>
        <v>3310.8</v>
      </c>
      <c r="H549" s="8">
        <f t="shared" si="52"/>
        <v>606.98</v>
      </c>
      <c r="I549" s="10">
        <f t="shared" si="53"/>
        <v>2703.82</v>
      </c>
    </row>
    <row r="550" spans="1:9" x14ac:dyDescent="0.25">
      <c r="A550" s="6">
        <v>754</v>
      </c>
      <c r="B550" s="5" t="str">
        <f>VLOOKUP(A550, EmployeeMaster!$A:$D, 3, FALSE)</f>
        <v>Sales</v>
      </c>
      <c r="C550" s="8">
        <v>6804</v>
      </c>
      <c r="D550" s="8">
        <f t="shared" si="48"/>
        <v>1360.8000000000002</v>
      </c>
      <c r="E550" s="8">
        <f t="shared" si="49"/>
        <v>816.48</v>
      </c>
      <c r="F550" s="8">
        <f t="shared" si="50"/>
        <v>680.40000000000009</v>
      </c>
      <c r="G550" s="8">
        <f t="shared" si="51"/>
        <v>8164.8</v>
      </c>
      <c r="H550" s="8">
        <f t="shared" si="52"/>
        <v>1496.88</v>
      </c>
      <c r="I550" s="10">
        <f t="shared" si="53"/>
        <v>6667.92</v>
      </c>
    </row>
    <row r="551" spans="1:9" x14ac:dyDescent="0.25">
      <c r="A551" s="6">
        <v>757</v>
      </c>
      <c r="B551" s="5" t="str">
        <f>VLOOKUP(A551, EmployeeMaster!$A:$D, 3, FALSE)</f>
        <v>Research &amp; Development</v>
      </c>
      <c r="C551" s="8">
        <v>6142</v>
      </c>
      <c r="D551" s="8">
        <f t="shared" si="48"/>
        <v>1228.4000000000001</v>
      </c>
      <c r="E551" s="8">
        <f t="shared" si="49"/>
        <v>737.04</v>
      </c>
      <c r="F551" s="8">
        <f t="shared" si="50"/>
        <v>614.20000000000005</v>
      </c>
      <c r="G551" s="8">
        <f t="shared" si="51"/>
        <v>7370.4</v>
      </c>
      <c r="H551" s="8">
        <f t="shared" si="52"/>
        <v>1351.24</v>
      </c>
      <c r="I551" s="10">
        <f t="shared" si="53"/>
        <v>6019.16</v>
      </c>
    </row>
    <row r="552" spans="1:9" x14ac:dyDescent="0.25">
      <c r="A552" s="6">
        <v>758</v>
      </c>
      <c r="B552" s="5" t="str">
        <f>VLOOKUP(A552, EmployeeMaster!$A:$D, 3, FALSE)</f>
        <v>Research &amp; Development</v>
      </c>
      <c r="C552" s="8">
        <v>2500</v>
      </c>
      <c r="D552" s="8">
        <f t="shared" si="48"/>
        <v>500</v>
      </c>
      <c r="E552" s="8">
        <f t="shared" si="49"/>
        <v>300</v>
      </c>
      <c r="F552" s="8">
        <f t="shared" si="50"/>
        <v>250</v>
      </c>
      <c r="G552" s="8">
        <f t="shared" si="51"/>
        <v>3000</v>
      </c>
      <c r="H552" s="8">
        <f t="shared" si="52"/>
        <v>550</v>
      </c>
      <c r="I552" s="10">
        <f t="shared" si="53"/>
        <v>2450</v>
      </c>
    </row>
    <row r="553" spans="1:9" x14ac:dyDescent="0.25">
      <c r="A553" s="6">
        <v>760</v>
      </c>
      <c r="B553" s="5" t="str">
        <f>VLOOKUP(A553, EmployeeMaster!$A:$D, 3, FALSE)</f>
        <v>Human Resources</v>
      </c>
      <c r="C553" s="8">
        <v>6389</v>
      </c>
      <c r="D553" s="8">
        <f t="shared" si="48"/>
        <v>1277.8000000000002</v>
      </c>
      <c r="E553" s="8">
        <f t="shared" si="49"/>
        <v>766.68</v>
      </c>
      <c r="F553" s="8">
        <f t="shared" si="50"/>
        <v>638.90000000000009</v>
      </c>
      <c r="G553" s="8">
        <f t="shared" si="51"/>
        <v>7666.8</v>
      </c>
      <c r="H553" s="8">
        <f t="shared" si="52"/>
        <v>1405.58</v>
      </c>
      <c r="I553" s="10">
        <f t="shared" si="53"/>
        <v>6261.22</v>
      </c>
    </row>
    <row r="554" spans="1:9" x14ac:dyDescent="0.25">
      <c r="A554" s="6">
        <v>762</v>
      </c>
      <c r="B554" s="5" t="str">
        <f>VLOOKUP(A554, EmployeeMaster!$A:$D, 3, FALSE)</f>
        <v>Research &amp; Development</v>
      </c>
      <c r="C554" s="8">
        <v>11103</v>
      </c>
      <c r="D554" s="8">
        <f t="shared" si="48"/>
        <v>2220.6</v>
      </c>
      <c r="E554" s="8">
        <f t="shared" si="49"/>
        <v>1332.36</v>
      </c>
      <c r="F554" s="8">
        <f t="shared" si="50"/>
        <v>1110.3</v>
      </c>
      <c r="G554" s="8">
        <f t="shared" si="51"/>
        <v>13323.6</v>
      </c>
      <c r="H554" s="8">
        <f t="shared" si="52"/>
        <v>2442.66</v>
      </c>
      <c r="I554" s="10">
        <f t="shared" si="53"/>
        <v>10880.94</v>
      </c>
    </row>
    <row r="555" spans="1:9" x14ac:dyDescent="0.25">
      <c r="A555" s="6">
        <v>763</v>
      </c>
      <c r="B555" s="5" t="str">
        <f>VLOOKUP(A555, EmployeeMaster!$A:$D, 3, FALSE)</f>
        <v>Research &amp; Development</v>
      </c>
      <c r="C555" s="8">
        <v>2342</v>
      </c>
      <c r="D555" s="8">
        <f t="shared" si="48"/>
        <v>468.40000000000003</v>
      </c>
      <c r="E555" s="8">
        <f t="shared" si="49"/>
        <v>281.03999999999996</v>
      </c>
      <c r="F555" s="8">
        <f t="shared" si="50"/>
        <v>234.20000000000002</v>
      </c>
      <c r="G555" s="8">
        <f t="shared" si="51"/>
        <v>2810.4</v>
      </c>
      <c r="H555" s="8">
        <f t="shared" si="52"/>
        <v>515.24</v>
      </c>
      <c r="I555" s="10">
        <f t="shared" si="53"/>
        <v>2295.16</v>
      </c>
    </row>
    <row r="556" spans="1:9" x14ac:dyDescent="0.25">
      <c r="A556" s="6">
        <v>764</v>
      </c>
      <c r="B556" s="5" t="str">
        <f>VLOOKUP(A556, EmployeeMaster!$A:$D, 3, FALSE)</f>
        <v>Research &amp; Development</v>
      </c>
      <c r="C556" s="8">
        <v>6811</v>
      </c>
      <c r="D556" s="8">
        <f t="shared" si="48"/>
        <v>1362.2</v>
      </c>
      <c r="E556" s="8">
        <f t="shared" si="49"/>
        <v>817.31999999999994</v>
      </c>
      <c r="F556" s="8">
        <f t="shared" si="50"/>
        <v>681.1</v>
      </c>
      <c r="G556" s="8">
        <f t="shared" si="51"/>
        <v>8173.2</v>
      </c>
      <c r="H556" s="8">
        <f t="shared" si="52"/>
        <v>1498.42</v>
      </c>
      <c r="I556" s="10">
        <f t="shared" si="53"/>
        <v>6674.78</v>
      </c>
    </row>
    <row r="557" spans="1:9" x14ac:dyDescent="0.25">
      <c r="A557" s="6">
        <v>766</v>
      </c>
      <c r="B557" s="5" t="str">
        <f>VLOOKUP(A557, EmployeeMaster!$A:$D, 3, FALSE)</f>
        <v>Sales</v>
      </c>
      <c r="C557" s="8">
        <v>2297</v>
      </c>
      <c r="D557" s="8">
        <f t="shared" si="48"/>
        <v>459.40000000000003</v>
      </c>
      <c r="E557" s="8">
        <f t="shared" si="49"/>
        <v>275.64</v>
      </c>
      <c r="F557" s="8">
        <f t="shared" si="50"/>
        <v>229.70000000000002</v>
      </c>
      <c r="G557" s="8">
        <f t="shared" si="51"/>
        <v>2756.4</v>
      </c>
      <c r="H557" s="8">
        <f t="shared" si="52"/>
        <v>505.34000000000003</v>
      </c>
      <c r="I557" s="10">
        <f t="shared" si="53"/>
        <v>2251.06</v>
      </c>
    </row>
    <row r="558" spans="1:9" x14ac:dyDescent="0.25">
      <c r="A558" s="6">
        <v>769</v>
      </c>
      <c r="B558" s="5" t="str">
        <f>VLOOKUP(A558, EmployeeMaster!$A:$D, 3, FALSE)</f>
        <v>Research &amp; Development</v>
      </c>
      <c r="C558" s="8">
        <v>2450</v>
      </c>
      <c r="D558" s="8">
        <f t="shared" si="48"/>
        <v>490</v>
      </c>
      <c r="E558" s="8">
        <f t="shared" si="49"/>
        <v>294</v>
      </c>
      <c r="F558" s="8">
        <f t="shared" si="50"/>
        <v>245</v>
      </c>
      <c r="G558" s="8">
        <f t="shared" si="51"/>
        <v>2940</v>
      </c>
      <c r="H558" s="8">
        <f t="shared" si="52"/>
        <v>539</v>
      </c>
      <c r="I558" s="10">
        <f t="shared" si="53"/>
        <v>2401</v>
      </c>
    </row>
    <row r="559" spans="1:9" x14ac:dyDescent="0.25">
      <c r="A559" s="6">
        <v>771</v>
      </c>
      <c r="B559" s="5" t="str">
        <f>VLOOKUP(A559, EmployeeMaster!$A:$D, 3, FALSE)</f>
        <v>Research &amp; Development</v>
      </c>
      <c r="C559" s="8">
        <v>5093</v>
      </c>
      <c r="D559" s="8">
        <f t="shared" si="48"/>
        <v>1018.6</v>
      </c>
      <c r="E559" s="8">
        <f t="shared" si="49"/>
        <v>611.16</v>
      </c>
      <c r="F559" s="8">
        <f t="shared" si="50"/>
        <v>509.3</v>
      </c>
      <c r="G559" s="8">
        <f t="shared" si="51"/>
        <v>6111.6</v>
      </c>
      <c r="H559" s="8">
        <f t="shared" si="52"/>
        <v>1120.46</v>
      </c>
      <c r="I559" s="10">
        <f t="shared" si="53"/>
        <v>4991.1400000000003</v>
      </c>
    </row>
    <row r="560" spans="1:9" x14ac:dyDescent="0.25">
      <c r="A560" s="6">
        <v>772</v>
      </c>
      <c r="B560" s="5" t="str">
        <f>VLOOKUP(A560, EmployeeMaster!$A:$D, 3, FALSE)</f>
        <v>Research &amp; Development</v>
      </c>
      <c r="C560" s="8">
        <v>5309</v>
      </c>
      <c r="D560" s="8">
        <f t="shared" si="48"/>
        <v>1061.8</v>
      </c>
      <c r="E560" s="8">
        <f t="shared" si="49"/>
        <v>637.07999999999993</v>
      </c>
      <c r="F560" s="8">
        <f t="shared" si="50"/>
        <v>530.9</v>
      </c>
      <c r="G560" s="8">
        <f t="shared" si="51"/>
        <v>6370.8</v>
      </c>
      <c r="H560" s="8">
        <f t="shared" si="52"/>
        <v>1167.98</v>
      </c>
      <c r="I560" s="10">
        <f t="shared" si="53"/>
        <v>5202.82</v>
      </c>
    </row>
    <row r="561" spans="1:9" x14ac:dyDescent="0.25">
      <c r="A561" s="6">
        <v>773</v>
      </c>
      <c r="B561" s="5" t="str">
        <f>VLOOKUP(A561, EmployeeMaster!$A:$D, 3, FALSE)</f>
        <v>Research &amp; Development</v>
      </c>
      <c r="C561" s="8">
        <v>3057</v>
      </c>
      <c r="D561" s="8">
        <f t="shared" si="48"/>
        <v>611.4</v>
      </c>
      <c r="E561" s="8">
        <f t="shared" si="49"/>
        <v>366.84</v>
      </c>
      <c r="F561" s="8">
        <f t="shared" si="50"/>
        <v>305.7</v>
      </c>
      <c r="G561" s="8">
        <f t="shared" si="51"/>
        <v>3668.4</v>
      </c>
      <c r="H561" s="8">
        <f t="shared" si="52"/>
        <v>672.54</v>
      </c>
      <c r="I561" s="10">
        <f t="shared" si="53"/>
        <v>2995.86</v>
      </c>
    </row>
    <row r="562" spans="1:9" x14ac:dyDescent="0.25">
      <c r="A562" s="6">
        <v>775</v>
      </c>
      <c r="B562" s="5" t="str">
        <f>VLOOKUP(A562, EmployeeMaster!$A:$D, 3, FALSE)</f>
        <v>Research &amp; Development</v>
      </c>
      <c r="C562" s="8">
        <v>5121</v>
      </c>
      <c r="D562" s="8">
        <f t="shared" si="48"/>
        <v>1024.2</v>
      </c>
      <c r="E562" s="8">
        <f t="shared" si="49"/>
        <v>614.52</v>
      </c>
      <c r="F562" s="8">
        <f t="shared" si="50"/>
        <v>512.1</v>
      </c>
      <c r="G562" s="8">
        <f t="shared" si="51"/>
        <v>6145.2</v>
      </c>
      <c r="H562" s="8">
        <f t="shared" si="52"/>
        <v>1126.6199999999999</v>
      </c>
      <c r="I562" s="10">
        <f t="shared" si="53"/>
        <v>5018.58</v>
      </c>
    </row>
    <row r="563" spans="1:9" x14ac:dyDescent="0.25">
      <c r="A563" s="6">
        <v>776</v>
      </c>
      <c r="B563" s="5" t="str">
        <f>VLOOKUP(A563, EmployeeMaster!$A:$D, 3, FALSE)</f>
        <v>Sales</v>
      </c>
      <c r="C563" s="8">
        <v>16856</v>
      </c>
      <c r="D563" s="8">
        <f t="shared" si="48"/>
        <v>3371.2000000000003</v>
      </c>
      <c r="E563" s="8">
        <f t="shared" si="49"/>
        <v>2022.72</v>
      </c>
      <c r="F563" s="8">
        <f t="shared" si="50"/>
        <v>1685.6000000000001</v>
      </c>
      <c r="G563" s="8">
        <f t="shared" si="51"/>
        <v>20227.2</v>
      </c>
      <c r="H563" s="8">
        <f t="shared" si="52"/>
        <v>3708.32</v>
      </c>
      <c r="I563" s="10">
        <f t="shared" si="53"/>
        <v>16518.88</v>
      </c>
    </row>
    <row r="564" spans="1:9" x14ac:dyDescent="0.25">
      <c r="A564" s="6">
        <v>780</v>
      </c>
      <c r="B564" s="5" t="str">
        <f>VLOOKUP(A564, EmployeeMaster!$A:$D, 3, FALSE)</f>
        <v>Research &amp; Development</v>
      </c>
      <c r="C564" s="8">
        <v>2686</v>
      </c>
      <c r="D564" s="8">
        <f t="shared" si="48"/>
        <v>537.20000000000005</v>
      </c>
      <c r="E564" s="8">
        <f t="shared" si="49"/>
        <v>322.32</v>
      </c>
      <c r="F564" s="8">
        <f t="shared" si="50"/>
        <v>268.60000000000002</v>
      </c>
      <c r="G564" s="8">
        <f t="shared" si="51"/>
        <v>3223.2</v>
      </c>
      <c r="H564" s="8">
        <f t="shared" si="52"/>
        <v>590.92000000000007</v>
      </c>
      <c r="I564" s="10">
        <f t="shared" si="53"/>
        <v>2632.2799999999997</v>
      </c>
    </row>
    <row r="565" spans="1:9" x14ac:dyDescent="0.25">
      <c r="A565" s="6">
        <v>781</v>
      </c>
      <c r="B565" s="5" t="str">
        <f>VLOOKUP(A565, EmployeeMaster!$A:$D, 3, FALSE)</f>
        <v>Sales</v>
      </c>
      <c r="C565" s="8">
        <v>6180</v>
      </c>
      <c r="D565" s="8">
        <f t="shared" si="48"/>
        <v>1236</v>
      </c>
      <c r="E565" s="8">
        <f t="shared" si="49"/>
        <v>741.6</v>
      </c>
      <c r="F565" s="8">
        <f t="shared" si="50"/>
        <v>618</v>
      </c>
      <c r="G565" s="8">
        <f t="shared" si="51"/>
        <v>7416</v>
      </c>
      <c r="H565" s="8">
        <f t="shared" si="52"/>
        <v>1359.6</v>
      </c>
      <c r="I565" s="10">
        <f t="shared" si="53"/>
        <v>6056.4</v>
      </c>
    </row>
    <row r="566" spans="1:9" x14ac:dyDescent="0.25">
      <c r="A566" s="6">
        <v>783</v>
      </c>
      <c r="B566" s="5" t="str">
        <f>VLOOKUP(A566, EmployeeMaster!$A:$D, 3, FALSE)</f>
        <v>Sales</v>
      </c>
      <c r="C566" s="8">
        <v>6632</v>
      </c>
      <c r="D566" s="8">
        <f t="shared" si="48"/>
        <v>1326.4</v>
      </c>
      <c r="E566" s="8">
        <f t="shared" si="49"/>
        <v>795.83999999999992</v>
      </c>
      <c r="F566" s="8">
        <f t="shared" si="50"/>
        <v>663.2</v>
      </c>
      <c r="G566" s="8">
        <f t="shared" si="51"/>
        <v>7958.4</v>
      </c>
      <c r="H566" s="8">
        <f t="shared" si="52"/>
        <v>1459.04</v>
      </c>
      <c r="I566" s="10">
        <f t="shared" si="53"/>
        <v>6499.36</v>
      </c>
    </row>
    <row r="567" spans="1:9" x14ac:dyDescent="0.25">
      <c r="A567" s="6">
        <v>784</v>
      </c>
      <c r="B567" s="5" t="str">
        <f>VLOOKUP(A567, EmployeeMaster!$A:$D, 3, FALSE)</f>
        <v>Research &amp; Development</v>
      </c>
      <c r="C567" s="8">
        <v>3505</v>
      </c>
      <c r="D567" s="8">
        <f t="shared" si="48"/>
        <v>701</v>
      </c>
      <c r="E567" s="8">
        <f t="shared" si="49"/>
        <v>420.59999999999997</v>
      </c>
      <c r="F567" s="8">
        <f t="shared" si="50"/>
        <v>350.5</v>
      </c>
      <c r="G567" s="8">
        <f t="shared" si="51"/>
        <v>4206</v>
      </c>
      <c r="H567" s="8">
        <f t="shared" si="52"/>
        <v>771.09999999999991</v>
      </c>
      <c r="I567" s="10">
        <f t="shared" si="53"/>
        <v>3434.9</v>
      </c>
    </row>
    <row r="568" spans="1:9" x14ac:dyDescent="0.25">
      <c r="A568" s="6">
        <v>785</v>
      </c>
      <c r="B568" s="5" t="str">
        <f>VLOOKUP(A568, EmployeeMaster!$A:$D, 3, FALSE)</f>
        <v>Sales</v>
      </c>
      <c r="C568" s="8">
        <v>6397</v>
      </c>
      <c r="D568" s="8">
        <f t="shared" si="48"/>
        <v>1279.4000000000001</v>
      </c>
      <c r="E568" s="8">
        <f t="shared" si="49"/>
        <v>767.64</v>
      </c>
      <c r="F568" s="8">
        <f t="shared" si="50"/>
        <v>639.70000000000005</v>
      </c>
      <c r="G568" s="8">
        <f t="shared" si="51"/>
        <v>7676.4</v>
      </c>
      <c r="H568" s="8">
        <f t="shared" si="52"/>
        <v>1407.3400000000001</v>
      </c>
      <c r="I568" s="10">
        <f t="shared" si="53"/>
        <v>6269.0599999999995</v>
      </c>
    </row>
    <row r="569" spans="1:9" x14ac:dyDescent="0.25">
      <c r="A569" s="6">
        <v>786</v>
      </c>
      <c r="B569" s="5" t="str">
        <f>VLOOKUP(A569, EmployeeMaster!$A:$D, 3, FALSE)</f>
        <v>Sales</v>
      </c>
      <c r="C569" s="8">
        <v>6274</v>
      </c>
      <c r="D569" s="8">
        <f t="shared" si="48"/>
        <v>1254.8000000000002</v>
      </c>
      <c r="E569" s="8">
        <f t="shared" si="49"/>
        <v>752.88</v>
      </c>
      <c r="F569" s="8">
        <f t="shared" si="50"/>
        <v>627.40000000000009</v>
      </c>
      <c r="G569" s="8">
        <f t="shared" si="51"/>
        <v>7528.8</v>
      </c>
      <c r="H569" s="8">
        <f t="shared" si="52"/>
        <v>1380.2800000000002</v>
      </c>
      <c r="I569" s="10">
        <f t="shared" si="53"/>
        <v>6148.52</v>
      </c>
    </row>
    <row r="570" spans="1:9" x14ac:dyDescent="0.25">
      <c r="A570" s="6">
        <v>787</v>
      </c>
      <c r="B570" s="5" t="str">
        <f>VLOOKUP(A570, EmployeeMaster!$A:$D, 3, FALSE)</f>
        <v>Research &amp; Development</v>
      </c>
      <c r="C570" s="8">
        <v>19859</v>
      </c>
      <c r="D570" s="8">
        <f t="shared" si="48"/>
        <v>3971.8</v>
      </c>
      <c r="E570" s="8">
        <f t="shared" si="49"/>
        <v>2383.08</v>
      </c>
      <c r="F570" s="8">
        <f t="shared" si="50"/>
        <v>1985.9</v>
      </c>
      <c r="G570" s="8">
        <f t="shared" si="51"/>
        <v>23830.799999999999</v>
      </c>
      <c r="H570" s="8">
        <f t="shared" si="52"/>
        <v>4368.9799999999996</v>
      </c>
      <c r="I570" s="10">
        <f t="shared" si="53"/>
        <v>19461.82</v>
      </c>
    </row>
    <row r="571" spans="1:9" x14ac:dyDescent="0.25">
      <c r="A571" s="6">
        <v>789</v>
      </c>
      <c r="B571" s="5" t="str">
        <f>VLOOKUP(A571, EmployeeMaster!$A:$D, 3, FALSE)</f>
        <v>Sales</v>
      </c>
      <c r="C571" s="8">
        <v>7587</v>
      </c>
      <c r="D571" s="8">
        <f t="shared" si="48"/>
        <v>1517.4</v>
      </c>
      <c r="E571" s="8">
        <f t="shared" si="49"/>
        <v>910.43999999999994</v>
      </c>
      <c r="F571" s="8">
        <f t="shared" si="50"/>
        <v>758.7</v>
      </c>
      <c r="G571" s="8">
        <f t="shared" si="51"/>
        <v>9104.4</v>
      </c>
      <c r="H571" s="8">
        <f t="shared" si="52"/>
        <v>1669.1399999999999</v>
      </c>
      <c r="I571" s="10">
        <f t="shared" si="53"/>
        <v>7435.26</v>
      </c>
    </row>
    <row r="572" spans="1:9" x14ac:dyDescent="0.25">
      <c r="A572" s="6">
        <v>791</v>
      </c>
      <c r="B572" s="5" t="str">
        <f>VLOOKUP(A572, EmployeeMaster!$A:$D, 3, FALSE)</f>
        <v>Research &amp; Development</v>
      </c>
      <c r="C572" s="8">
        <v>4258</v>
      </c>
      <c r="D572" s="8">
        <f t="shared" si="48"/>
        <v>851.6</v>
      </c>
      <c r="E572" s="8">
        <f t="shared" si="49"/>
        <v>510.96</v>
      </c>
      <c r="F572" s="8">
        <f t="shared" si="50"/>
        <v>425.8</v>
      </c>
      <c r="G572" s="8">
        <f t="shared" si="51"/>
        <v>5109.6000000000004</v>
      </c>
      <c r="H572" s="8">
        <f t="shared" si="52"/>
        <v>936.76</v>
      </c>
      <c r="I572" s="10">
        <f t="shared" si="53"/>
        <v>4172.84</v>
      </c>
    </row>
    <row r="573" spans="1:9" x14ac:dyDescent="0.25">
      <c r="A573" s="6">
        <v>792</v>
      </c>
      <c r="B573" s="5" t="str">
        <f>VLOOKUP(A573, EmployeeMaster!$A:$D, 3, FALSE)</f>
        <v>Research &amp; Development</v>
      </c>
      <c r="C573" s="8">
        <v>4364</v>
      </c>
      <c r="D573" s="8">
        <f t="shared" si="48"/>
        <v>872.80000000000007</v>
      </c>
      <c r="E573" s="8">
        <f t="shared" si="49"/>
        <v>523.67999999999995</v>
      </c>
      <c r="F573" s="8">
        <f t="shared" si="50"/>
        <v>436.40000000000003</v>
      </c>
      <c r="G573" s="8">
        <f t="shared" si="51"/>
        <v>5236.8</v>
      </c>
      <c r="H573" s="8">
        <f t="shared" si="52"/>
        <v>960.07999999999993</v>
      </c>
      <c r="I573" s="10">
        <f t="shared" si="53"/>
        <v>4276.72</v>
      </c>
    </row>
    <row r="574" spans="1:9" x14ac:dyDescent="0.25">
      <c r="A574" s="6">
        <v>793</v>
      </c>
      <c r="B574" s="5" t="str">
        <f>VLOOKUP(A574, EmployeeMaster!$A:$D, 3, FALSE)</f>
        <v>Research &amp; Development</v>
      </c>
      <c r="C574" s="8">
        <v>4335</v>
      </c>
      <c r="D574" s="8">
        <f t="shared" si="48"/>
        <v>867</v>
      </c>
      <c r="E574" s="8">
        <f t="shared" si="49"/>
        <v>520.19999999999993</v>
      </c>
      <c r="F574" s="8">
        <f t="shared" si="50"/>
        <v>433.5</v>
      </c>
      <c r="G574" s="8">
        <f t="shared" si="51"/>
        <v>5202</v>
      </c>
      <c r="H574" s="8">
        <f t="shared" si="52"/>
        <v>953.69999999999993</v>
      </c>
      <c r="I574" s="10">
        <f t="shared" si="53"/>
        <v>4248.3</v>
      </c>
    </row>
    <row r="575" spans="1:9" x14ac:dyDescent="0.25">
      <c r="A575" s="6">
        <v>796</v>
      </c>
      <c r="B575" s="5" t="str">
        <f>VLOOKUP(A575, EmployeeMaster!$A:$D, 3, FALSE)</f>
        <v>Sales</v>
      </c>
      <c r="C575" s="8">
        <v>5326</v>
      </c>
      <c r="D575" s="8">
        <f t="shared" si="48"/>
        <v>1065.2</v>
      </c>
      <c r="E575" s="8">
        <f t="shared" si="49"/>
        <v>639.12</v>
      </c>
      <c r="F575" s="8">
        <f t="shared" si="50"/>
        <v>532.6</v>
      </c>
      <c r="G575" s="8">
        <f t="shared" si="51"/>
        <v>6391.2</v>
      </c>
      <c r="H575" s="8">
        <f t="shared" si="52"/>
        <v>1171.72</v>
      </c>
      <c r="I575" s="10">
        <f t="shared" si="53"/>
        <v>5219.4799999999996</v>
      </c>
    </row>
    <row r="576" spans="1:9" x14ac:dyDescent="0.25">
      <c r="A576" s="6">
        <v>797</v>
      </c>
      <c r="B576" s="5" t="str">
        <f>VLOOKUP(A576, EmployeeMaster!$A:$D, 3, FALSE)</f>
        <v>Research &amp; Development</v>
      </c>
      <c r="C576" s="8">
        <v>3280</v>
      </c>
      <c r="D576" s="8">
        <f t="shared" si="48"/>
        <v>656</v>
      </c>
      <c r="E576" s="8">
        <f t="shared" si="49"/>
        <v>393.59999999999997</v>
      </c>
      <c r="F576" s="8">
        <f t="shared" si="50"/>
        <v>328</v>
      </c>
      <c r="G576" s="8">
        <f t="shared" si="51"/>
        <v>3936</v>
      </c>
      <c r="H576" s="8">
        <f t="shared" si="52"/>
        <v>721.59999999999991</v>
      </c>
      <c r="I576" s="10">
        <f t="shared" si="53"/>
        <v>3214.4</v>
      </c>
    </row>
    <row r="577" spans="1:9" x14ac:dyDescent="0.25">
      <c r="A577" s="6">
        <v>799</v>
      </c>
      <c r="B577" s="5" t="str">
        <f>VLOOKUP(A577, EmployeeMaster!$A:$D, 3, FALSE)</f>
        <v>Research &amp; Development</v>
      </c>
      <c r="C577" s="8">
        <v>5485</v>
      </c>
      <c r="D577" s="8">
        <f t="shared" si="48"/>
        <v>1097</v>
      </c>
      <c r="E577" s="8">
        <f t="shared" si="49"/>
        <v>658.19999999999993</v>
      </c>
      <c r="F577" s="8">
        <f t="shared" si="50"/>
        <v>548.5</v>
      </c>
      <c r="G577" s="8">
        <f t="shared" si="51"/>
        <v>6582</v>
      </c>
      <c r="H577" s="8">
        <f t="shared" si="52"/>
        <v>1206.6999999999998</v>
      </c>
      <c r="I577" s="10">
        <f t="shared" si="53"/>
        <v>5375.3</v>
      </c>
    </row>
    <row r="578" spans="1:9" x14ac:dyDescent="0.25">
      <c r="A578" s="6">
        <v>800</v>
      </c>
      <c r="B578" s="5" t="str">
        <f>VLOOKUP(A578, EmployeeMaster!$A:$D, 3, FALSE)</f>
        <v>Sales</v>
      </c>
      <c r="C578" s="8">
        <v>4342</v>
      </c>
      <c r="D578" s="8">
        <f t="shared" si="48"/>
        <v>868.40000000000009</v>
      </c>
      <c r="E578" s="8">
        <f t="shared" si="49"/>
        <v>521.04</v>
      </c>
      <c r="F578" s="8">
        <f t="shared" si="50"/>
        <v>434.20000000000005</v>
      </c>
      <c r="G578" s="8">
        <f t="shared" si="51"/>
        <v>5210.3999999999996</v>
      </c>
      <c r="H578" s="8">
        <f t="shared" si="52"/>
        <v>955.24</v>
      </c>
      <c r="I578" s="10">
        <f t="shared" si="53"/>
        <v>4255.16</v>
      </c>
    </row>
    <row r="579" spans="1:9" x14ac:dyDescent="0.25">
      <c r="A579" s="6">
        <v>802</v>
      </c>
      <c r="B579" s="5" t="str">
        <f>VLOOKUP(A579, EmployeeMaster!$A:$D, 3, FALSE)</f>
        <v>Research &amp; Development</v>
      </c>
      <c r="C579" s="8">
        <v>2782</v>
      </c>
      <c r="D579" s="8">
        <f t="shared" ref="D579:D642" si="54">C579*20%</f>
        <v>556.4</v>
      </c>
      <c r="E579" s="8">
        <f t="shared" ref="E579:E642" si="55">C579*12%</f>
        <v>333.84</v>
      </c>
      <c r="F579" s="8">
        <f t="shared" ref="F579:F642" si="56">C579*10%</f>
        <v>278.2</v>
      </c>
      <c r="G579" s="8">
        <f t="shared" ref="G579:G642" si="57">C579+D579</f>
        <v>3338.4</v>
      </c>
      <c r="H579" s="8">
        <f t="shared" ref="H579:H642" si="58">E579+F579</f>
        <v>612.04</v>
      </c>
      <c r="I579" s="10">
        <f t="shared" ref="I579:I642" si="59">G579-H579</f>
        <v>2726.36</v>
      </c>
    </row>
    <row r="580" spans="1:9" x14ac:dyDescent="0.25">
      <c r="A580" s="6">
        <v>803</v>
      </c>
      <c r="B580" s="5" t="str">
        <f>VLOOKUP(A580, EmployeeMaster!$A:$D, 3, FALSE)</f>
        <v>Research &amp; Development</v>
      </c>
      <c r="C580" s="8">
        <v>5980</v>
      </c>
      <c r="D580" s="8">
        <f t="shared" si="54"/>
        <v>1196</v>
      </c>
      <c r="E580" s="8">
        <f t="shared" si="55"/>
        <v>717.6</v>
      </c>
      <c r="F580" s="8">
        <f t="shared" si="56"/>
        <v>598</v>
      </c>
      <c r="G580" s="8">
        <f t="shared" si="57"/>
        <v>7176</v>
      </c>
      <c r="H580" s="8">
        <f t="shared" si="58"/>
        <v>1315.6</v>
      </c>
      <c r="I580" s="10">
        <f t="shared" si="59"/>
        <v>5860.4</v>
      </c>
    </row>
    <row r="581" spans="1:9" x14ac:dyDescent="0.25">
      <c r="A581" s="6">
        <v>804</v>
      </c>
      <c r="B581" s="5" t="str">
        <f>VLOOKUP(A581, EmployeeMaster!$A:$D, 3, FALSE)</f>
        <v>Research &amp; Development</v>
      </c>
      <c r="C581" s="8">
        <v>4381</v>
      </c>
      <c r="D581" s="8">
        <f t="shared" si="54"/>
        <v>876.2</v>
      </c>
      <c r="E581" s="8">
        <f t="shared" si="55"/>
        <v>525.72</v>
      </c>
      <c r="F581" s="8">
        <f t="shared" si="56"/>
        <v>438.1</v>
      </c>
      <c r="G581" s="8">
        <f t="shared" si="57"/>
        <v>5257.2</v>
      </c>
      <c r="H581" s="8">
        <f t="shared" si="58"/>
        <v>963.82</v>
      </c>
      <c r="I581" s="10">
        <f t="shared" si="59"/>
        <v>4293.38</v>
      </c>
    </row>
    <row r="582" spans="1:9" x14ac:dyDescent="0.25">
      <c r="A582" s="6">
        <v>805</v>
      </c>
      <c r="B582" s="5" t="str">
        <f>VLOOKUP(A582, EmployeeMaster!$A:$D, 3, FALSE)</f>
        <v>Sales</v>
      </c>
      <c r="C582" s="8">
        <v>2572</v>
      </c>
      <c r="D582" s="8">
        <f t="shared" si="54"/>
        <v>514.4</v>
      </c>
      <c r="E582" s="8">
        <f t="shared" si="55"/>
        <v>308.64</v>
      </c>
      <c r="F582" s="8">
        <f t="shared" si="56"/>
        <v>257.2</v>
      </c>
      <c r="G582" s="8">
        <f t="shared" si="57"/>
        <v>3086.4</v>
      </c>
      <c r="H582" s="8">
        <f t="shared" si="58"/>
        <v>565.83999999999992</v>
      </c>
      <c r="I582" s="10">
        <f t="shared" si="59"/>
        <v>2520.5600000000004</v>
      </c>
    </row>
    <row r="583" spans="1:9" x14ac:dyDescent="0.25">
      <c r="A583" s="6">
        <v>806</v>
      </c>
      <c r="B583" s="5" t="str">
        <f>VLOOKUP(A583, EmployeeMaster!$A:$D, 3, FALSE)</f>
        <v>Research &amp; Development</v>
      </c>
      <c r="C583" s="8">
        <v>3833</v>
      </c>
      <c r="D583" s="8">
        <f t="shared" si="54"/>
        <v>766.6</v>
      </c>
      <c r="E583" s="8">
        <f t="shared" si="55"/>
        <v>459.96</v>
      </c>
      <c r="F583" s="8">
        <f t="shared" si="56"/>
        <v>383.3</v>
      </c>
      <c r="G583" s="8">
        <f t="shared" si="57"/>
        <v>4599.6000000000004</v>
      </c>
      <c r="H583" s="8">
        <f t="shared" si="58"/>
        <v>843.26</v>
      </c>
      <c r="I583" s="10">
        <f t="shared" si="59"/>
        <v>3756.34</v>
      </c>
    </row>
    <row r="584" spans="1:9" x14ac:dyDescent="0.25">
      <c r="A584" s="6">
        <v>807</v>
      </c>
      <c r="B584" s="5" t="str">
        <f>VLOOKUP(A584, EmployeeMaster!$A:$D, 3, FALSE)</f>
        <v>Research &amp; Development</v>
      </c>
      <c r="C584" s="8">
        <v>4244</v>
      </c>
      <c r="D584" s="8">
        <f t="shared" si="54"/>
        <v>848.80000000000007</v>
      </c>
      <c r="E584" s="8">
        <f t="shared" si="55"/>
        <v>509.28</v>
      </c>
      <c r="F584" s="8">
        <f t="shared" si="56"/>
        <v>424.40000000000003</v>
      </c>
      <c r="G584" s="8">
        <f t="shared" si="57"/>
        <v>5092.8</v>
      </c>
      <c r="H584" s="8">
        <f t="shared" si="58"/>
        <v>933.68000000000006</v>
      </c>
      <c r="I584" s="10">
        <f t="shared" si="59"/>
        <v>4159.12</v>
      </c>
    </row>
    <row r="585" spans="1:9" x14ac:dyDescent="0.25">
      <c r="A585" s="6">
        <v>808</v>
      </c>
      <c r="B585" s="5" t="str">
        <f>VLOOKUP(A585, EmployeeMaster!$A:$D, 3, FALSE)</f>
        <v>Sales</v>
      </c>
      <c r="C585" s="8">
        <v>6500</v>
      </c>
      <c r="D585" s="8">
        <f t="shared" si="54"/>
        <v>1300</v>
      </c>
      <c r="E585" s="8">
        <f t="shared" si="55"/>
        <v>780</v>
      </c>
      <c r="F585" s="8">
        <f t="shared" si="56"/>
        <v>650</v>
      </c>
      <c r="G585" s="8">
        <f t="shared" si="57"/>
        <v>7800</v>
      </c>
      <c r="H585" s="8">
        <f t="shared" si="58"/>
        <v>1430</v>
      </c>
      <c r="I585" s="10">
        <f t="shared" si="59"/>
        <v>6370</v>
      </c>
    </row>
    <row r="586" spans="1:9" x14ac:dyDescent="0.25">
      <c r="A586" s="6">
        <v>809</v>
      </c>
      <c r="B586" s="5" t="str">
        <f>VLOOKUP(A586, EmployeeMaster!$A:$D, 3, FALSE)</f>
        <v>Research &amp; Development</v>
      </c>
      <c r="C586" s="8">
        <v>18430</v>
      </c>
      <c r="D586" s="8">
        <f t="shared" si="54"/>
        <v>3686</v>
      </c>
      <c r="E586" s="8">
        <f t="shared" si="55"/>
        <v>2211.6</v>
      </c>
      <c r="F586" s="8">
        <f t="shared" si="56"/>
        <v>1843</v>
      </c>
      <c r="G586" s="8">
        <f t="shared" si="57"/>
        <v>22116</v>
      </c>
      <c r="H586" s="8">
        <f t="shared" si="58"/>
        <v>4054.6</v>
      </c>
      <c r="I586" s="10">
        <f t="shared" si="59"/>
        <v>18061.400000000001</v>
      </c>
    </row>
    <row r="587" spans="1:9" x14ac:dyDescent="0.25">
      <c r="A587" s="6">
        <v>811</v>
      </c>
      <c r="B587" s="5" t="str">
        <f>VLOOKUP(A587, EmployeeMaster!$A:$D, 3, FALSE)</f>
        <v>Research &amp; Development</v>
      </c>
      <c r="C587" s="8">
        <v>1601</v>
      </c>
      <c r="D587" s="8">
        <f t="shared" si="54"/>
        <v>320.20000000000005</v>
      </c>
      <c r="E587" s="8">
        <f t="shared" si="55"/>
        <v>192.12</v>
      </c>
      <c r="F587" s="8">
        <f t="shared" si="56"/>
        <v>160.10000000000002</v>
      </c>
      <c r="G587" s="8">
        <f t="shared" si="57"/>
        <v>1921.2</v>
      </c>
      <c r="H587" s="8">
        <f t="shared" si="58"/>
        <v>352.22</v>
      </c>
      <c r="I587" s="10">
        <f t="shared" si="59"/>
        <v>1568.98</v>
      </c>
    </row>
    <row r="588" spans="1:9" x14ac:dyDescent="0.25">
      <c r="A588" s="6">
        <v>812</v>
      </c>
      <c r="B588" s="5" t="str">
        <f>VLOOKUP(A588, EmployeeMaster!$A:$D, 3, FALSE)</f>
        <v>Research &amp; Development</v>
      </c>
      <c r="C588" s="8">
        <v>2694</v>
      </c>
      <c r="D588" s="8">
        <f t="shared" si="54"/>
        <v>538.80000000000007</v>
      </c>
      <c r="E588" s="8">
        <f t="shared" si="55"/>
        <v>323.27999999999997</v>
      </c>
      <c r="F588" s="8">
        <f t="shared" si="56"/>
        <v>269.40000000000003</v>
      </c>
      <c r="G588" s="8">
        <f t="shared" si="57"/>
        <v>3232.8</v>
      </c>
      <c r="H588" s="8">
        <f t="shared" si="58"/>
        <v>592.68000000000006</v>
      </c>
      <c r="I588" s="10">
        <f t="shared" si="59"/>
        <v>2640.12</v>
      </c>
    </row>
    <row r="589" spans="1:9" x14ac:dyDescent="0.25">
      <c r="A589" s="6">
        <v>813</v>
      </c>
      <c r="B589" s="5" t="str">
        <f>VLOOKUP(A589, EmployeeMaster!$A:$D, 3, FALSE)</f>
        <v>Research &amp; Development</v>
      </c>
      <c r="C589" s="8">
        <v>3149</v>
      </c>
      <c r="D589" s="8">
        <f t="shared" si="54"/>
        <v>629.80000000000007</v>
      </c>
      <c r="E589" s="8">
        <f t="shared" si="55"/>
        <v>377.88</v>
      </c>
      <c r="F589" s="8">
        <f t="shared" si="56"/>
        <v>314.90000000000003</v>
      </c>
      <c r="G589" s="8">
        <f t="shared" si="57"/>
        <v>3778.8</v>
      </c>
      <c r="H589" s="8">
        <f t="shared" si="58"/>
        <v>692.78</v>
      </c>
      <c r="I589" s="10">
        <f t="shared" si="59"/>
        <v>3086.0200000000004</v>
      </c>
    </row>
    <row r="590" spans="1:9" x14ac:dyDescent="0.25">
      <c r="A590" s="6">
        <v>815</v>
      </c>
      <c r="B590" s="5" t="str">
        <f>VLOOKUP(A590, EmployeeMaster!$A:$D, 3, FALSE)</f>
        <v>Research &amp; Development</v>
      </c>
      <c r="C590" s="8">
        <v>17639</v>
      </c>
      <c r="D590" s="8">
        <f t="shared" si="54"/>
        <v>3527.8</v>
      </c>
      <c r="E590" s="8">
        <f t="shared" si="55"/>
        <v>2116.6799999999998</v>
      </c>
      <c r="F590" s="8">
        <f t="shared" si="56"/>
        <v>1763.9</v>
      </c>
      <c r="G590" s="8">
        <f t="shared" si="57"/>
        <v>21166.799999999999</v>
      </c>
      <c r="H590" s="8">
        <f t="shared" si="58"/>
        <v>3880.58</v>
      </c>
      <c r="I590" s="10">
        <f t="shared" si="59"/>
        <v>17286.22</v>
      </c>
    </row>
    <row r="591" spans="1:9" x14ac:dyDescent="0.25">
      <c r="A591" s="6">
        <v>816</v>
      </c>
      <c r="B591" s="5" t="str">
        <f>VLOOKUP(A591, EmployeeMaster!$A:$D, 3, FALSE)</f>
        <v>Research &amp; Development</v>
      </c>
      <c r="C591" s="8">
        <v>2319</v>
      </c>
      <c r="D591" s="8">
        <f t="shared" si="54"/>
        <v>463.8</v>
      </c>
      <c r="E591" s="8">
        <f t="shared" si="55"/>
        <v>278.27999999999997</v>
      </c>
      <c r="F591" s="8">
        <f t="shared" si="56"/>
        <v>231.9</v>
      </c>
      <c r="G591" s="8">
        <f t="shared" si="57"/>
        <v>2782.8</v>
      </c>
      <c r="H591" s="8">
        <f t="shared" si="58"/>
        <v>510.17999999999995</v>
      </c>
      <c r="I591" s="10">
        <f t="shared" si="59"/>
        <v>2272.6200000000003</v>
      </c>
    </row>
    <row r="592" spans="1:9" x14ac:dyDescent="0.25">
      <c r="A592" s="6">
        <v>817</v>
      </c>
      <c r="B592" s="5" t="str">
        <f>VLOOKUP(A592, EmployeeMaster!$A:$D, 3, FALSE)</f>
        <v>Research &amp; Development</v>
      </c>
      <c r="C592" s="8">
        <v>11691</v>
      </c>
      <c r="D592" s="8">
        <f t="shared" si="54"/>
        <v>2338.2000000000003</v>
      </c>
      <c r="E592" s="8">
        <f t="shared" si="55"/>
        <v>1402.9199999999998</v>
      </c>
      <c r="F592" s="8">
        <f t="shared" si="56"/>
        <v>1169.1000000000001</v>
      </c>
      <c r="G592" s="8">
        <f t="shared" si="57"/>
        <v>14029.2</v>
      </c>
      <c r="H592" s="8">
        <f t="shared" si="58"/>
        <v>2572.02</v>
      </c>
      <c r="I592" s="10">
        <f t="shared" si="59"/>
        <v>11457.18</v>
      </c>
    </row>
    <row r="593" spans="1:9" x14ac:dyDescent="0.25">
      <c r="A593" s="6">
        <v>819</v>
      </c>
      <c r="B593" s="5" t="str">
        <f>VLOOKUP(A593, EmployeeMaster!$A:$D, 3, FALSE)</f>
        <v>Sales</v>
      </c>
      <c r="C593" s="8">
        <v>5324</v>
      </c>
      <c r="D593" s="8">
        <f t="shared" si="54"/>
        <v>1064.8</v>
      </c>
      <c r="E593" s="8">
        <f t="shared" si="55"/>
        <v>638.88</v>
      </c>
      <c r="F593" s="8">
        <f t="shared" si="56"/>
        <v>532.4</v>
      </c>
      <c r="G593" s="8">
        <f t="shared" si="57"/>
        <v>6388.8</v>
      </c>
      <c r="H593" s="8">
        <f t="shared" si="58"/>
        <v>1171.28</v>
      </c>
      <c r="I593" s="10">
        <f t="shared" si="59"/>
        <v>5217.5200000000004</v>
      </c>
    </row>
    <row r="594" spans="1:9" x14ac:dyDescent="0.25">
      <c r="A594" s="6">
        <v>820</v>
      </c>
      <c r="B594" s="5" t="str">
        <f>VLOOKUP(A594, EmployeeMaster!$A:$D, 3, FALSE)</f>
        <v>Research &amp; Development</v>
      </c>
      <c r="C594" s="8">
        <v>16752</v>
      </c>
      <c r="D594" s="8">
        <f t="shared" si="54"/>
        <v>3350.4</v>
      </c>
      <c r="E594" s="8">
        <f t="shared" si="55"/>
        <v>2010.24</v>
      </c>
      <c r="F594" s="8">
        <f t="shared" si="56"/>
        <v>1675.2</v>
      </c>
      <c r="G594" s="8">
        <f t="shared" si="57"/>
        <v>20102.400000000001</v>
      </c>
      <c r="H594" s="8">
        <f t="shared" si="58"/>
        <v>3685.44</v>
      </c>
      <c r="I594" s="10">
        <f t="shared" si="59"/>
        <v>16416.960000000003</v>
      </c>
    </row>
    <row r="595" spans="1:9" x14ac:dyDescent="0.25">
      <c r="A595" s="6">
        <v>823</v>
      </c>
      <c r="B595" s="5" t="str">
        <f>VLOOKUP(A595, EmployeeMaster!$A:$D, 3, FALSE)</f>
        <v>Research &amp; Development</v>
      </c>
      <c r="C595" s="8">
        <v>5228</v>
      </c>
      <c r="D595" s="8">
        <f t="shared" si="54"/>
        <v>1045.6000000000001</v>
      </c>
      <c r="E595" s="8">
        <f t="shared" si="55"/>
        <v>627.36</v>
      </c>
      <c r="F595" s="8">
        <f t="shared" si="56"/>
        <v>522.80000000000007</v>
      </c>
      <c r="G595" s="8">
        <f t="shared" si="57"/>
        <v>6273.6</v>
      </c>
      <c r="H595" s="8">
        <f t="shared" si="58"/>
        <v>1150.1600000000001</v>
      </c>
      <c r="I595" s="10">
        <f t="shared" si="59"/>
        <v>5123.4400000000005</v>
      </c>
    </row>
    <row r="596" spans="1:9" x14ac:dyDescent="0.25">
      <c r="A596" s="6">
        <v>824</v>
      </c>
      <c r="B596" s="5" t="str">
        <f>VLOOKUP(A596, EmployeeMaster!$A:$D, 3, FALSE)</f>
        <v>Research &amp; Development</v>
      </c>
      <c r="C596" s="8">
        <v>2700</v>
      </c>
      <c r="D596" s="8">
        <f t="shared" si="54"/>
        <v>540</v>
      </c>
      <c r="E596" s="8">
        <f t="shared" si="55"/>
        <v>324</v>
      </c>
      <c r="F596" s="8">
        <f t="shared" si="56"/>
        <v>270</v>
      </c>
      <c r="G596" s="8">
        <f t="shared" si="57"/>
        <v>3240</v>
      </c>
      <c r="H596" s="8">
        <f t="shared" si="58"/>
        <v>594</v>
      </c>
      <c r="I596" s="10">
        <f t="shared" si="59"/>
        <v>2646</v>
      </c>
    </row>
    <row r="597" spans="1:9" x14ac:dyDescent="0.25">
      <c r="A597" s="6">
        <v>825</v>
      </c>
      <c r="B597" s="5" t="str">
        <f>VLOOKUP(A597, EmployeeMaster!$A:$D, 3, FALSE)</f>
        <v>Research &amp; Development</v>
      </c>
      <c r="C597" s="8">
        <v>19246</v>
      </c>
      <c r="D597" s="8">
        <f t="shared" si="54"/>
        <v>3849.2000000000003</v>
      </c>
      <c r="E597" s="8">
        <f t="shared" si="55"/>
        <v>2309.52</v>
      </c>
      <c r="F597" s="8">
        <f t="shared" si="56"/>
        <v>1924.6000000000001</v>
      </c>
      <c r="G597" s="8">
        <f t="shared" si="57"/>
        <v>23095.200000000001</v>
      </c>
      <c r="H597" s="8">
        <f t="shared" si="58"/>
        <v>4234.12</v>
      </c>
      <c r="I597" s="10">
        <f t="shared" si="59"/>
        <v>18861.080000000002</v>
      </c>
    </row>
    <row r="598" spans="1:9" x14ac:dyDescent="0.25">
      <c r="A598" s="6">
        <v>826</v>
      </c>
      <c r="B598" s="5" t="str">
        <f>VLOOKUP(A598, EmployeeMaster!$A:$D, 3, FALSE)</f>
        <v>Research &amp; Development</v>
      </c>
      <c r="C598" s="8">
        <v>2506</v>
      </c>
      <c r="D598" s="8">
        <f t="shared" si="54"/>
        <v>501.20000000000005</v>
      </c>
      <c r="E598" s="8">
        <f t="shared" si="55"/>
        <v>300.71999999999997</v>
      </c>
      <c r="F598" s="8">
        <f t="shared" si="56"/>
        <v>250.60000000000002</v>
      </c>
      <c r="G598" s="8">
        <f t="shared" si="57"/>
        <v>3007.2</v>
      </c>
      <c r="H598" s="8">
        <f t="shared" si="58"/>
        <v>551.31999999999994</v>
      </c>
      <c r="I598" s="10">
        <f t="shared" si="59"/>
        <v>2455.88</v>
      </c>
    </row>
    <row r="599" spans="1:9" x14ac:dyDescent="0.25">
      <c r="A599" s="6">
        <v>827</v>
      </c>
      <c r="B599" s="5" t="str">
        <f>VLOOKUP(A599, EmployeeMaster!$A:$D, 3, FALSE)</f>
        <v>Research &amp; Development</v>
      </c>
      <c r="C599" s="8">
        <v>6062</v>
      </c>
      <c r="D599" s="8">
        <f t="shared" si="54"/>
        <v>1212.4000000000001</v>
      </c>
      <c r="E599" s="8">
        <f t="shared" si="55"/>
        <v>727.43999999999994</v>
      </c>
      <c r="F599" s="8">
        <f t="shared" si="56"/>
        <v>606.20000000000005</v>
      </c>
      <c r="G599" s="8">
        <f t="shared" si="57"/>
        <v>7274.4</v>
      </c>
      <c r="H599" s="8">
        <f t="shared" si="58"/>
        <v>1333.6399999999999</v>
      </c>
      <c r="I599" s="10">
        <f t="shared" si="59"/>
        <v>5940.76</v>
      </c>
    </row>
    <row r="600" spans="1:9" x14ac:dyDescent="0.25">
      <c r="A600" s="6">
        <v>828</v>
      </c>
      <c r="B600" s="5" t="str">
        <f>VLOOKUP(A600, EmployeeMaster!$A:$D, 3, FALSE)</f>
        <v>Research &amp; Development</v>
      </c>
      <c r="C600" s="8">
        <v>4382</v>
      </c>
      <c r="D600" s="8">
        <f t="shared" si="54"/>
        <v>876.40000000000009</v>
      </c>
      <c r="E600" s="8">
        <f t="shared" si="55"/>
        <v>525.84</v>
      </c>
      <c r="F600" s="8">
        <f t="shared" si="56"/>
        <v>438.20000000000005</v>
      </c>
      <c r="G600" s="8">
        <f t="shared" si="57"/>
        <v>5258.4</v>
      </c>
      <c r="H600" s="8">
        <f t="shared" si="58"/>
        <v>964.04000000000008</v>
      </c>
      <c r="I600" s="10">
        <f t="shared" si="59"/>
        <v>4294.3599999999997</v>
      </c>
    </row>
    <row r="601" spans="1:9" x14ac:dyDescent="0.25">
      <c r="A601" s="6">
        <v>829</v>
      </c>
      <c r="B601" s="5" t="str">
        <f>VLOOKUP(A601, EmployeeMaster!$A:$D, 3, FALSE)</f>
        <v>Human Resources</v>
      </c>
      <c r="C601" s="8">
        <v>2143</v>
      </c>
      <c r="D601" s="8">
        <f t="shared" si="54"/>
        <v>428.6</v>
      </c>
      <c r="E601" s="8">
        <f t="shared" si="55"/>
        <v>257.15999999999997</v>
      </c>
      <c r="F601" s="8">
        <f t="shared" si="56"/>
        <v>214.3</v>
      </c>
      <c r="G601" s="8">
        <f t="shared" si="57"/>
        <v>2571.6</v>
      </c>
      <c r="H601" s="8">
        <f t="shared" si="58"/>
        <v>471.46</v>
      </c>
      <c r="I601" s="10">
        <f t="shared" si="59"/>
        <v>2100.14</v>
      </c>
    </row>
    <row r="602" spans="1:9" x14ac:dyDescent="0.25">
      <c r="A602" s="6">
        <v>830</v>
      </c>
      <c r="B602" s="5" t="str">
        <f>VLOOKUP(A602, EmployeeMaster!$A:$D, 3, FALSE)</f>
        <v>Research &amp; Development</v>
      </c>
      <c r="C602" s="8">
        <v>6162</v>
      </c>
      <c r="D602" s="8">
        <f t="shared" si="54"/>
        <v>1232.4000000000001</v>
      </c>
      <c r="E602" s="8">
        <f t="shared" si="55"/>
        <v>739.43999999999994</v>
      </c>
      <c r="F602" s="8">
        <f t="shared" si="56"/>
        <v>616.20000000000005</v>
      </c>
      <c r="G602" s="8">
        <f t="shared" si="57"/>
        <v>7394.4</v>
      </c>
      <c r="H602" s="8">
        <f t="shared" si="58"/>
        <v>1355.6399999999999</v>
      </c>
      <c r="I602" s="10">
        <f t="shared" si="59"/>
        <v>6038.76</v>
      </c>
    </row>
    <row r="603" spans="1:9" x14ac:dyDescent="0.25">
      <c r="A603" s="6">
        <v>832</v>
      </c>
      <c r="B603" s="5" t="str">
        <f>VLOOKUP(A603, EmployeeMaster!$A:$D, 3, FALSE)</f>
        <v>Research &amp; Development</v>
      </c>
      <c r="C603" s="8">
        <v>5094</v>
      </c>
      <c r="D603" s="8">
        <f t="shared" si="54"/>
        <v>1018.8000000000001</v>
      </c>
      <c r="E603" s="8">
        <f t="shared" si="55"/>
        <v>611.28</v>
      </c>
      <c r="F603" s="8">
        <f t="shared" si="56"/>
        <v>509.40000000000003</v>
      </c>
      <c r="G603" s="8">
        <f t="shared" si="57"/>
        <v>6112.8</v>
      </c>
      <c r="H603" s="8">
        <f t="shared" si="58"/>
        <v>1120.68</v>
      </c>
      <c r="I603" s="10">
        <f t="shared" si="59"/>
        <v>4992.12</v>
      </c>
    </row>
    <row r="604" spans="1:9" x14ac:dyDescent="0.25">
      <c r="A604" s="6">
        <v>833</v>
      </c>
      <c r="B604" s="5" t="str">
        <f>VLOOKUP(A604, EmployeeMaster!$A:$D, 3, FALSE)</f>
        <v>Research &amp; Development</v>
      </c>
      <c r="C604" s="8">
        <v>6877</v>
      </c>
      <c r="D604" s="8">
        <f t="shared" si="54"/>
        <v>1375.4</v>
      </c>
      <c r="E604" s="8">
        <f t="shared" si="55"/>
        <v>825.24</v>
      </c>
      <c r="F604" s="8">
        <f t="shared" si="56"/>
        <v>687.7</v>
      </c>
      <c r="G604" s="8">
        <f t="shared" si="57"/>
        <v>8252.4</v>
      </c>
      <c r="H604" s="8">
        <f t="shared" si="58"/>
        <v>1512.94</v>
      </c>
      <c r="I604" s="10">
        <f t="shared" si="59"/>
        <v>6739.4599999999991</v>
      </c>
    </row>
    <row r="605" spans="1:9" x14ac:dyDescent="0.25">
      <c r="A605" s="6">
        <v>834</v>
      </c>
      <c r="B605" s="5" t="str">
        <f>VLOOKUP(A605, EmployeeMaster!$A:$D, 3, FALSE)</f>
        <v>Research &amp; Development</v>
      </c>
      <c r="C605" s="8">
        <v>2274</v>
      </c>
      <c r="D605" s="8">
        <f t="shared" si="54"/>
        <v>454.8</v>
      </c>
      <c r="E605" s="8">
        <f t="shared" si="55"/>
        <v>272.88</v>
      </c>
      <c r="F605" s="8">
        <f t="shared" si="56"/>
        <v>227.4</v>
      </c>
      <c r="G605" s="8">
        <f t="shared" si="57"/>
        <v>2728.8</v>
      </c>
      <c r="H605" s="8">
        <f t="shared" si="58"/>
        <v>500.28</v>
      </c>
      <c r="I605" s="10">
        <f t="shared" si="59"/>
        <v>2228.5200000000004</v>
      </c>
    </row>
    <row r="606" spans="1:9" x14ac:dyDescent="0.25">
      <c r="A606" s="6">
        <v>836</v>
      </c>
      <c r="B606" s="5" t="str">
        <f>VLOOKUP(A606, EmployeeMaster!$A:$D, 3, FALSE)</f>
        <v>Research &amp; Development</v>
      </c>
      <c r="C606" s="8">
        <v>4434</v>
      </c>
      <c r="D606" s="8">
        <f t="shared" si="54"/>
        <v>886.80000000000007</v>
      </c>
      <c r="E606" s="8">
        <f t="shared" si="55"/>
        <v>532.07999999999993</v>
      </c>
      <c r="F606" s="8">
        <f t="shared" si="56"/>
        <v>443.40000000000003</v>
      </c>
      <c r="G606" s="8">
        <f t="shared" si="57"/>
        <v>5320.8</v>
      </c>
      <c r="H606" s="8">
        <f t="shared" si="58"/>
        <v>975.48</v>
      </c>
      <c r="I606" s="10">
        <f t="shared" si="59"/>
        <v>4345.32</v>
      </c>
    </row>
    <row r="607" spans="1:9" x14ac:dyDescent="0.25">
      <c r="A607" s="6">
        <v>837</v>
      </c>
      <c r="B607" s="5" t="str">
        <f>VLOOKUP(A607, EmployeeMaster!$A:$D, 3, FALSE)</f>
        <v>Research &amp; Development</v>
      </c>
      <c r="C607" s="8">
        <v>6288</v>
      </c>
      <c r="D607" s="8">
        <f t="shared" si="54"/>
        <v>1257.6000000000001</v>
      </c>
      <c r="E607" s="8">
        <f t="shared" si="55"/>
        <v>754.56</v>
      </c>
      <c r="F607" s="8">
        <f t="shared" si="56"/>
        <v>628.80000000000007</v>
      </c>
      <c r="G607" s="8">
        <f t="shared" si="57"/>
        <v>7545.6</v>
      </c>
      <c r="H607" s="8">
        <f t="shared" si="58"/>
        <v>1383.3600000000001</v>
      </c>
      <c r="I607" s="10">
        <f t="shared" si="59"/>
        <v>6162.24</v>
      </c>
    </row>
    <row r="608" spans="1:9" x14ac:dyDescent="0.25">
      <c r="A608" s="6">
        <v>838</v>
      </c>
      <c r="B608" s="5" t="str">
        <f>VLOOKUP(A608, EmployeeMaster!$A:$D, 3, FALSE)</f>
        <v>Research &amp; Development</v>
      </c>
      <c r="C608" s="8">
        <v>2553</v>
      </c>
      <c r="D608" s="8">
        <f t="shared" si="54"/>
        <v>510.6</v>
      </c>
      <c r="E608" s="8">
        <f t="shared" si="55"/>
        <v>306.36</v>
      </c>
      <c r="F608" s="8">
        <f t="shared" si="56"/>
        <v>255.3</v>
      </c>
      <c r="G608" s="8">
        <f t="shared" si="57"/>
        <v>3063.6</v>
      </c>
      <c r="H608" s="8">
        <f t="shared" si="58"/>
        <v>561.66000000000008</v>
      </c>
      <c r="I608" s="10">
        <f t="shared" si="59"/>
        <v>2501.9399999999996</v>
      </c>
    </row>
    <row r="609" spans="1:9" x14ac:dyDescent="0.25">
      <c r="A609" s="6">
        <v>840</v>
      </c>
      <c r="B609" s="5" t="str">
        <f>VLOOKUP(A609, EmployeeMaster!$A:$D, 3, FALSE)</f>
        <v>Sales</v>
      </c>
      <c r="C609" s="8">
        <v>7654</v>
      </c>
      <c r="D609" s="8">
        <f t="shared" si="54"/>
        <v>1530.8000000000002</v>
      </c>
      <c r="E609" s="8">
        <f t="shared" si="55"/>
        <v>918.48</v>
      </c>
      <c r="F609" s="8">
        <f t="shared" si="56"/>
        <v>765.40000000000009</v>
      </c>
      <c r="G609" s="8">
        <f t="shared" si="57"/>
        <v>9184.7999999999993</v>
      </c>
      <c r="H609" s="8">
        <f t="shared" si="58"/>
        <v>1683.88</v>
      </c>
      <c r="I609" s="10">
        <f t="shared" si="59"/>
        <v>7500.9199999999992</v>
      </c>
    </row>
    <row r="610" spans="1:9" x14ac:dyDescent="0.25">
      <c r="A610" s="6">
        <v>842</v>
      </c>
      <c r="B610" s="5" t="str">
        <f>VLOOKUP(A610, EmployeeMaster!$A:$D, 3, FALSE)</f>
        <v>Sales</v>
      </c>
      <c r="C610" s="8">
        <v>5160</v>
      </c>
      <c r="D610" s="8">
        <f t="shared" si="54"/>
        <v>1032</v>
      </c>
      <c r="E610" s="8">
        <f t="shared" si="55"/>
        <v>619.19999999999993</v>
      </c>
      <c r="F610" s="8">
        <f t="shared" si="56"/>
        <v>516</v>
      </c>
      <c r="G610" s="8">
        <f t="shared" si="57"/>
        <v>6192</v>
      </c>
      <c r="H610" s="8">
        <f t="shared" si="58"/>
        <v>1135.1999999999998</v>
      </c>
      <c r="I610" s="10">
        <f t="shared" si="59"/>
        <v>5056.8</v>
      </c>
    </row>
    <row r="611" spans="1:9" x14ac:dyDescent="0.25">
      <c r="A611" s="6">
        <v>843</v>
      </c>
      <c r="B611" s="5" t="str">
        <f>VLOOKUP(A611, EmployeeMaster!$A:$D, 3, FALSE)</f>
        <v>Research &amp; Development</v>
      </c>
      <c r="C611" s="8">
        <v>17159</v>
      </c>
      <c r="D611" s="8">
        <f t="shared" si="54"/>
        <v>3431.8</v>
      </c>
      <c r="E611" s="8">
        <f t="shared" si="55"/>
        <v>2059.08</v>
      </c>
      <c r="F611" s="8">
        <f t="shared" si="56"/>
        <v>1715.9</v>
      </c>
      <c r="G611" s="8">
        <f t="shared" si="57"/>
        <v>20590.8</v>
      </c>
      <c r="H611" s="8">
        <f t="shared" si="58"/>
        <v>3774.98</v>
      </c>
      <c r="I611" s="10">
        <f t="shared" si="59"/>
        <v>16815.82</v>
      </c>
    </row>
    <row r="612" spans="1:9" x14ac:dyDescent="0.25">
      <c r="A612" s="6">
        <v>844</v>
      </c>
      <c r="B612" s="5" t="str">
        <f>VLOOKUP(A612, EmployeeMaster!$A:$D, 3, FALSE)</f>
        <v>Research &amp; Development</v>
      </c>
      <c r="C612" s="8">
        <v>12808</v>
      </c>
      <c r="D612" s="8">
        <f t="shared" si="54"/>
        <v>2561.6000000000004</v>
      </c>
      <c r="E612" s="8">
        <f t="shared" si="55"/>
        <v>1536.96</v>
      </c>
      <c r="F612" s="8">
        <f t="shared" si="56"/>
        <v>1280.8000000000002</v>
      </c>
      <c r="G612" s="8">
        <f t="shared" si="57"/>
        <v>15369.6</v>
      </c>
      <c r="H612" s="8">
        <f t="shared" si="58"/>
        <v>2817.76</v>
      </c>
      <c r="I612" s="10">
        <f t="shared" si="59"/>
        <v>12551.84</v>
      </c>
    </row>
    <row r="613" spans="1:9" x14ac:dyDescent="0.25">
      <c r="A613" s="6">
        <v>845</v>
      </c>
      <c r="B613" s="5" t="str">
        <f>VLOOKUP(A613, EmployeeMaster!$A:$D, 3, FALSE)</f>
        <v>Research &amp; Development</v>
      </c>
      <c r="C613" s="8">
        <v>10221</v>
      </c>
      <c r="D613" s="8">
        <f t="shared" si="54"/>
        <v>2044.2</v>
      </c>
      <c r="E613" s="8">
        <f t="shared" si="55"/>
        <v>1226.52</v>
      </c>
      <c r="F613" s="8">
        <f t="shared" si="56"/>
        <v>1022.1</v>
      </c>
      <c r="G613" s="8">
        <f t="shared" si="57"/>
        <v>12265.2</v>
      </c>
      <c r="H613" s="8">
        <f t="shared" si="58"/>
        <v>2248.62</v>
      </c>
      <c r="I613" s="10">
        <f t="shared" si="59"/>
        <v>10016.580000000002</v>
      </c>
    </row>
    <row r="614" spans="1:9" x14ac:dyDescent="0.25">
      <c r="A614" s="6">
        <v>846</v>
      </c>
      <c r="B614" s="5" t="str">
        <f>VLOOKUP(A614, EmployeeMaster!$A:$D, 3, FALSE)</f>
        <v>Sales</v>
      </c>
      <c r="C614" s="8">
        <v>4779</v>
      </c>
      <c r="D614" s="8">
        <f t="shared" si="54"/>
        <v>955.80000000000007</v>
      </c>
      <c r="E614" s="8">
        <f t="shared" si="55"/>
        <v>573.48</v>
      </c>
      <c r="F614" s="8">
        <f t="shared" si="56"/>
        <v>477.90000000000003</v>
      </c>
      <c r="G614" s="8">
        <f t="shared" si="57"/>
        <v>5734.8</v>
      </c>
      <c r="H614" s="8">
        <f t="shared" si="58"/>
        <v>1051.3800000000001</v>
      </c>
      <c r="I614" s="10">
        <f t="shared" si="59"/>
        <v>4683.42</v>
      </c>
    </row>
    <row r="615" spans="1:9" x14ac:dyDescent="0.25">
      <c r="A615" s="6">
        <v>847</v>
      </c>
      <c r="B615" s="5" t="str">
        <f>VLOOKUP(A615, EmployeeMaster!$A:$D, 3, FALSE)</f>
        <v>Human Resources</v>
      </c>
      <c r="C615" s="8">
        <v>3737</v>
      </c>
      <c r="D615" s="8">
        <f t="shared" si="54"/>
        <v>747.40000000000009</v>
      </c>
      <c r="E615" s="8">
        <f t="shared" si="55"/>
        <v>448.44</v>
      </c>
      <c r="F615" s="8">
        <f t="shared" si="56"/>
        <v>373.70000000000005</v>
      </c>
      <c r="G615" s="8">
        <f t="shared" si="57"/>
        <v>4484.3999999999996</v>
      </c>
      <c r="H615" s="8">
        <f t="shared" si="58"/>
        <v>822.1400000000001</v>
      </c>
      <c r="I615" s="10">
        <f t="shared" si="59"/>
        <v>3662.2599999999993</v>
      </c>
    </row>
    <row r="616" spans="1:9" x14ac:dyDescent="0.25">
      <c r="A616" s="6">
        <v>848</v>
      </c>
      <c r="B616" s="5" t="str">
        <f>VLOOKUP(A616, EmployeeMaster!$A:$D, 3, FALSE)</f>
        <v>Research &amp; Development</v>
      </c>
      <c r="C616" s="8">
        <v>2366</v>
      </c>
      <c r="D616" s="8">
        <f t="shared" si="54"/>
        <v>473.20000000000005</v>
      </c>
      <c r="E616" s="8">
        <f t="shared" si="55"/>
        <v>283.92</v>
      </c>
      <c r="F616" s="8">
        <f t="shared" si="56"/>
        <v>236.60000000000002</v>
      </c>
      <c r="G616" s="8">
        <f t="shared" si="57"/>
        <v>2839.2</v>
      </c>
      <c r="H616" s="8">
        <f t="shared" si="58"/>
        <v>520.52</v>
      </c>
      <c r="I616" s="10">
        <f t="shared" si="59"/>
        <v>2318.6799999999998</v>
      </c>
    </row>
    <row r="617" spans="1:9" x14ac:dyDescent="0.25">
      <c r="A617" s="6">
        <v>850</v>
      </c>
      <c r="B617" s="5" t="str">
        <f>VLOOKUP(A617, EmployeeMaster!$A:$D, 3, FALSE)</f>
        <v>Research &amp; Development</v>
      </c>
      <c r="C617" s="8">
        <v>1706</v>
      </c>
      <c r="D617" s="8">
        <f t="shared" si="54"/>
        <v>341.20000000000005</v>
      </c>
      <c r="E617" s="8">
        <f t="shared" si="55"/>
        <v>204.72</v>
      </c>
      <c r="F617" s="8">
        <f t="shared" si="56"/>
        <v>170.60000000000002</v>
      </c>
      <c r="G617" s="8">
        <f t="shared" si="57"/>
        <v>2047.2</v>
      </c>
      <c r="H617" s="8">
        <f t="shared" si="58"/>
        <v>375.32000000000005</v>
      </c>
      <c r="I617" s="10">
        <f t="shared" si="59"/>
        <v>1671.88</v>
      </c>
    </row>
    <row r="618" spans="1:9" x14ac:dyDescent="0.25">
      <c r="A618" s="6">
        <v>851</v>
      </c>
      <c r="B618" s="5" t="str">
        <f>VLOOKUP(A618, EmployeeMaster!$A:$D, 3, FALSE)</f>
        <v>Sales</v>
      </c>
      <c r="C618" s="8">
        <v>16307</v>
      </c>
      <c r="D618" s="8">
        <f t="shared" si="54"/>
        <v>3261.4</v>
      </c>
      <c r="E618" s="8">
        <f t="shared" si="55"/>
        <v>1956.84</v>
      </c>
      <c r="F618" s="8">
        <f t="shared" si="56"/>
        <v>1630.7</v>
      </c>
      <c r="G618" s="8">
        <f t="shared" si="57"/>
        <v>19568.400000000001</v>
      </c>
      <c r="H618" s="8">
        <f t="shared" si="58"/>
        <v>3587.54</v>
      </c>
      <c r="I618" s="10">
        <f t="shared" si="59"/>
        <v>15980.86</v>
      </c>
    </row>
    <row r="619" spans="1:9" x14ac:dyDescent="0.25">
      <c r="A619" s="6">
        <v>852</v>
      </c>
      <c r="B619" s="5" t="str">
        <f>VLOOKUP(A619, EmployeeMaster!$A:$D, 3, FALSE)</f>
        <v>Research &amp; Development</v>
      </c>
      <c r="C619" s="8">
        <v>5933</v>
      </c>
      <c r="D619" s="8">
        <f t="shared" si="54"/>
        <v>1186.6000000000001</v>
      </c>
      <c r="E619" s="8">
        <f t="shared" si="55"/>
        <v>711.95999999999992</v>
      </c>
      <c r="F619" s="8">
        <f t="shared" si="56"/>
        <v>593.30000000000007</v>
      </c>
      <c r="G619" s="8">
        <f t="shared" si="57"/>
        <v>7119.6</v>
      </c>
      <c r="H619" s="8">
        <f t="shared" si="58"/>
        <v>1305.26</v>
      </c>
      <c r="I619" s="10">
        <f t="shared" si="59"/>
        <v>5814.34</v>
      </c>
    </row>
    <row r="620" spans="1:9" x14ac:dyDescent="0.25">
      <c r="A620" s="6">
        <v>854</v>
      </c>
      <c r="B620" s="5" t="str">
        <f>VLOOKUP(A620, EmployeeMaster!$A:$D, 3, FALSE)</f>
        <v>Research &amp; Development</v>
      </c>
      <c r="C620" s="8">
        <v>3424</v>
      </c>
      <c r="D620" s="8">
        <f t="shared" si="54"/>
        <v>684.80000000000007</v>
      </c>
      <c r="E620" s="8">
        <f t="shared" si="55"/>
        <v>410.88</v>
      </c>
      <c r="F620" s="8">
        <f t="shared" si="56"/>
        <v>342.40000000000003</v>
      </c>
      <c r="G620" s="8">
        <f t="shared" si="57"/>
        <v>4108.8</v>
      </c>
      <c r="H620" s="8">
        <f t="shared" si="58"/>
        <v>753.28</v>
      </c>
      <c r="I620" s="10">
        <f t="shared" si="59"/>
        <v>3355.5200000000004</v>
      </c>
    </row>
    <row r="621" spans="1:9" x14ac:dyDescent="0.25">
      <c r="A621" s="6">
        <v>855</v>
      </c>
      <c r="B621" s="5" t="str">
        <f>VLOOKUP(A621, EmployeeMaster!$A:$D, 3, FALSE)</f>
        <v>Sales</v>
      </c>
      <c r="C621" s="8">
        <v>4037</v>
      </c>
      <c r="D621" s="8">
        <f t="shared" si="54"/>
        <v>807.40000000000009</v>
      </c>
      <c r="E621" s="8">
        <f t="shared" si="55"/>
        <v>484.44</v>
      </c>
      <c r="F621" s="8">
        <f t="shared" si="56"/>
        <v>403.70000000000005</v>
      </c>
      <c r="G621" s="8">
        <f t="shared" si="57"/>
        <v>4844.3999999999996</v>
      </c>
      <c r="H621" s="8">
        <f t="shared" si="58"/>
        <v>888.1400000000001</v>
      </c>
      <c r="I621" s="10">
        <f t="shared" si="59"/>
        <v>3956.2599999999993</v>
      </c>
    </row>
    <row r="622" spans="1:9" x14ac:dyDescent="0.25">
      <c r="A622" s="6">
        <v>856</v>
      </c>
      <c r="B622" s="5" t="str">
        <f>VLOOKUP(A622, EmployeeMaster!$A:$D, 3, FALSE)</f>
        <v>Research &amp; Development</v>
      </c>
      <c r="C622" s="8">
        <v>2559</v>
      </c>
      <c r="D622" s="8">
        <f t="shared" si="54"/>
        <v>511.8</v>
      </c>
      <c r="E622" s="8">
        <f t="shared" si="55"/>
        <v>307.08</v>
      </c>
      <c r="F622" s="8">
        <f t="shared" si="56"/>
        <v>255.9</v>
      </c>
      <c r="G622" s="8">
        <f t="shared" si="57"/>
        <v>3070.8</v>
      </c>
      <c r="H622" s="8">
        <f t="shared" si="58"/>
        <v>562.98</v>
      </c>
      <c r="I622" s="10">
        <f t="shared" si="59"/>
        <v>2507.8200000000002</v>
      </c>
    </row>
    <row r="623" spans="1:9" x14ac:dyDescent="0.25">
      <c r="A623" s="6">
        <v>857</v>
      </c>
      <c r="B623" s="5" t="str">
        <f>VLOOKUP(A623, EmployeeMaster!$A:$D, 3, FALSE)</f>
        <v>Sales</v>
      </c>
      <c r="C623" s="8">
        <v>6201</v>
      </c>
      <c r="D623" s="8">
        <f t="shared" si="54"/>
        <v>1240.2</v>
      </c>
      <c r="E623" s="8">
        <f t="shared" si="55"/>
        <v>744.12</v>
      </c>
      <c r="F623" s="8">
        <f t="shared" si="56"/>
        <v>620.1</v>
      </c>
      <c r="G623" s="8">
        <f t="shared" si="57"/>
        <v>7441.2</v>
      </c>
      <c r="H623" s="8">
        <f t="shared" si="58"/>
        <v>1364.22</v>
      </c>
      <c r="I623" s="10">
        <f t="shared" si="59"/>
        <v>6076.98</v>
      </c>
    </row>
    <row r="624" spans="1:9" x14ac:dyDescent="0.25">
      <c r="A624" s="6">
        <v>859</v>
      </c>
      <c r="B624" s="5" t="str">
        <f>VLOOKUP(A624, EmployeeMaster!$A:$D, 3, FALSE)</f>
        <v>Sales</v>
      </c>
      <c r="C624" s="8">
        <v>4403</v>
      </c>
      <c r="D624" s="8">
        <f t="shared" si="54"/>
        <v>880.6</v>
      </c>
      <c r="E624" s="8">
        <f t="shared" si="55"/>
        <v>528.36</v>
      </c>
      <c r="F624" s="8">
        <f t="shared" si="56"/>
        <v>440.3</v>
      </c>
      <c r="G624" s="8">
        <f t="shared" si="57"/>
        <v>5283.6</v>
      </c>
      <c r="H624" s="8">
        <f t="shared" si="58"/>
        <v>968.66000000000008</v>
      </c>
      <c r="I624" s="10">
        <f t="shared" si="59"/>
        <v>4314.9400000000005</v>
      </c>
    </row>
    <row r="625" spans="1:9" x14ac:dyDescent="0.25">
      <c r="A625" s="6">
        <v>861</v>
      </c>
      <c r="B625" s="5" t="str">
        <f>VLOOKUP(A625, EmployeeMaster!$A:$D, 3, FALSE)</f>
        <v>Research &amp; Development</v>
      </c>
      <c r="C625" s="8">
        <v>3761</v>
      </c>
      <c r="D625" s="8">
        <f t="shared" si="54"/>
        <v>752.2</v>
      </c>
      <c r="E625" s="8">
        <f t="shared" si="55"/>
        <v>451.32</v>
      </c>
      <c r="F625" s="8">
        <f t="shared" si="56"/>
        <v>376.1</v>
      </c>
      <c r="G625" s="8">
        <f t="shared" si="57"/>
        <v>4513.2</v>
      </c>
      <c r="H625" s="8">
        <f t="shared" si="58"/>
        <v>827.42000000000007</v>
      </c>
      <c r="I625" s="10">
        <f t="shared" si="59"/>
        <v>3685.7799999999997</v>
      </c>
    </row>
    <row r="626" spans="1:9" x14ac:dyDescent="0.25">
      <c r="A626" s="6">
        <v>862</v>
      </c>
      <c r="B626" s="5" t="str">
        <f>VLOOKUP(A626, EmployeeMaster!$A:$D, 3, FALSE)</f>
        <v>Sales</v>
      </c>
      <c r="C626" s="8">
        <v>10934</v>
      </c>
      <c r="D626" s="8">
        <f t="shared" si="54"/>
        <v>2186.8000000000002</v>
      </c>
      <c r="E626" s="8">
        <f t="shared" si="55"/>
        <v>1312.08</v>
      </c>
      <c r="F626" s="8">
        <f t="shared" si="56"/>
        <v>1093.4000000000001</v>
      </c>
      <c r="G626" s="8">
        <f t="shared" si="57"/>
        <v>13120.8</v>
      </c>
      <c r="H626" s="8">
        <f t="shared" si="58"/>
        <v>2405.48</v>
      </c>
      <c r="I626" s="10">
        <f t="shared" si="59"/>
        <v>10715.32</v>
      </c>
    </row>
    <row r="627" spans="1:9" x14ac:dyDescent="0.25">
      <c r="A627" s="6">
        <v>864</v>
      </c>
      <c r="B627" s="5" t="str">
        <f>VLOOKUP(A627, EmployeeMaster!$A:$D, 3, FALSE)</f>
        <v>Sales</v>
      </c>
      <c r="C627" s="8">
        <v>10761</v>
      </c>
      <c r="D627" s="8">
        <f t="shared" si="54"/>
        <v>2152.2000000000003</v>
      </c>
      <c r="E627" s="8">
        <f t="shared" si="55"/>
        <v>1291.32</v>
      </c>
      <c r="F627" s="8">
        <f t="shared" si="56"/>
        <v>1076.1000000000001</v>
      </c>
      <c r="G627" s="8">
        <f t="shared" si="57"/>
        <v>12913.2</v>
      </c>
      <c r="H627" s="8">
        <f t="shared" si="58"/>
        <v>2367.42</v>
      </c>
      <c r="I627" s="10">
        <f t="shared" si="59"/>
        <v>10545.78</v>
      </c>
    </row>
    <row r="628" spans="1:9" x14ac:dyDescent="0.25">
      <c r="A628" s="6">
        <v>865</v>
      </c>
      <c r="B628" s="5" t="str">
        <f>VLOOKUP(A628, EmployeeMaster!$A:$D, 3, FALSE)</f>
        <v>Research &amp; Development</v>
      </c>
      <c r="C628" s="8">
        <v>5175</v>
      </c>
      <c r="D628" s="8">
        <f t="shared" si="54"/>
        <v>1035</v>
      </c>
      <c r="E628" s="8">
        <f t="shared" si="55"/>
        <v>621</v>
      </c>
      <c r="F628" s="8">
        <f t="shared" si="56"/>
        <v>517.5</v>
      </c>
      <c r="G628" s="8">
        <f t="shared" si="57"/>
        <v>6210</v>
      </c>
      <c r="H628" s="8">
        <f t="shared" si="58"/>
        <v>1138.5</v>
      </c>
      <c r="I628" s="10">
        <f t="shared" si="59"/>
        <v>5071.5</v>
      </c>
    </row>
    <row r="629" spans="1:9" x14ac:dyDescent="0.25">
      <c r="A629" s="6">
        <v>867</v>
      </c>
      <c r="B629" s="5" t="str">
        <f>VLOOKUP(A629, EmployeeMaster!$A:$D, 3, FALSE)</f>
        <v>Research &amp; Development</v>
      </c>
      <c r="C629" s="8">
        <v>13826</v>
      </c>
      <c r="D629" s="8">
        <f t="shared" si="54"/>
        <v>2765.2000000000003</v>
      </c>
      <c r="E629" s="8">
        <f t="shared" si="55"/>
        <v>1659.12</v>
      </c>
      <c r="F629" s="8">
        <f t="shared" si="56"/>
        <v>1382.6000000000001</v>
      </c>
      <c r="G629" s="8">
        <f t="shared" si="57"/>
        <v>16591.2</v>
      </c>
      <c r="H629" s="8">
        <f t="shared" si="58"/>
        <v>3041.7200000000003</v>
      </c>
      <c r="I629" s="10">
        <f t="shared" si="59"/>
        <v>13549.48</v>
      </c>
    </row>
    <row r="630" spans="1:9" x14ac:dyDescent="0.25">
      <c r="A630" s="6">
        <v>868</v>
      </c>
      <c r="B630" s="5" t="str">
        <f>VLOOKUP(A630, EmployeeMaster!$A:$D, 3, FALSE)</f>
        <v>Sales</v>
      </c>
      <c r="C630" s="8">
        <v>6334</v>
      </c>
      <c r="D630" s="8">
        <f t="shared" si="54"/>
        <v>1266.8000000000002</v>
      </c>
      <c r="E630" s="8">
        <f t="shared" si="55"/>
        <v>760.07999999999993</v>
      </c>
      <c r="F630" s="8">
        <f t="shared" si="56"/>
        <v>633.40000000000009</v>
      </c>
      <c r="G630" s="8">
        <f t="shared" si="57"/>
        <v>7600.8</v>
      </c>
      <c r="H630" s="8">
        <f t="shared" si="58"/>
        <v>1393.48</v>
      </c>
      <c r="I630" s="10">
        <f t="shared" si="59"/>
        <v>6207.32</v>
      </c>
    </row>
    <row r="631" spans="1:9" x14ac:dyDescent="0.25">
      <c r="A631" s="6">
        <v>869</v>
      </c>
      <c r="B631" s="5" t="str">
        <f>VLOOKUP(A631, EmployeeMaster!$A:$D, 3, FALSE)</f>
        <v>Human Resources</v>
      </c>
      <c r="C631" s="8">
        <v>4936</v>
      </c>
      <c r="D631" s="8">
        <f t="shared" si="54"/>
        <v>987.2</v>
      </c>
      <c r="E631" s="8">
        <f t="shared" si="55"/>
        <v>592.31999999999994</v>
      </c>
      <c r="F631" s="8">
        <f t="shared" si="56"/>
        <v>493.6</v>
      </c>
      <c r="G631" s="8">
        <f t="shared" si="57"/>
        <v>5923.2</v>
      </c>
      <c r="H631" s="8">
        <f t="shared" si="58"/>
        <v>1085.92</v>
      </c>
      <c r="I631" s="10">
        <f t="shared" si="59"/>
        <v>4837.28</v>
      </c>
    </row>
    <row r="632" spans="1:9" x14ac:dyDescent="0.25">
      <c r="A632" s="6">
        <v>872</v>
      </c>
      <c r="B632" s="5" t="str">
        <f>VLOOKUP(A632, EmployeeMaster!$A:$D, 3, FALSE)</f>
        <v>Research &amp; Development</v>
      </c>
      <c r="C632" s="8">
        <v>4775</v>
      </c>
      <c r="D632" s="8">
        <f t="shared" si="54"/>
        <v>955</v>
      </c>
      <c r="E632" s="8">
        <f t="shared" si="55"/>
        <v>573</v>
      </c>
      <c r="F632" s="8">
        <f t="shared" si="56"/>
        <v>477.5</v>
      </c>
      <c r="G632" s="8">
        <f t="shared" si="57"/>
        <v>5730</v>
      </c>
      <c r="H632" s="8">
        <f t="shared" si="58"/>
        <v>1050.5</v>
      </c>
      <c r="I632" s="10">
        <f t="shared" si="59"/>
        <v>4679.5</v>
      </c>
    </row>
    <row r="633" spans="1:9" x14ac:dyDescent="0.25">
      <c r="A633" s="6">
        <v>874</v>
      </c>
      <c r="B633" s="5" t="str">
        <f>VLOOKUP(A633, EmployeeMaster!$A:$D, 3, FALSE)</f>
        <v>Research &amp; Development</v>
      </c>
      <c r="C633" s="8">
        <v>2818</v>
      </c>
      <c r="D633" s="8">
        <f t="shared" si="54"/>
        <v>563.6</v>
      </c>
      <c r="E633" s="8">
        <f t="shared" si="55"/>
        <v>338.15999999999997</v>
      </c>
      <c r="F633" s="8">
        <f t="shared" si="56"/>
        <v>281.8</v>
      </c>
      <c r="G633" s="8">
        <f t="shared" si="57"/>
        <v>3381.6</v>
      </c>
      <c r="H633" s="8">
        <f t="shared" si="58"/>
        <v>619.96</v>
      </c>
      <c r="I633" s="10">
        <f t="shared" si="59"/>
        <v>2761.64</v>
      </c>
    </row>
    <row r="634" spans="1:9" x14ac:dyDescent="0.25">
      <c r="A634" s="6">
        <v>875</v>
      </c>
      <c r="B634" s="5" t="str">
        <f>VLOOKUP(A634, EmployeeMaster!$A:$D, 3, FALSE)</f>
        <v>Research &amp; Development</v>
      </c>
      <c r="C634" s="8">
        <v>2515</v>
      </c>
      <c r="D634" s="8">
        <f t="shared" si="54"/>
        <v>503</v>
      </c>
      <c r="E634" s="8">
        <f t="shared" si="55"/>
        <v>301.8</v>
      </c>
      <c r="F634" s="8">
        <f t="shared" si="56"/>
        <v>251.5</v>
      </c>
      <c r="G634" s="8">
        <f t="shared" si="57"/>
        <v>3018</v>
      </c>
      <c r="H634" s="8">
        <f t="shared" si="58"/>
        <v>553.29999999999995</v>
      </c>
      <c r="I634" s="10">
        <f t="shared" si="59"/>
        <v>2464.6999999999998</v>
      </c>
    </row>
    <row r="635" spans="1:9" x14ac:dyDescent="0.25">
      <c r="A635" s="6">
        <v>878</v>
      </c>
      <c r="B635" s="5" t="str">
        <f>VLOOKUP(A635, EmployeeMaster!$A:$D, 3, FALSE)</f>
        <v>Human Resources</v>
      </c>
      <c r="C635" s="8">
        <v>2342</v>
      </c>
      <c r="D635" s="8">
        <f t="shared" si="54"/>
        <v>468.40000000000003</v>
      </c>
      <c r="E635" s="8">
        <f t="shared" si="55"/>
        <v>281.03999999999996</v>
      </c>
      <c r="F635" s="8">
        <f t="shared" si="56"/>
        <v>234.20000000000002</v>
      </c>
      <c r="G635" s="8">
        <f t="shared" si="57"/>
        <v>2810.4</v>
      </c>
      <c r="H635" s="8">
        <f t="shared" si="58"/>
        <v>515.24</v>
      </c>
      <c r="I635" s="10">
        <f t="shared" si="59"/>
        <v>2295.16</v>
      </c>
    </row>
    <row r="636" spans="1:9" x14ac:dyDescent="0.25">
      <c r="A636" s="6">
        <v>879</v>
      </c>
      <c r="B636" s="5" t="str">
        <f>VLOOKUP(A636, EmployeeMaster!$A:$D, 3, FALSE)</f>
        <v>Sales</v>
      </c>
      <c r="C636" s="8">
        <v>4194</v>
      </c>
      <c r="D636" s="8">
        <f t="shared" si="54"/>
        <v>838.80000000000007</v>
      </c>
      <c r="E636" s="8">
        <f t="shared" si="55"/>
        <v>503.28</v>
      </c>
      <c r="F636" s="8">
        <f t="shared" si="56"/>
        <v>419.40000000000003</v>
      </c>
      <c r="G636" s="8">
        <f t="shared" si="57"/>
        <v>5032.8</v>
      </c>
      <c r="H636" s="8">
        <f t="shared" si="58"/>
        <v>922.68000000000006</v>
      </c>
      <c r="I636" s="10">
        <f t="shared" si="59"/>
        <v>4110.12</v>
      </c>
    </row>
    <row r="637" spans="1:9" x14ac:dyDescent="0.25">
      <c r="A637" s="6">
        <v>880</v>
      </c>
      <c r="B637" s="5" t="str">
        <f>VLOOKUP(A637, EmployeeMaster!$A:$D, 3, FALSE)</f>
        <v>Research &amp; Development</v>
      </c>
      <c r="C637" s="8">
        <v>10685</v>
      </c>
      <c r="D637" s="8">
        <f t="shared" si="54"/>
        <v>2137</v>
      </c>
      <c r="E637" s="8">
        <f t="shared" si="55"/>
        <v>1282.2</v>
      </c>
      <c r="F637" s="8">
        <f t="shared" si="56"/>
        <v>1068.5</v>
      </c>
      <c r="G637" s="8">
        <f t="shared" si="57"/>
        <v>12822</v>
      </c>
      <c r="H637" s="8">
        <f t="shared" si="58"/>
        <v>2350.6999999999998</v>
      </c>
      <c r="I637" s="10">
        <f t="shared" si="59"/>
        <v>10471.299999999999</v>
      </c>
    </row>
    <row r="638" spans="1:9" x14ac:dyDescent="0.25">
      <c r="A638" s="6">
        <v>881</v>
      </c>
      <c r="B638" s="5" t="str">
        <f>VLOOKUP(A638, EmployeeMaster!$A:$D, 3, FALSE)</f>
        <v>Research &amp; Development</v>
      </c>
      <c r="C638" s="8">
        <v>2022</v>
      </c>
      <c r="D638" s="8">
        <f t="shared" si="54"/>
        <v>404.40000000000003</v>
      </c>
      <c r="E638" s="8">
        <f t="shared" si="55"/>
        <v>242.64</v>
      </c>
      <c r="F638" s="8">
        <f t="shared" si="56"/>
        <v>202.20000000000002</v>
      </c>
      <c r="G638" s="8">
        <f t="shared" si="57"/>
        <v>2426.4</v>
      </c>
      <c r="H638" s="8">
        <f t="shared" si="58"/>
        <v>444.84000000000003</v>
      </c>
      <c r="I638" s="10">
        <f t="shared" si="59"/>
        <v>1981.56</v>
      </c>
    </row>
    <row r="639" spans="1:9" x14ac:dyDescent="0.25">
      <c r="A639" s="6">
        <v>882</v>
      </c>
      <c r="B639" s="5" t="str">
        <f>VLOOKUP(A639, EmployeeMaster!$A:$D, 3, FALSE)</f>
        <v>Research &amp; Development</v>
      </c>
      <c r="C639" s="8">
        <v>2314</v>
      </c>
      <c r="D639" s="8">
        <f t="shared" si="54"/>
        <v>462.8</v>
      </c>
      <c r="E639" s="8">
        <f t="shared" si="55"/>
        <v>277.68</v>
      </c>
      <c r="F639" s="8">
        <f t="shared" si="56"/>
        <v>231.4</v>
      </c>
      <c r="G639" s="8">
        <f t="shared" si="57"/>
        <v>2776.8</v>
      </c>
      <c r="H639" s="8">
        <f t="shared" si="58"/>
        <v>509.08000000000004</v>
      </c>
      <c r="I639" s="10">
        <f t="shared" si="59"/>
        <v>2267.7200000000003</v>
      </c>
    </row>
    <row r="640" spans="1:9" x14ac:dyDescent="0.25">
      <c r="A640" s="6">
        <v>885</v>
      </c>
      <c r="B640" s="5" t="str">
        <f>VLOOKUP(A640, EmployeeMaster!$A:$D, 3, FALSE)</f>
        <v>Sales</v>
      </c>
      <c r="C640" s="8">
        <v>4256</v>
      </c>
      <c r="D640" s="8">
        <f t="shared" si="54"/>
        <v>851.2</v>
      </c>
      <c r="E640" s="8">
        <f t="shared" si="55"/>
        <v>510.71999999999997</v>
      </c>
      <c r="F640" s="8">
        <f t="shared" si="56"/>
        <v>425.6</v>
      </c>
      <c r="G640" s="8">
        <f t="shared" si="57"/>
        <v>5107.2</v>
      </c>
      <c r="H640" s="8">
        <f t="shared" si="58"/>
        <v>936.31999999999994</v>
      </c>
      <c r="I640" s="10">
        <f t="shared" si="59"/>
        <v>4170.88</v>
      </c>
    </row>
    <row r="641" spans="1:9" x14ac:dyDescent="0.25">
      <c r="A641" s="6">
        <v>887</v>
      </c>
      <c r="B641" s="5" t="str">
        <f>VLOOKUP(A641, EmployeeMaster!$A:$D, 3, FALSE)</f>
        <v>Research &amp; Development</v>
      </c>
      <c r="C641" s="8">
        <v>3580</v>
      </c>
      <c r="D641" s="8">
        <f t="shared" si="54"/>
        <v>716</v>
      </c>
      <c r="E641" s="8">
        <f t="shared" si="55"/>
        <v>429.59999999999997</v>
      </c>
      <c r="F641" s="8">
        <f t="shared" si="56"/>
        <v>358</v>
      </c>
      <c r="G641" s="8">
        <f t="shared" si="57"/>
        <v>4296</v>
      </c>
      <c r="H641" s="8">
        <f t="shared" si="58"/>
        <v>787.59999999999991</v>
      </c>
      <c r="I641" s="10">
        <f t="shared" si="59"/>
        <v>3508.4</v>
      </c>
    </row>
    <row r="642" spans="1:9" x14ac:dyDescent="0.25">
      <c r="A642" s="6">
        <v>888</v>
      </c>
      <c r="B642" s="5" t="str">
        <f>VLOOKUP(A642, EmployeeMaster!$A:$D, 3, FALSE)</f>
        <v>Research &amp; Development</v>
      </c>
      <c r="C642" s="8">
        <v>3162</v>
      </c>
      <c r="D642" s="8">
        <f t="shared" si="54"/>
        <v>632.40000000000009</v>
      </c>
      <c r="E642" s="8">
        <f t="shared" si="55"/>
        <v>379.44</v>
      </c>
      <c r="F642" s="8">
        <f t="shared" si="56"/>
        <v>316.20000000000005</v>
      </c>
      <c r="G642" s="8">
        <f t="shared" si="57"/>
        <v>3794.4</v>
      </c>
      <c r="H642" s="8">
        <f t="shared" si="58"/>
        <v>695.6400000000001</v>
      </c>
      <c r="I642" s="10">
        <f t="shared" si="59"/>
        <v>3098.76</v>
      </c>
    </row>
    <row r="643" spans="1:9" x14ac:dyDescent="0.25">
      <c r="A643" s="6">
        <v>889</v>
      </c>
      <c r="B643" s="5" t="str">
        <f>VLOOKUP(A643, EmployeeMaster!$A:$D, 3, FALSE)</f>
        <v>Sales</v>
      </c>
      <c r="C643" s="8">
        <v>6524</v>
      </c>
      <c r="D643" s="8">
        <f t="shared" ref="D643:D706" si="60">C643*20%</f>
        <v>1304.8000000000002</v>
      </c>
      <c r="E643" s="8">
        <f t="shared" ref="E643:E706" si="61">C643*12%</f>
        <v>782.88</v>
      </c>
      <c r="F643" s="8">
        <f t="shared" ref="F643:F706" si="62">C643*10%</f>
        <v>652.40000000000009</v>
      </c>
      <c r="G643" s="8">
        <f t="shared" ref="G643:G706" si="63">C643+D643</f>
        <v>7828.8</v>
      </c>
      <c r="H643" s="8">
        <f t="shared" ref="H643:H706" si="64">E643+F643</f>
        <v>1435.2800000000002</v>
      </c>
      <c r="I643" s="10">
        <f t="shared" ref="I643:I706" si="65">G643-H643</f>
        <v>6393.52</v>
      </c>
    </row>
    <row r="644" spans="1:9" x14ac:dyDescent="0.25">
      <c r="A644" s="6">
        <v>893</v>
      </c>
      <c r="B644" s="5" t="str">
        <f>VLOOKUP(A644, EmployeeMaster!$A:$D, 3, FALSE)</f>
        <v>Sales</v>
      </c>
      <c r="C644" s="8">
        <v>2899</v>
      </c>
      <c r="D644" s="8">
        <f t="shared" si="60"/>
        <v>579.80000000000007</v>
      </c>
      <c r="E644" s="8">
        <f t="shared" si="61"/>
        <v>347.88</v>
      </c>
      <c r="F644" s="8">
        <f t="shared" si="62"/>
        <v>289.90000000000003</v>
      </c>
      <c r="G644" s="8">
        <f t="shared" si="63"/>
        <v>3478.8</v>
      </c>
      <c r="H644" s="8">
        <f t="shared" si="64"/>
        <v>637.78</v>
      </c>
      <c r="I644" s="10">
        <f t="shared" si="65"/>
        <v>2841.0200000000004</v>
      </c>
    </row>
    <row r="645" spans="1:9" x14ac:dyDescent="0.25">
      <c r="A645" s="6">
        <v>894</v>
      </c>
      <c r="B645" s="5" t="str">
        <f>VLOOKUP(A645, EmployeeMaster!$A:$D, 3, FALSE)</f>
        <v>Research &amp; Development</v>
      </c>
      <c r="C645" s="8">
        <v>5231</v>
      </c>
      <c r="D645" s="8">
        <f t="shared" si="60"/>
        <v>1046.2</v>
      </c>
      <c r="E645" s="8">
        <f t="shared" si="61"/>
        <v>627.72</v>
      </c>
      <c r="F645" s="8">
        <f t="shared" si="62"/>
        <v>523.1</v>
      </c>
      <c r="G645" s="8">
        <f t="shared" si="63"/>
        <v>6277.2</v>
      </c>
      <c r="H645" s="8">
        <f t="shared" si="64"/>
        <v>1150.8200000000002</v>
      </c>
      <c r="I645" s="10">
        <f t="shared" si="65"/>
        <v>5126.3799999999992</v>
      </c>
    </row>
    <row r="646" spans="1:9" x14ac:dyDescent="0.25">
      <c r="A646" s="6">
        <v>895</v>
      </c>
      <c r="B646" s="5" t="str">
        <f>VLOOKUP(A646, EmployeeMaster!$A:$D, 3, FALSE)</f>
        <v>Research &amp; Development</v>
      </c>
      <c r="C646" s="8">
        <v>2356</v>
      </c>
      <c r="D646" s="8">
        <f t="shared" si="60"/>
        <v>471.20000000000005</v>
      </c>
      <c r="E646" s="8">
        <f t="shared" si="61"/>
        <v>282.71999999999997</v>
      </c>
      <c r="F646" s="8">
        <f t="shared" si="62"/>
        <v>235.60000000000002</v>
      </c>
      <c r="G646" s="8">
        <f t="shared" si="63"/>
        <v>2827.2</v>
      </c>
      <c r="H646" s="8">
        <f t="shared" si="64"/>
        <v>518.31999999999994</v>
      </c>
      <c r="I646" s="10">
        <f t="shared" si="65"/>
        <v>2308.88</v>
      </c>
    </row>
    <row r="647" spans="1:9" x14ac:dyDescent="0.25">
      <c r="A647" s="6">
        <v>896</v>
      </c>
      <c r="B647" s="5" t="str">
        <f>VLOOKUP(A647, EmployeeMaster!$A:$D, 3, FALSE)</f>
        <v>Sales</v>
      </c>
      <c r="C647" s="8">
        <v>2800</v>
      </c>
      <c r="D647" s="8">
        <f t="shared" si="60"/>
        <v>560</v>
      </c>
      <c r="E647" s="8">
        <f t="shared" si="61"/>
        <v>336</v>
      </c>
      <c r="F647" s="8">
        <f t="shared" si="62"/>
        <v>280</v>
      </c>
      <c r="G647" s="8">
        <f t="shared" si="63"/>
        <v>3360</v>
      </c>
      <c r="H647" s="8">
        <f t="shared" si="64"/>
        <v>616</v>
      </c>
      <c r="I647" s="10">
        <f t="shared" si="65"/>
        <v>2744</v>
      </c>
    </row>
    <row r="648" spans="1:9" x14ac:dyDescent="0.25">
      <c r="A648" s="6">
        <v>897</v>
      </c>
      <c r="B648" s="5" t="str">
        <f>VLOOKUP(A648, EmployeeMaster!$A:$D, 3, FALSE)</f>
        <v>Sales</v>
      </c>
      <c r="C648" s="8">
        <v>11836</v>
      </c>
      <c r="D648" s="8">
        <f t="shared" si="60"/>
        <v>2367.2000000000003</v>
      </c>
      <c r="E648" s="8">
        <f t="shared" si="61"/>
        <v>1420.32</v>
      </c>
      <c r="F648" s="8">
        <f t="shared" si="62"/>
        <v>1183.6000000000001</v>
      </c>
      <c r="G648" s="8">
        <f t="shared" si="63"/>
        <v>14203.2</v>
      </c>
      <c r="H648" s="8">
        <f t="shared" si="64"/>
        <v>2603.92</v>
      </c>
      <c r="I648" s="10">
        <f t="shared" si="65"/>
        <v>11599.28</v>
      </c>
    </row>
    <row r="649" spans="1:9" x14ac:dyDescent="0.25">
      <c r="A649" s="6">
        <v>899</v>
      </c>
      <c r="B649" s="5" t="str">
        <f>VLOOKUP(A649, EmployeeMaster!$A:$D, 3, FALSE)</f>
        <v>Research &amp; Development</v>
      </c>
      <c r="C649" s="8">
        <v>10903</v>
      </c>
      <c r="D649" s="8">
        <f t="shared" si="60"/>
        <v>2180.6</v>
      </c>
      <c r="E649" s="8">
        <f t="shared" si="61"/>
        <v>1308.3599999999999</v>
      </c>
      <c r="F649" s="8">
        <f t="shared" si="62"/>
        <v>1090.3</v>
      </c>
      <c r="G649" s="8">
        <f t="shared" si="63"/>
        <v>13083.6</v>
      </c>
      <c r="H649" s="8">
        <f t="shared" si="64"/>
        <v>2398.66</v>
      </c>
      <c r="I649" s="10">
        <f t="shared" si="65"/>
        <v>10684.94</v>
      </c>
    </row>
    <row r="650" spans="1:9" x14ac:dyDescent="0.25">
      <c r="A650" s="6">
        <v>900</v>
      </c>
      <c r="B650" s="5" t="str">
        <f>VLOOKUP(A650, EmployeeMaster!$A:$D, 3, FALSE)</f>
        <v>Sales</v>
      </c>
      <c r="C650" s="8">
        <v>2973</v>
      </c>
      <c r="D650" s="8">
        <f t="shared" si="60"/>
        <v>594.6</v>
      </c>
      <c r="E650" s="8">
        <f t="shared" si="61"/>
        <v>356.76</v>
      </c>
      <c r="F650" s="8">
        <f t="shared" si="62"/>
        <v>297.3</v>
      </c>
      <c r="G650" s="8">
        <f t="shared" si="63"/>
        <v>3567.6</v>
      </c>
      <c r="H650" s="8">
        <f t="shared" si="64"/>
        <v>654.05999999999995</v>
      </c>
      <c r="I650" s="10">
        <f t="shared" si="65"/>
        <v>2913.54</v>
      </c>
    </row>
    <row r="651" spans="1:9" x14ac:dyDescent="0.25">
      <c r="A651" s="6">
        <v>901</v>
      </c>
      <c r="B651" s="5" t="str">
        <f>VLOOKUP(A651, EmployeeMaster!$A:$D, 3, FALSE)</f>
        <v>Research &amp; Development</v>
      </c>
      <c r="C651" s="8">
        <v>14275</v>
      </c>
      <c r="D651" s="8">
        <f t="shared" si="60"/>
        <v>2855</v>
      </c>
      <c r="E651" s="8">
        <f t="shared" si="61"/>
        <v>1713</v>
      </c>
      <c r="F651" s="8">
        <f t="shared" si="62"/>
        <v>1427.5</v>
      </c>
      <c r="G651" s="8">
        <f t="shared" si="63"/>
        <v>17130</v>
      </c>
      <c r="H651" s="8">
        <f t="shared" si="64"/>
        <v>3140.5</v>
      </c>
      <c r="I651" s="10">
        <f t="shared" si="65"/>
        <v>13989.5</v>
      </c>
    </row>
    <row r="652" spans="1:9" x14ac:dyDescent="0.25">
      <c r="A652" s="6">
        <v>902</v>
      </c>
      <c r="B652" s="5" t="str">
        <f>VLOOKUP(A652, EmployeeMaster!$A:$D, 3, FALSE)</f>
        <v>Research &amp; Development</v>
      </c>
      <c r="C652" s="8">
        <v>5562</v>
      </c>
      <c r="D652" s="8">
        <f t="shared" si="60"/>
        <v>1112.4000000000001</v>
      </c>
      <c r="E652" s="8">
        <f t="shared" si="61"/>
        <v>667.43999999999994</v>
      </c>
      <c r="F652" s="8">
        <f t="shared" si="62"/>
        <v>556.20000000000005</v>
      </c>
      <c r="G652" s="8">
        <f t="shared" si="63"/>
        <v>6674.4</v>
      </c>
      <c r="H652" s="8">
        <f t="shared" si="64"/>
        <v>1223.6399999999999</v>
      </c>
      <c r="I652" s="10">
        <f t="shared" si="65"/>
        <v>5450.76</v>
      </c>
    </row>
    <row r="653" spans="1:9" x14ac:dyDescent="0.25">
      <c r="A653" s="6">
        <v>903</v>
      </c>
      <c r="B653" s="5" t="str">
        <f>VLOOKUP(A653, EmployeeMaster!$A:$D, 3, FALSE)</f>
        <v>Sales</v>
      </c>
      <c r="C653" s="8">
        <v>4537</v>
      </c>
      <c r="D653" s="8">
        <f t="shared" si="60"/>
        <v>907.40000000000009</v>
      </c>
      <c r="E653" s="8">
        <f t="shared" si="61"/>
        <v>544.43999999999994</v>
      </c>
      <c r="F653" s="8">
        <f t="shared" si="62"/>
        <v>453.70000000000005</v>
      </c>
      <c r="G653" s="8">
        <f t="shared" si="63"/>
        <v>5444.4</v>
      </c>
      <c r="H653" s="8">
        <f t="shared" si="64"/>
        <v>998.14</v>
      </c>
      <c r="I653" s="10">
        <f t="shared" si="65"/>
        <v>4446.2599999999993</v>
      </c>
    </row>
    <row r="654" spans="1:9" x14ac:dyDescent="0.25">
      <c r="A654" s="6">
        <v>904</v>
      </c>
      <c r="B654" s="5" t="str">
        <f>VLOOKUP(A654, EmployeeMaster!$A:$D, 3, FALSE)</f>
        <v>Sales</v>
      </c>
      <c r="C654" s="8">
        <v>7642</v>
      </c>
      <c r="D654" s="8">
        <f t="shared" si="60"/>
        <v>1528.4</v>
      </c>
      <c r="E654" s="8">
        <f t="shared" si="61"/>
        <v>917.04</v>
      </c>
      <c r="F654" s="8">
        <f t="shared" si="62"/>
        <v>764.2</v>
      </c>
      <c r="G654" s="8">
        <f t="shared" si="63"/>
        <v>9170.4</v>
      </c>
      <c r="H654" s="8">
        <f t="shared" si="64"/>
        <v>1681.24</v>
      </c>
      <c r="I654" s="10">
        <f t="shared" si="65"/>
        <v>7489.16</v>
      </c>
    </row>
    <row r="655" spans="1:9" x14ac:dyDescent="0.25">
      <c r="A655" s="6">
        <v>905</v>
      </c>
      <c r="B655" s="5" t="str">
        <f>VLOOKUP(A655, EmployeeMaster!$A:$D, 3, FALSE)</f>
        <v>Research &amp; Development</v>
      </c>
      <c r="C655" s="8">
        <v>17924</v>
      </c>
      <c r="D655" s="8">
        <f t="shared" si="60"/>
        <v>3584.8</v>
      </c>
      <c r="E655" s="8">
        <f t="shared" si="61"/>
        <v>2150.88</v>
      </c>
      <c r="F655" s="8">
        <f t="shared" si="62"/>
        <v>1792.4</v>
      </c>
      <c r="G655" s="8">
        <f t="shared" si="63"/>
        <v>21508.799999999999</v>
      </c>
      <c r="H655" s="8">
        <f t="shared" si="64"/>
        <v>3943.28</v>
      </c>
      <c r="I655" s="10">
        <f t="shared" si="65"/>
        <v>17565.52</v>
      </c>
    </row>
    <row r="656" spans="1:9" x14ac:dyDescent="0.25">
      <c r="A656" s="6">
        <v>909</v>
      </c>
      <c r="B656" s="5" t="str">
        <f>VLOOKUP(A656, EmployeeMaster!$A:$D, 3, FALSE)</f>
        <v>Human Resources</v>
      </c>
      <c r="C656" s="8">
        <v>5204</v>
      </c>
      <c r="D656" s="8">
        <f t="shared" si="60"/>
        <v>1040.8</v>
      </c>
      <c r="E656" s="8">
        <f t="shared" si="61"/>
        <v>624.48</v>
      </c>
      <c r="F656" s="8">
        <f t="shared" si="62"/>
        <v>520.4</v>
      </c>
      <c r="G656" s="8">
        <f t="shared" si="63"/>
        <v>6244.8</v>
      </c>
      <c r="H656" s="8">
        <f t="shared" si="64"/>
        <v>1144.8800000000001</v>
      </c>
      <c r="I656" s="10">
        <f t="shared" si="65"/>
        <v>5099.92</v>
      </c>
    </row>
    <row r="657" spans="1:9" x14ac:dyDescent="0.25">
      <c r="A657" s="6">
        <v>910</v>
      </c>
      <c r="B657" s="5" t="str">
        <f>VLOOKUP(A657, EmployeeMaster!$A:$D, 3, FALSE)</f>
        <v>Human Resources</v>
      </c>
      <c r="C657" s="8">
        <v>2277</v>
      </c>
      <c r="D657" s="8">
        <f t="shared" si="60"/>
        <v>455.40000000000003</v>
      </c>
      <c r="E657" s="8">
        <f t="shared" si="61"/>
        <v>273.24</v>
      </c>
      <c r="F657" s="8">
        <f t="shared" si="62"/>
        <v>227.70000000000002</v>
      </c>
      <c r="G657" s="8">
        <f t="shared" si="63"/>
        <v>2732.4</v>
      </c>
      <c r="H657" s="8">
        <f t="shared" si="64"/>
        <v>500.94000000000005</v>
      </c>
      <c r="I657" s="10">
        <f t="shared" si="65"/>
        <v>2231.46</v>
      </c>
    </row>
    <row r="658" spans="1:9" x14ac:dyDescent="0.25">
      <c r="A658" s="6">
        <v>911</v>
      </c>
      <c r="B658" s="5" t="str">
        <f>VLOOKUP(A658, EmployeeMaster!$A:$D, 3, FALSE)</f>
        <v>Research &amp; Development</v>
      </c>
      <c r="C658" s="8">
        <v>2795</v>
      </c>
      <c r="D658" s="8">
        <f t="shared" si="60"/>
        <v>559</v>
      </c>
      <c r="E658" s="8">
        <f t="shared" si="61"/>
        <v>335.4</v>
      </c>
      <c r="F658" s="8">
        <f t="shared" si="62"/>
        <v>279.5</v>
      </c>
      <c r="G658" s="8">
        <f t="shared" si="63"/>
        <v>3354</v>
      </c>
      <c r="H658" s="8">
        <f t="shared" si="64"/>
        <v>614.9</v>
      </c>
      <c r="I658" s="10">
        <f t="shared" si="65"/>
        <v>2739.1</v>
      </c>
    </row>
    <row r="659" spans="1:9" x14ac:dyDescent="0.25">
      <c r="A659" s="6">
        <v>912</v>
      </c>
      <c r="B659" s="5" t="str">
        <f>VLOOKUP(A659, EmployeeMaster!$A:$D, 3, FALSE)</f>
        <v>Research &amp; Development</v>
      </c>
      <c r="C659" s="8">
        <v>2532</v>
      </c>
      <c r="D659" s="8">
        <f t="shared" si="60"/>
        <v>506.40000000000003</v>
      </c>
      <c r="E659" s="8">
        <f t="shared" si="61"/>
        <v>303.83999999999997</v>
      </c>
      <c r="F659" s="8">
        <f t="shared" si="62"/>
        <v>253.20000000000002</v>
      </c>
      <c r="G659" s="8">
        <f t="shared" si="63"/>
        <v>3038.4</v>
      </c>
      <c r="H659" s="8">
        <f t="shared" si="64"/>
        <v>557.04</v>
      </c>
      <c r="I659" s="10">
        <f t="shared" si="65"/>
        <v>2481.36</v>
      </c>
    </row>
    <row r="660" spans="1:9" x14ac:dyDescent="0.25">
      <c r="A660" s="6">
        <v>913</v>
      </c>
      <c r="B660" s="5" t="str">
        <f>VLOOKUP(A660, EmployeeMaster!$A:$D, 3, FALSE)</f>
        <v>Research &amp; Development</v>
      </c>
      <c r="C660" s="8">
        <v>2559</v>
      </c>
      <c r="D660" s="8">
        <f t="shared" si="60"/>
        <v>511.8</v>
      </c>
      <c r="E660" s="8">
        <f t="shared" si="61"/>
        <v>307.08</v>
      </c>
      <c r="F660" s="8">
        <f t="shared" si="62"/>
        <v>255.9</v>
      </c>
      <c r="G660" s="8">
        <f t="shared" si="63"/>
        <v>3070.8</v>
      </c>
      <c r="H660" s="8">
        <f t="shared" si="64"/>
        <v>562.98</v>
      </c>
      <c r="I660" s="10">
        <f t="shared" si="65"/>
        <v>2507.8200000000002</v>
      </c>
    </row>
    <row r="661" spans="1:9" x14ac:dyDescent="0.25">
      <c r="A661" s="6">
        <v>916</v>
      </c>
      <c r="B661" s="5" t="str">
        <f>VLOOKUP(A661, EmployeeMaster!$A:$D, 3, FALSE)</f>
        <v>Sales</v>
      </c>
      <c r="C661" s="8">
        <v>4908</v>
      </c>
      <c r="D661" s="8">
        <f t="shared" si="60"/>
        <v>981.6</v>
      </c>
      <c r="E661" s="8">
        <f t="shared" si="61"/>
        <v>588.95999999999992</v>
      </c>
      <c r="F661" s="8">
        <f t="shared" si="62"/>
        <v>490.8</v>
      </c>
      <c r="G661" s="8">
        <f t="shared" si="63"/>
        <v>5889.6</v>
      </c>
      <c r="H661" s="8">
        <f t="shared" si="64"/>
        <v>1079.76</v>
      </c>
      <c r="I661" s="10">
        <f t="shared" si="65"/>
        <v>4809.84</v>
      </c>
    </row>
    <row r="662" spans="1:9" x14ac:dyDescent="0.25">
      <c r="A662" s="6">
        <v>918</v>
      </c>
      <c r="B662" s="5" t="str">
        <f>VLOOKUP(A662, EmployeeMaster!$A:$D, 3, FALSE)</f>
        <v>Research &amp; Development</v>
      </c>
      <c r="C662" s="8">
        <v>2380</v>
      </c>
      <c r="D662" s="8">
        <f t="shared" si="60"/>
        <v>476</v>
      </c>
      <c r="E662" s="8">
        <f t="shared" si="61"/>
        <v>285.59999999999997</v>
      </c>
      <c r="F662" s="8">
        <f t="shared" si="62"/>
        <v>238</v>
      </c>
      <c r="G662" s="8">
        <f t="shared" si="63"/>
        <v>2856</v>
      </c>
      <c r="H662" s="8">
        <f t="shared" si="64"/>
        <v>523.59999999999991</v>
      </c>
      <c r="I662" s="10">
        <f t="shared" si="65"/>
        <v>2332.4</v>
      </c>
    </row>
    <row r="663" spans="1:9" x14ac:dyDescent="0.25">
      <c r="A663" s="6">
        <v>920</v>
      </c>
      <c r="B663" s="5" t="str">
        <f>VLOOKUP(A663, EmployeeMaster!$A:$D, 3, FALSE)</f>
        <v>Research &amp; Development</v>
      </c>
      <c r="C663" s="8">
        <v>4765</v>
      </c>
      <c r="D663" s="8">
        <f t="shared" si="60"/>
        <v>953</v>
      </c>
      <c r="E663" s="8">
        <f t="shared" si="61"/>
        <v>571.79999999999995</v>
      </c>
      <c r="F663" s="8">
        <f t="shared" si="62"/>
        <v>476.5</v>
      </c>
      <c r="G663" s="8">
        <f t="shared" si="63"/>
        <v>5718</v>
      </c>
      <c r="H663" s="8">
        <f t="shared" si="64"/>
        <v>1048.3</v>
      </c>
      <c r="I663" s="10">
        <f t="shared" si="65"/>
        <v>4669.7</v>
      </c>
    </row>
    <row r="664" spans="1:9" x14ac:dyDescent="0.25">
      <c r="A664" s="6">
        <v>922</v>
      </c>
      <c r="B664" s="5" t="str">
        <f>VLOOKUP(A664, EmployeeMaster!$A:$D, 3, FALSE)</f>
        <v>Sales</v>
      </c>
      <c r="C664" s="8">
        <v>2044</v>
      </c>
      <c r="D664" s="8">
        <f t="shared" si="60"/>
        <v>408.8</v>
      </c>
      <c r="E664" s="8">
        <f t="shared" si="61"/>
        <v>245.28</v>
      </c>
      <c r="F664" s="8">
        <f t="shared" si="62"/>
        <v>204.4</v>
      </c>
      <c r="G664" s="8">
        <f t="shared" si="63"/>
        <v>2452.8000000000002</v>
      </c>
      <c r="H664" s="8">
        <f t="shared" si="64"/>
        <v>449.68</v>
      </c>
      <c r="I664" s="10">
        <f t="shared" si="65"/>
        <v>2003.1200000000001</v>
      </c>
    </row>
    <row r="665" spans="1:9" x14ac:dyDescent="0.25">
      <c r="A665" s="6">
        <v>923</v>
      </c>
      <c r="B665" s="5" t="str">
        <f>VLOOKUP(A665, EmployeeMaster!$A:$D, 3, FALSE)</f>
        <v>Research &amp; Development</v>
      </c>
      <c r="C665" s="8">
        <v>2693</v>
      </c>
      <c r="D665" s="8">
        <f t="shared" si="60"/>
        <v>538.6</v>
      </c>
      <c r="E665" s="8">
        <f t="shared" si="61"/>
        <v>323.15999999999997</v>
      </c>
      <c r="F665" s="8">
        <f t="shared" si="62"/>
        <v>269.3</v>
      </c>
      <c r="G665" s="8">
        <f t="shared" si="63"/>
        <v>3231.6</v>
      </c>
      <c r="H665" s="8">
        <f t="shared" si="64"/>
        <v>592.46</v>
      </c>
      <c r="I665" s="10">
        <f t="shared" si="65"/>
        <v>2639.14</v>
      </c>
    </row>
    <row r="666" spans="1:9" x14ac:dyDescent="0.25">
      <c r="A666" s="6">
        <v>924</v>
      </c>
      <c r="B666" s="5" t="str">
        <f>VLOOKUP(A666, EmployeeMaster!$A:$D, 3, FALSE)</f>
        <v>Research &amp; Development</v>
      </c>
      <c r="C666" s="8">
        <v>6586</v>
      </c>
      <c r="D666" s="8">
        <f t="shared" si="60"/>
        <v>1317.2</v>
      </c>
      <c r="E666" s="8">
        <f t="shared" si="61"/>
        <v>790.31999999999994</v>
      </c>
      <c r="F666" s="8">
        <f t="shared" si="62"/>
        <v>658.6</v>
      </c>
      <c r="G666" s="8">
        <f t="shared" si="63"/>
        <v>7903.2</v>
      </c>
      <c r="H666" s="8">
        <f t="shared" si="64"/>
        <v>1448.92</v>
      </c>
      <c r="I666" s="10">
        <f t="shared" si="65"/>
        <v>6454.28</v>
      </c>
    </row>
    <row r="667" spans="1:9" x14ac:dyDescent="0.25">
      <c r="A667" s="6">
        <v>925</v>
      </c>
      <c r="B667" s="5" t="str">
        <f>VLOOKUP(A667, EmployeeMaster!$A:$D, 3, FALSE)</f>
        <v>Sales</v>
      </c>
      <c r="C667" s="8">
        <v>3294</v>
      </c>
      <c r="D667" s="8">
        <f t="shared" si="60"/>
        <v>658.80000000000007</v>
      </c>
      <c r="E667" s="8">
        <f t="shared" si="61"/>
        <v>395.28</v>
      </c>
      <c r="F667" s="8">
        <f t="shared" si="62"/>
        <v>329.40000000000003</v>
      </c>
      <c r="G667" s="8">
        <f t="shared" si="63"/>
        <v>3952.8</v>
      </c>
      <c r="H667" s="8">
        <f t="shared" si="64"/>
        <v>724.68000000000006</v>
      </c>
      <c r="I667" s="10">
        <f t="shared" si="65"/>
        <v>3228.12</v>
      </c>
    </row>
    <row r="668" spans="1:9" x14ac:dyDescent="0.25">
      <c r="A668" s="6">
        <v>926</v>
      </c>
      <c r="B668" s="5" t="str">
        <f>VLOOKUP(A668, EmployeeMaster!$A:$D, 3, FALSE)</f>
        <v>Research &amp; Development</v>
      </c>
      <c r="C668" s="8">
        <v>4171</v>
      </c>
      <c r="D668" s="8">
        <f t="shared" si="60"/>
        <v>834.2</v>
      </c>
      <c r="E668" s="8">
        <f t="shared" si="61"/>
        <v>500.52</v>
      </c>
      <c r="F668" s="8">
        <f t="shared" si="62"/>
        <v>417.1</v>
      </c>
      <c r="G668" s="8">
        <f t="shared" si="63"/>
        <v>5005.2</v>
      </c>
      <c r="H668" s="8">
        <f t="shared" si="64"/>
        <v>917.62</v>
      </c>
      <c r="I668" s="10">
        <f t="shared" si="65"/>
        <v>4087.58</v>
      </c>
    </row>
    <row r="669" spans="1:9" x14ac:dyDescent="0.25">
      <c r="A669" s="6">
        <v>927</v>
      </c>
      <c r="B669" s="5" t="str">
        <f>VLOOKUP(A669, EmployeeMaster!$A:$D, 3, FALSE)</f>
        <v>Research &amp; Development</v>
      </c>
      <c r="C669" s="8">
        <v>2778</v>
      </c>
      <c r="D669" s="8">
        <f t="shared" si="60"/>
        <v>555.6</v>
      </c>
      <c r="E669" s="8">
        <f t="shared" si="61"/>
        <v>333.36</v>
      </c>
      <c r="F669" s="8">
        <f t="shared" si="62"/>
        <v>277.8</v>
      </c>
      <c r="G669" s="8">
        <f t="shared" si="63"/>
        <v>3333.6</v>
      </c>
      <c r="H669" s="8">
        <f t="shared" si="64"/>
        <v>611.16000000000008</v>
      </c>
      <c r="I669" s="10">
        <f t="shared" si="65"/>
        <v>2722.4399999999996</v>
      </c>
    </row>
    <row r="670" spans="1:9" x14ac:dyDescent="0.25">
      <c r="A670" s="6">
        <v>930</v>
      </c>
      <c r="B670" s="5" t="str">
        <f>VLOOKUP(A670, EmployeeMaster!$A:$D, 3, FALSE)</f>
        <v>Research &amp; Development</v>
      </c>
      <c r="C670" s="8">
        <v>2377</v>
      </c>
      <c r="D670" s="8">
        <f t="shared" si="60"/>
        <v>475.40000000000003</v>
      </c>
      <c r="E670" s="8">
        <f t="shared" si="61"/>
        <v>285.24</v>
      </c>
      <c r="F670" s="8">
        <f t="shared" si="62"/>
        <v>237.70000000000002</v>
      </c>
      <c r="G670" s="8">
        <f t="shared" si="63"/>
        <v>2852.4</v>
      </c>
      <c r="H670" s="8">
        <f t="shared" si="64"/>
        <v>522.94000000000005</v>
      </c>
      <c r="I670" s="10">
        <f t="shared" si="65"/>
        <v>2329.46</v>
      </c>
    </row>
    <row r="671" spans="1:9" x14ac:dyDescent="0.25">
      <c r="A671" s="6">
        <v>932</v>
      </c>
      <c r="B671" s="5" t="str">
        <f>VLOOKUP(A671, EmployeeMaster!$A:$D, 3, FALSE)</f>
        <v>Research &amp; Development</v>
      </c>
      <c r="C671" s="8">
        <v>2404</v>
      </c>
      <c r="D671" s="8">
        <f t="shared" si="60"/>
        <v>480.8</v>
      </c>
      <c r="E671" s="8">
        <f t="shared" si="61"/>
        <v>288.47999999999996</v>
      </c>
      <c r="F671" s="8">
        <f t="shared" si="62"/>
        <v>240.4</v>
      </c>
      <c r="G671" s="8">
        <f t="shared" si="63"/>
        <v>2884.8</v>
      </c>
      <c r="H671" s="8">
        <f t="shared" si="64"/>
        <v>528.88</v>
      </c>
      <c r="I671" s="10">
        <f t="shared" si="65"/>
        <v>2355.92</v>
      </c>
    </row>
    <row r="672" spans="1:9" x14ac:dyDescent="0.25">
      <c r="A672" s="6">
        <v>933</v>
      </c>
      <c r="B672" s="5" t="str">
        <f>VLOOKUP(A672, EmployeeMaster!$A:$D, 3, FALSE)</f>
        <v>Research &amp; Development</v>
      </c>
      <c r="C672" s="8">
        <v>2318</v>
      </c>
      <c r="D672" s="8">
        <f t="shared" si="60"/>
        <v>463.6</v>
      </c>
      <c r="E672" s="8">
        <f t="shared" si="61"/>
        <v>278.15999999999997</v>
      </c>
      <c r="F672" s="8">
        <f t="shared" si="62"/>
        <v>231.8</v>
      </c>
      <c r="G672" s="8">
        <f t="shared" si="63"/>
        <v>2781.6</v>
      </c>
      <c r="H672" s="8">
        <f t="shared" si="64"/>
        <v>509.96</v>
      </c>
      <c r="I672" s="10">
        <f t="shared" si="65"/>
        <v>2271.64</v>
      </c>
    </row>
    <row r="673" spans="1:9" x14ac:dyDescent="0.25">
      <c r="A673" s="6">
        <v>934</v>
      </c>
      <c r="B673" s="5" t="str">
        <f>VLOOKUP(A673, EmployeeMaster!$A:$D, 3, FALSE)</f>
        <v>Research &amp; Development</v>
      </c>
      <c r="C673" s="8">
        <v>2008</v>
      </c>
      <c r="D673" s="8">
        <f t="shared" si="60"/>
        <v>401.6</v>
      </c>
      <c r="E673" s="8">
        <f t="shared" si="61"/>
        <v>240.95999999999998</v>
      </c>
      <c r="F673" s="8">
        <f t="shared" si="62"/>
        <v>200.8</v>
      </c>
      <c r="G673" s="8">
        <f t="shared" si="63"/>
        <v>2409.6</v>
      </c>
      <c r="H673" s="8">
        <f t="shared" si="64"/>
        <v>441.76</v>
      </c>
      <c r="I673" s="10">
        <f t="shared" si="65"/>
        <v>1967.84</v>
      </c>
    </row>
    <row r="674" spans="1:9" x14ac:dyDescent="0.25">
      <c r="A674" s="6">
        <v>936</v>
      </c>
      <c r="B674" s="5" t="str">
        <f>VLOOKUP(A674, EmployeeMaster!$A:$D, 3, FALSE)</f>
        <v>Sales</v>
      </c>
      <c r="C674" s="8">
        <v>6244</v>
      </c>
      <c r="D674" s="8">
        <f t="shared" si="60"/>
        <v>1248.8000000000002</v>
      </c>
      <c r="E674" s="8">
        <f t="shared" si="61"/>
        <v>749.28</v>
      </c>
      <c r="F674" s="8">
        <f t="shared" si="62"/>
        <v>624.40000000000009</v>
      </c>
      <c r="G674" s="8">
        <f t="shared" si="63"/>
        <v>7492.8</v>
      </c>
      <c r="H674" s="8">
        <f t="shared" si="64"/>
        <v>1373.68</v>
      </c>
      <c r="I674" s="10">
        <f t="shared" si="65"/>
        <v>6119.12</v>
      </c>
    </row>
    <row r="675" spans="1:9" x14ac:dyDescent="0.25">
      <c r="A675" s="6">
        <v>939</v>
      </c>
      <c r="B675" s="5" t="str">
        <f>VLOOKUP(A675, EmployeeMaster!$A:$D, 3, FALSE)</f>
        <v>Research &amp; Development</v>
      </c>
      <c r="C675" s="8">
        <v>2799</v>
      </c>
      <c r="D675" s="8">
        <f t="shared" si="60"/>
        <v>559.80000000000007</v>
      </c>
      <c r="E675" s="8">
        <f t="shared" si="61"/>
        <v>335.88</v>
      </c>
      <c r="F675" s="8">
        <f t="shared" si="62"/>
        <v>279.90000000000003</v>
      </c>
      <c r="G675" s="8">
        <f t="shared" si="63"/>
        <v>3358.8</v>
      </c>
      <c r="H675" s="8">
        <f t="shared" si="64"/>
        <v>615.78</v>
      </c>
      <c r="I675" s="10">
        <f t="shared" si="65"/>
        <v>2743.0200000000004</v>
      </c>
    </row>
    <row r="676" spans="1:9" x14ac:dyDescent="0.25">
      <c r="A676" s="6">
        <v>940</v>
      </c>
      <c r="B676" s="5" t="str">
        <f>VLOOKUP(A676, EmployeeMaster!$A:$D, 3, FALSE)</f>
        <v>Research &amp; Development</v>
      </c>
      <c r="C676" s="8">
        <v>10552</v>
      </c>
      <c r="D676" s="8">
        <f t="shared" si="60"/>
        <v>2110.4</v>
      </c>
      <c r="E676" s="8">
        <f t="shared" si="61"/>
        <v>1266.24</v>
      </c>
      <c r="F676" s="8">
        <f t="shared" si="62"/>
        <v>1055.2</v>
      </c>
      <c r="G676" s="8">
        <f t="shared" si="63"/>
        <v>12662.4</v>
      </c>
      <c r="H676" s="8">
        <f t="shared" si="64"/>
        <v>2321.44</v>
      </c>
      <c r="I676" s="10">
        <f t="shared" si="65"/>
        <v>10340.959999999999</v>
      </c>
    </row>
    <row r="677" spans="1:9" x14ac:dyDescent="0.25">
      <c r="A677" s="6">
        <v>941</v>
      </c>
      <c r="B677" s="5" t="str">
        <f>VLOOKUP(A677, EmployeeMaster!$A:$D, 3, FALSE)</f>
        <v>Sales</v>
      </c>
      <c r="C677" s="8">
        <v>2329</v>
      </c>
      <c r="D677" s="8">
        <f t="shared" si="60"/>
        <v>465.8</v>
      </c>
      <c r="E677" s="8">
        <f t="shared" si="61"/>
        <v>279.47999999999996</v>
      </c>
      <c r="F677" s="8">
        <f t="shared" si="62"/>
        <v>232.9</v>
      </c>
      <c r="G677" s="8">
        <f t="shared" si="63"/>
        <v>2794.8</v>
      </c>
      <c r="H677" s="8">
        <f t="shared" si="64"/>
        <v>512.38</v>
      </c>
      <c r="I677" s="10">
        <f t="shared" si="65"/>
        <v>2282.42</v>
      </c>
    </row>
    <row r="678" spans="1:9" x14ac:dyDescent="0.25">
      <c r="A678" s="6">
        <v>942</v>
      </c>
      <c r="B678" s="5" t="str">
        <f>VLOOKUP(A678, EmployeeMaster!$A:$D, 3, FALSE)</f>
        <v>Research &amp; Development</v>
      </c>
      <c r="C678" s="8">
        <v>4014</v>
      </c>
      <c r="D678" s="8">
        <f t="shared" si="60"/>
        <v>802.80000000000007</v>
      </c>
      <c r="E678" s="8">
        <f t="shared" si="61"/>
        <v>481.68</v>
      </c>
      <c r="F678" s="8">
        <f t="shared" si="62"/>
        <v>401.40000000000003</v>
      </c>
      <c r="G678" s="8">
        <f t="shared" si="63"/>
        <v>4816.8</v>
      </c>
      <c r="H678" s="8">
        <f t="shared" si="64"/>
        <v>883.08</v>
      </c>
      <c r="I678" s="10">
        <f t="shared" si="65"/>
        <v>3933.7200000000003</v>
      </c>
    </row>
    <row r="679" spans="1:9" x14ac:dyDescent="0.25">
      <c r="A679" s="6">
        <v>944</v>
      </c>
      <c r="B679" s="5" t="str">
        <f>VLOOKUP(A679, EmployeeMaster!$A:$D, 3, FALSE)</f>
        <v>Research &amp; Development</v>
      </c>
      <c r="C679" s="8">
        <v>7403</v>
      </c>
      <c r="D679" s="8">
        <f t="shared" si="60"/>
        <v>1480.6000000000001</v>
      </c>
      <c r="E679" s="8">
        <f t="shared" si="61"/>
        <v>888.36</v>
      </c>
      <c r="F679" s="8">
        <f t="shared" si="62"/>
        <v>740.30000000000007</v>
      </c>
      <c r="G679" s="8">
        <f t="shared" si="63"/>
        <v>8883.6</v>
      </c>
      <c r="H679" s="8">
        <f t="shared" si="64"/>
        <v>1628.66</v>
      </c>
      <c r="I679" s="10">
        <f t="shared" si="65"/>
        <v>7254.9400000000005</v>
      </c>
    </row>
    <row r="680" spans="1:9" x14ac:dyDescent="0.25">
      <c r="A680" s="6">
        <v>945</v>
      </c>
      <c r="B680" s="5" t="str">
        <f>VLOOKUP(A680, EmployeeMaster!$A:$D, 3, FALSE)</f>
        <v>Research &amp; Development</v>
      </c>
      <c r="C680" s="8">
        <v>2259</v>
      </c>
      <c r="D680" s="8">
        <f t="shared" si="60"/>
        <v>451.8</v>
      </c>
      <c r="E680" s="8">
        <f t="shared" si="61"/>
        <v>271.08</v>
      </c>
      <c r="F680" s="8">
        <f t="shared" si="62"/>
        <v>225.9</v>
      </c>
      <c r="G680" s="8">
        <f t="shared" si="63"/>
        <v>2710.8</v>
      </c>
      <c r="H680" s="8">
        <f t="shared" si="64"/>
        <v>496.98</v>
      </c>
      <c r="I680" s="10">
        <f t="shared" si="65"/>
        <v>2213.8200000000002</v>
      </c>
    </row>
    <row r="681" spans="1:9" x14ac:dyDescent="0.25">
      <c r="A681" s="6">
        <v>947</v>
      </c>
      <c r="B681" s="5" t="str">
        <f>VLOOKUP(A681, EmployeeMaster!$A:$D, 3, FALSE)</f>
        <v>Sales</v>
      </c>
      <c r="C681" s="8">
        <v>6932</v>
      </c>
      <c r="D681" s="8">
        <f t="shared" si="60"/>
        <v>1386.4</v>
      </c>
      <c r="E681" s="8">
        <f t="shared" si="61"/>
        <v>831.83999999999992</v>
      </c>
      <c r="F681" s="8">
        <f t="shared" si="62"/>
        <v>693.2</v>
      </c>
      <c r="G681" s="8">
        <f t="shared" si="63"/>
        <v>8318.4</v>
      </c>
      <c r="H681" s="8">
        <f t="shared" si="64"/>
        <v>1525.04</v>
      </c>
      <c r="I681" s="10">
        <f t="shared" si="65"/>
        <v>6793.36</v>
      </c>
    </row>
    <row r="682" spans="1:9" x14ac:dyDescent="0.25">
      <c r="A682" s="6">
        <v>949</v>
      </c>
      <c r="B682" s="5" t="str">
        <f>VLOOKUP(A682, EmployeeMaster!$A:$D, 3, FALSE)</f>
        <v>Research &amp; Development</v>
      </c>
      <c r="C682" s="8">
        <v>4678</v>
      </c>
      <c r="D682" s="8">
        <f t="shared" si="60"/>
        <v>935.6</v>
      </c>
      <c r="E682" s="8">
        <f t="shared" si="61"/>
        <v>561.36</v>
      </c>
      <c r="F682" s="8">
        <f t="shared" si="62"/>
        <v>467.8</v>
      </c>
      <c r="G682" s="8">
        <f t="shared" si="63"/>
        <v>5613.6</v>
      </c>
      <c r="H682" s="8">
        <f t="shared" si="64"/>
        <v>1029.1600000000001</v>
      </c>
      <c r="I682" s="10">
        <f t="shared" si="65"/>
        <v>4584.4400000000005</v>
      </c>
    </row>
    <row r="683" spans="1:9" x14ac:dyDescent="0.25">
      <c r="A683" s="6">
        <v>950</v>
      </c>
      <c r="B683" s="5" t="str">
        <f>VLOOKUP(A683, EmployeeMaster!$A:$D, 3, FALSE)</f>
        <v>Research &amp; Development</v>
      </c>
      <c r="C683" s="8">
        <v>13582</v>
      </c>
      <c r="D683" s="8">
        <f t="shared" si="60"/>
        <v>2716.4</v>
      </c>
      <c r="E683" s="8">
        <f t="shared" si="61"/>
        <v>1629.84</v>
      </c>
      <c r="F683" s="8">
        <f t="shared" si="62"/>
        <v>1358.2</v>
      </c>
      <c r="G683" s="8">
        <f t="shared" si="63"/>
        <v>16298.4</v>
      </c>
      <c r="H683" s="8">
        <f t="shared" si="64"/>
        <v>2988.04</v>
      </c>
      <c r="I683" s="10">
        <f t="shared" si="65"/>
        <v>13310.36</v>
      </c>
    </row>
    <row r="684" spans="1:9" x14ac:dyDescent="0.25">
      <c r="A684" s="6">
        <v>951</v>
      </c>
      <c r="B684" s="5" t="str">
        <f>VLOOKUP(A684, EmployeeMaster!$A:$D, 3, FALSE)</f>
        <v>Research &amp; Development</v>
      </c>
      <c r="C684" s="8">
        <v>2332</v>
      </c>
      <c r="D684" s="8">
        <f t="shared" si="60"/>
        <v>466.40000000000003</v>
      </c>
      <c r="E684" s="8">
        <f t="shared" si="61"/>
        <v>279.83999999999997</v>
      </c>
      <c r="F684" s="8">
        <f t="shared" si="62"/>
        <v>233.20000000000002</v>
      </c>
      <c r="G684" s="8">
        <f t="shared" si="63"/>
        <v>2798.4</v>
      </c>
      <c r="H684" s="8">
        <f t="shared" si="64"/>
        <v>513.04</v>
      </c>
      <c r="I684" s="10">
        <f t="shared" si="65"/>
        <v>2285.36</v>
      </c>
    </row>
    <row r="685" spans="1:9" x14ac:dyDescent="0.25">
      <c r="A685" s="6">
        <v>952</v>
      </c>
      <c r="B685" s="5" t="str">
        <f>VLOOKUP(A685, EmployeeMaster!$A:$D, 3, FALSE)</f>
        <v>Sales</v>
      </c>
      <c r="C685" s="8">
        <v>2413</v>
      </c>
      <c r="D685" s="8">
        <f t="shared" si="60"/>
        <v>482.6</v>
      </c>
      <c r="E685" s="8">
        <f t="shared" si="61"/>
        <v>289.56</v>
      </c>
      <c r="F685" s="8">
        <f t="shared" si="62"/>
        <v>241.3</v>
      </c>
      <c r="G685" s="8">
        <f t="shared" si="63"/>
        <v>2895.6</v>
      </c>
      <c r="H685" s="8">
        <f t="shared" si="64"/>
        <v>530.86</v>
      </c>
      <c r="I685" s="10">
        <f t="shared" si="65"/>
        <v>2364.7399999999998</v>
      </c>
    </row>
    <row r="686" spans="1:9" x14ac:dyDescent="0.25">
      <c r="A686" s="6">
        <v>954</v>
      </c>
      <c r="B686" s="5" t="str">
        <f>VLOOKUP(A686, EmployeeMaster!$A:$D, 3, FALSE)</f>
        <v>Sales</v>
      </c>
      <c r="C686" s="8">
        <v>9705</v>
      </c>
      <c r="D686" s="8">
        <f t="shared" si="60"/>
        <v>1941</v>
      </c>
      <c r="E686" s="8">
        <f t="shared" si="61"/>
        <v>1164.5999999999999</v>
      </c>
      <c r="F686" s="8">
        <f t="shared" si="62"/>
        <v>970.5</v>
      </c>
      <c r="G686" s="8">
        <f t="shared" si="63"/>
        <v>11646</v>
      </c>
      <c r="H686" s="8">
        <f t="shared" si="64"/>
        <v>2135.1</v>
      </c>
      <c r="I686" s="10">
        <f t="shared" si="65"/>
        <v>9510.9</v>
      </c>
    </row>
    <row r="687" spans="1:9" x14ac:dyDescent="0.25">
      <c r="A687" s="6">
        <v>956</v>
      </c>
      <c r="B687" s="5" t="str">
        <f>VLOOKUP(A687, EmployeeMaster!$A:$D, 3, FALSE)</f>
        <v>Sales</v>
      </c>
      <c r="C687" s="8">
        <v>4294</v>
      </c>
      <c r="D687" s="8">
        <f t="shared" si="60"/>
        <v>858.80000000000007</v>
      </c>
      <c r="E687" s="8">
        <f t="shared" si="61"/>
        <v>515.28</v>
      </c>
      <c r="F687" s="8">
        <f t="shared" si="62"/>
        <v>429.40000000000003</v>
      </c>
      <c r="G687" s="8">
        <f t="shared" si="63"/>
        <v>5152.8</v>
      </c>
      <c r="H687" s="8">
        <f t="shared" si="64"/>
        <v>944.68000000000006</v>
      </c>
      <c r="I687" s="10">
        <f t="shared" si="65"/>
        <v>4208.12</v>
      </c>
    </row>
    <row r="688" spans="1:9" x14ac:dyDescent="0.25">
      <c r="A688" s="6">
        <v>957</v>
      </c>
      <c r="B688" s="5" t="str">
        <f>VLOOKUP(A688, EmployeeMaster!$A:$D, 3, FALSE)</f>
        <v>Research &amp; Development</v>
      </c>
      <c r="C688" s="8">
        <v>4721</v>
      </c>
      <c r="D688" s="8">
        <f t="shared" si="60"/>
        <v>944.2</v>
      </c>
      <c r="E688" s="8">
        <f t="shared" si="61"/>
        <v>566.52</v>
      </c>
      <c r="F688" s="8">
        <f t="shared" si="62"/>
        <v>472.1</v>
      </c>
      <c r="G688" s="8">
        <f t="shared" si="63"/>
        <v>5665.2</v>
      </c>
      <c r="H688" s="8">
        <f t="shared" si="64"/>
        <v>1038.6199999999999</v>
      </c>
      <c r="I688" s="10">
        <f t="shared" si="65"/>
        <v>4626.58</v>
      </c>
    </row>
    <row r="689" spans="1:9" x14ac:dyDescent="0.25">
      <c r="A689" s="6">
        <v>958</v>
      </c>
      <c r="B689" s="5" t="str">
        <f>VLOOKUP(A689, EmployeeMaster!$A:$D, 3, FALSE)</f>
        <v>Research &amp; Development</v>
      </c>
      <c r="C689" s="8">
        <v>2519</v>
      </c>
      <c r="D689" s="8">
        <f t="shared" si="60"/>
        <v>503.8</v>
      </c>
      <c r="E689" s="8">
        <f t="shared" si="61"/>
        <v>302.27999999999997</v>
      </c>
      <c r="F689" s="8">
        <f t="shared" si="62"/>
        <v>251.9</v>
      </c>
      <c r="G689" s="8">
        <f t="shared" si="63"/>
        <v>3022.8</v>
      </c>
      <c r="H689" s="8">
        <f t="shared" si="64"/>
        <v>554.17999999999995</v>
      </c>
      <c r="I689" s="10">
        <f t="shared" si="65"/>
        <v>2468.6200000000003</v>
      </c>
    </row>
    <row r="690" spans="1:9" x14ac:dyDescent="0.25">
      <c r="A690" s="6">
        <v>959</v>
      </c>
      <c r="B690" s="5" t="str">
        <f>VLOOKUP(A690, EmployeeMaster!$A:$D, 3, FALSE)</f>
        <v>Sales</v>
      </c>
      <c r="C690" s="8">
        <v>2121</v>
      </c>
      <c r="D690" s="8">
        <f t="shared" si="60"/>
        <v>424.20000000000005</v>
      </c>
      <c r="E690" s="8">
        <f t="shared" si="61"/>
        <v>254.51999999999998</v>
      </c>
      <c r="F690" s="8">
        <f t="shared" si="62"/>
        <v>212.10000000000002</v>
      </c>
      <c r="G690" s="8">
        <f t="shared" si="63"/>
        <v>2545.1999999999998</v>
      </c>
      <c r="H690" s="8">
        <f t="shared" si="64"/>
        <v>466.62</v>
      </c>
      <c r="I690" s="10">
        <f t="shared" si="65"/>
        <v>2078.58</v>
      </c>
    </row>
    <row r="691" spans="1:9" x14ac:dyDescent="0.25">
      <c r="A691" s="6">
        <v>960</v>
      </c>
      <c r="B691" s="5" t="str">
        <f>VLOOKUP(A691, EmployeeMaster!$A:$D, 3, FALSE)</f>
        <v>Research &amp; Development</v>
      </c>
      <c r="C691" s="8">
        <v>2973</v>
      </c>
      <c r="D691" s="8">
        <f t="shared" si="60"/>
        <v>594.6</v>
      </c>
      <c r="E691" s="8">
        <f t="shared" si="61"/>
        <v>356.76</v>
      </c>
      <c r="F691" s="8">
        <f t="shared" si="62"/>
        <v>297.3</v>
      </c>
      <c r="G691" s="8">
        <f t="shared" si="63"/>
        <v>3567.6</v>
      </c>
      <c r="H691" s="8">
        <f t="shared" si="64"/>
        <v>654.05999999999995</v>
      </c>
      <c r="I691" s="10">
        <f t="shared" si="65"/>
        <v>2913.54</v>
      </c>
    </row>
    <row r="692" spans="1:9" x14ac:dyDescent="0.25">
      <c r="A692" s="6">
        <v>961</v>
      </c>
      <c r="B692" s="5" t="str">
        <f>VLOOKUP(A692, EmployeeMaster!$A:$D, 3, FALSE)</f>
        <v>Research &amp; Development</v>
      </c>
      <c r="C692" s="8">
        <v>5855</v>
      </c>
      <c r="D692" s="8">
        <f t="shared" si="60"/>
        <v>1171</v>
      </c>
      <c r="E692" s="8">
        <f t="shared" si="61"/>
        <v>702.6</v>
      </c>
      <c r="F692" s="8">
        <f t="shared" si="62"/>
        <v>585.5</v>
      </c>
      <c r="G692" s="8">
        <f t="shared" si="63"/>
        <v>7026</v>
      </c>
      <c r="H692" s="8">
        <f t="shared" si="64"/>
        <v>1288.0999999999999</v>
      </c>
      <c r="I692" s="10">
        <f t="shared" si="65"/>
        <v>5737.9</v>
      </c>
    </row>
    <row r="693" spans="1:9" x14ac:dyDescent="0.25">
      <c r="A693" s="6">
        <v>964</v>
      </c>
      <c r="B693" s="5" t="str">
        <f>VLOOKUP(A693, EmployeeMaster!$A:$D, 3, FALSE)</f>
        <v>Research &amp; Development</v>
      </c>
      <c r="C693" s="8">
        <v>3617</v>
      </c>
      <c r="D693" s="8">
        <f t="shared" si="60"/>
        <v>723.40000000000009</v>
      </c>
      <c r="E693" s="8">
        <f t="shared" si="61"/>
        <v>434.03999999999996</v>
      </c>
      <c r="F693" s="8">
        <f t="shared" si="62"/>
        <v>361.70000000000005</v>
      </c>
      <c r="G693" s="8">
        <f t="shared" si="63"/>
        <v>4340.3999999999996</v>
      </c>
      <c r="H693" s="8">
        <f t="shared" si="64"/>
        <v>795.74</v>
      </c>
      <c r="I693" s="10">
        <f t="shared" si="65"/>
        <v>3544.66</v>
      </c>
    </row>
    <row r="694" spans="1:9" x14ac:dyDescent="0.25">
      <c r="A694" s="6">
        <v>966</v>
      </c>
      <c r="B694" s="5" t="str">
        <f>VLOOKUP(A694, EmployeeMaster!$A:$D, 3, FALSE)</f>
        <v>Research &amp; Development</v>
      </c>
      <c r="C694" s="8">
        <v>6725</v>
      </c>
      <c r="D694" s="8">
        <f t="shared" si="60"/>
        <v>1345</v>
      </c>
      <c r="E694" s="8">
        <f t="shared" si="61"/>
        <v>807</v>
      </c>
      <c r="F694" s="8">
        <f t="shared" si="62"/>
        <v>672.5</v>
      </c>
      <c r="G694" s="8">
        <f t="shared" si="63"/>
        <v>8070</v>
      </c>
      <c r="H694" s="8">
        <f t="shared" si="64"/>
        <v>1479.5</v>
      </c>
      <c r="I694" s="10">
        <f t="shared" si="65"/>
        <v>6590.5</v>
      </c>
    </row>
    <row r="695" spans="1:9" x14ac:dyDescent="0.25">
      <c r="A695" s="6">
        <v>967</v>
      </c>
      <c r="B695" s="5" t="str">
        <f>VLOOKUP(A695, EmployeeMaster!$A:$D, 3, FALSE)</f>
        <v>Sales</v>
      </c>
      <c r="C695" s="8">
        <v>10325</v>
      </c>
      <c r="D695" s="8">
        <f t="shared" si="60"/>
        <v>2065</v>
      </c>
      <c r="E695" s="8">
        <f t="shared" si="61"/>
        <v>1239</v>
      </c>
      <c r="F695" s="8">
        <f t="shared" si="62"/>
        <v>1032.5</v>
      </c>
      <c r="G695" s="8">
        <f t="shared" si="63"/>
        <v>12390</v>
      </c>
      <c r="H695" s="8">
        <f t="shared" si="64"/>
        <v>2271.5</v>
      </c>
      <c r="I695" s="10">
        <f t="shared" si="65"/>
        <v>10118.5</v>
      </c>
    </row>
    <row r="696" spans="1:9" x14ac:dyDescent="0.25">
      <c r="A696" s="6">
        <v>969</v>
      </c>
      <c r="B696" s="5" t="str">
        <f>VLOOKUP(A696, EmployeeMaster!$A:$D, 3, FALSE)</f>
        <v>Research &amp; Development</v>
      </c>
      <c r="C696" s="8">
        <v>6949</v>
      </c>
      <c r="D696" s="8">
        <f t="shared" si="60"/>
        <v>1389.8000000000002</v>
      </c>
      <c r="E696" s="8">
        <f t="shared" si="61"/>
        <v>833.88</v>
      </c>
      <c r="F696" s="8">
        <f t="shared" si="62"/>
        <v>694.90000000000009</v>
      </c>
      <c r="G696" s="8">
        <f t="shared" si="63"/>
        <v>8338.7999999999993</v>
      </c>
      <c r="H696" s="8">
        <f t="shared" si="64"/>
        <v>1528.7800000000002</v>
      </c>
      <c r="I696" s="10">
        <f t="shared" si="65"/>
        <v>6810.0199999999986</v>
      </c>
    </row>
    <row r="697" spans="1:9" x14ac:dyDescent="0.25">
      <c r="A697" s="6">
        <v>970</v>
      </c>
      <c r="B697" s="5" t="str">
        <f>VLOOKUP(A697, EmployeeMaster!$A:$D, 3, FALSE)</f>
        <v>Sales</v>
      </c>
      <c r="C697" s="8">
        <v>10609</v>
      </c>
      <c r="D697" s="8">
        <f t="shared" si="60"/>
        <v>2121.8000000000002</v>
      </c>
      <c r="E697" s="8">
        <f t="shared" si="61"/>
        <v>1273.08</v>
      </c>
      <c r="F697" s="8">
        <f t="shared" si="62"/>
        <v>1060.9000000000001</v>
      </c>
      <c r="G697" s="8">
        <f t="shared" si="63"/>
        <v>12730.8</v>
      </c>
      <c r="H697" s="8">
        <f t="shared" si="64"/>
        <v>2333.98</v>
      </c>
      <c r="I697" s="10">
        <f t="shared" si="65"/>
        <v>10396.82</v>
      </c>
    </row>
    <row r="698" spans="1:9" x14ac:dyDescent="0.25">
      <c r="A698" s="6">
        <v>972</v>
      </c>
      <c r="B698" s="5" t="str">
        <f>VLOOKUP(A698, EmployeeMaster!$A:$D, 3, FALSE)</f>
        <v>Research &amp; Development</v>
      </c>
      <c r="C698" s="8">
        <v>4447</v>
      </c>
      <c r="D698" s="8">
        <f t="shared" si="60"/>
        <v>889.40000000000009</v>
      </c>
      <c r="E698" s="8">
        <f t="shared" si="61"/>
        <v>533.64</v>
      </c>
      <c r="F698" s="8">
        <f t="shared" si="62"/>
        <v>444.70000000000005</v>
      </c>
      <c r="G698" s="8">
        <f t="shared" si="63"/>
        <v>5336.4</v>
      </c>
      <c r="H698" s="8">
        <f t="shared" si="64"/>
        <v>978.34</v>
      </c>
      <c r="I698" s="10">
        <f t="shared" si="65"/>
        <v>4358.0599999999995</v>
      </c>
    </row>
    <row r="699" spans="1:9" x14ac:dyDescent="0.25">
      <c r="A699" s="6">
        <v>974</v>
      </c>
      <c r="B699" s="5" t="str">
        <f>VLOOKUP(A699, EmployeeMaster!$A:$D, 3, FALSE)</f>
        <v>Sales</v>
      </c>
      <c r="C699" s="8">
        <v>2157</v>
      </c>
      <c r="D699" s="8">
        <f t="shared" si="60"/>
        <v>431.40000000000003</v>
      </c>
      <c r="E699" s="8">
        <f t="shared" si="61"/>
        <v>258.83999999999997</v>
      </c>
      <c r="F699" s="8">
        <f t="shared" si="62"/>
        <v>215.70000000000002</v>
      </c>
      <c r="G699" s="8">
        <f t="shared" si="63"/>
        <v>2588.4</v>
      </c>
      <c r="H699" s="8">
        <f t="shared" si="64"/>
        <v>474.53999999999996</v>
      </c>
      <c r="I699" s="10">
        <f t="shared" si="65"/>
        <v>2113.86</v>
      </c>
    </row>
    <row r="700" spans="1:9" x14ac:dyDescent="0.25">
      <c r="A700" s="6">
        <v>975</v>
      </c>
      <c r="B700" s="5" t="str">
        <f>VLOOKUP(A700, EmployeeMaster!$A:$D, 3, FALSE)</f>
        <v>Sales</v>
      </c>
      <c r="C700" s="8">
        <v>4601</v>
      </c>
      <c r="D700" s="8">
        <f t="shared" si="60"/>
        <v>920.2</v>
      </c>
      <c r="E700" s="8">
        <f t="shared" si="61"/>
        <v>552.12</v>
      </c>
      <c r="F700" s="8">
        <f t="shared" si="62"/>
        <v>460.1</v>
      </c>
      <c r="G700" s="8">
        <f t="shared" si="63"/>
        <v>5521.2</v>
      </c>
      <c r="H700" s="8">
        <f t="shared" si="64"/>
        <v>1012.22</v>
      </c>
      <c r="I700" s="10">
        <f t="shared" si="65"/>
        <v>4508.9799999999996</v>
      </c>
    </row>
    <row r="701" spans="1:9" x14ac:dyDescent="0.25">
      <c r="A701" s="6">
        <v>976</v>
      </c>
      <c r="B701" s="5" t="str">
        <f>VLOOKUP(A701, EmployeeMaster!$A:$D, 3, FALSE)</f>
        <v>Research &amp; Development</v>
      </c>
      <c r="C701" s="8">
        <v>17099</v>
      </c>
      <c r="D701" s="8">
        <f t="shared" si="60"/>
        <v>3419.8</v>
      </c>
      <c r="E701" s="8">
        <f t="shared" si="61"/>
        <v>2051.88</v>
      </c>
      <c r="F701" s="8">
        <f t="shared" si="62"/>
        <v>1709.9</v>
      </c>
      <c r="G701" s="8">
        <f t="shared" si="63"/>
        <v>20518.8</v>
      </c>
      <c r="H701" s="8">
        <f t="shared" si="64"/>
        <v>3761.78</v>
      </c>
      <c r="I701" s="10">
        <f t="shared" si="65"/>
        <v>16757.02</v>
      </c>
    </row>
    <row r="702" spans="1:9" x14ac:dyDescent="0.25">
      <c r="A702" s="6">
        <v>977</v>
      </c>
      <c r="B702" s="5" t="str">
        <f>VLOOKUP(A702, EmployeeMaster!$A:$D, 3, FALSE)</f>
        <v>Research &amp; Development</v>
      </c>
      <c r="C702" s="8">
        <v>2479</v>
      </c>
      <c r="D702" s="8">
        <f t="shared" si="60"/>
        <v>495.8</v>
      </c>
      <c r="E702" s="8">
        <f t="shared" si="61"/>
        <v>297.47999999999996</v>
      </c>
      <c r="F702" s="8">
        <f t="shared" si="62"/>
        <v>247.9</v>
      </c>
      <c r="G702" s="8">
        <f t="shared" si="63"/>
        <v>2974.8</v>
      </c>
      <c r="H702" s="8">
        <f t="shared" si="64"/>
        <v>545.38</v>
      </c>
      <c r="I702" s="10">
        <f t="shared" si="65"/>
        <v>2429.42</v>
      </c>
    </row>
    <row r="703" spans="1:9" x14ac:dyDescent="0.25">
      <c r="A703" s="6">
        <v>981</v>
      </c>
      <c r="B703" s="5" t="str">
        <f>VLOOKUP(A703, EmployeeMaster!$A:$D, 3, FALSE)</f>
        <v>Sales</v>
      </c>
      <c r="C703" s="8">
        <v>14852</v>
      </c>
      <c r="D703" s="8">
        <f t="shared" si="60"/>
        <v>2970.4</v>
      </c>
      <c r="E703" s="8">
        <f t="shared" si="61"/>
        <v>1782.24</v>
      </c>
      <c r="F703" s="8">
        <f t="shared" si="62"/>
        <v>1485.2</v>
      </c>
      <c r="G703" s="8">
        <f t="shared" si="63"/>
        <v>17822.400000000001</v>
      </c>
      <c r="H703" s="8">
        <f t="shared" si="64"/>
        <v>3267.44</v>
      </c>
      <c r="I703" s="10">
        <f t="shared" si="65"/>
        <v>14554.960000000001</v>
      </c>
    </row>
    <row r="704" spans="1:9" x14ac:dyDescent="0.25">
      <c r="A704" s="6">
        <v>982</v>
      </c>
      <c r="B704" s="5" t="str">
        <f>VLOOKUP(A704, EmployeeMaster!$A:$D, 3, FALSE)</f>
        <v>Sales</v>
      </c>
      <c r="C704" s="8">
        <v>7264</v>
      </c>
      <c r="D704" s="8">
        <f t="shared" si="60"/>
        <v>1452.8000000000002</v>
      </c>
      <c r="E704" s="8">
        <f t="shared" si="61"/>
        <v>871.68</v>
      </c>
      <c r="F704" s="8">
        <f t="shared" si="62"/>
        <v>726.40000000000009</v>
      </c>
      <c r="G704" s="8">
        <f t="shared" si="63"/>
        <v>8716.7999999999993</v>
      </c>
      <c r="H704" s="8">
        <f t="shared" si="64"/>
        <v>1598.08</v>
      </c>
      <c r="I704" s="10">
        <f t="shared" si="65"/>
        <v>7118.7199999999993</v>
      </c>
    </row>
    <row r="705" spans="1:9" x14ac:dyDescent="0.25">
      <c r="A705" s="6">
        <v>983</v>
      </c>
      <c r="B705" s="5" t="str">
        <f>VLOOKUP(A705, EmployeeMaster!$A:$D, 3, FALSE)</f>
        <v>Sales</v>
      </c>
      <c r="C705" s="8">
        <v>5666</v>
      </c>
      <c r="D705" s="8">
        <f t="shared" si="60"/>
        <v>1133.2</v>
      </c>
      <c r="E705" s="8">
        <f t="shared" si="61"/>
        <v>679.92</v>
      </c>
      <c r="F705" s="8">
        <f t="shared" si="62"/>
        <v>566.6</v>
      </c>
      <c r="G705" s="8">
        <f t="shared" si="63"/>
        <v>6799.2</v>
      </c>
      <c r="H705" s="8">
        <f t="shared" si="64"/>
        <v>1246.52</v>
      </c>
      <c r="I705" s="10">
        <f t="shared" si="65"/>
        <v>5552.68</v>
      </c>
    </row>
    <row r="706" spans="1:9" x14ac:dyDescent="0.25">
      <c r="A706" s="6">
        <v>984</v>
      </c>
      <c r="B706" s="5" t="str">
        <f>VLOOKUP(A706, EmployeeMaster!$A:$D, 3, FALSE)</f>
        <v>Sales</v>
      </c>
      <c r="C706" s="8">
        <v>7823</v>
      </c>
      <c r="D706" s="8">
        <f t="shared" si="60"/>
        <v>1564.6000000000001</v>
      </c>
      <c r="E706" s="8">
        <f t="shared" si="61"/>
        <v>938.76</v>
      </c>
      <c r="F706" s="8">
        <f t="shared" si="62"/>
        <v>782.30000000000007</v>
      </c>
      <c r="G706" s="8">
        <f t="shared" si="63"/>
        <v>9387.6</v>
      </c>
      <c r="H706" s="8">
        <f t="shared" si="64"/>
        <v>1721.06</v>
      </c>
      <c r="I706" s="10">
        <f t="shared" si="65"/>
        <v>7666.5400000000009</v>
      </c>
    </row>
    <row r="707" spans="1:9" x14ac:dyDescent="0.25">
      <c r="A707" s="6">
        <v>985</v>
      </c>
      <c r="B707" s="5" t="str">
        <f>VLOOKUP(A707, EmployeeMaster!$A:$D, 3, FALSE)</f>
        <v>Sales</v>
      </c>
      <c r="C707" s="8">
        <v>7880</v>
      </c>
      <c r="D707" s="8">
        <f t="shared" ref="D707:D770" si="66">C707*20%</f>
        <v>1576</v>
      </c>
      <c r="E707" s="8">
        <f t="shared" ref="E707:E770" si="67">C707*12%</f>
        <v>945.59999999999991</v>
      </c>
      <c r="F707" s="8">
        <f t="shared" ref="F707:F770" si="68">C707*10%</f>
        <v>788</v>
      </c>
      <c r="G707" s="8">
        <f t="shared" ref="G707:G770" si="69">C707+D707</f>
        <v>9456</v>
      </c>
      <c r="H707" s="8">
        <f t="shared" ref="H707:H770" si="70">E707+F707</f>
        <v>1733.6</v>
      </c>
      <c r="I707" s="10">
        <f t="shared" ref="I707:I770" si="71">G707-H707</f>
        <v>7722.4</v>
      </c>
    </row>
    <row r="708" spans="1:9" x14ac:dyDescent="0.25">
      <c r="A708" s="6">
        <v>986</v>
      </c>
      <c r="B708" s="5" t="str">
        <f>VLOOKUP(A708, EmployeeMaster!$A:$D, 3, FALSE)</f>
        <v>Sales</v>
      </c>
      <c r="C708" s="8">
        <v>13194</v>
      </c>
      <c r="D708" s="8">
        <f t="shared" si="66"/>
        <v>2638.8</v>
      </c>
      <c r="E708" s="8">
        <f t="shared" si="67"/>
        <v>1583.28</v>
      </c>
      <c r="F708" s="8">
        <f t="shared" si="68"/>
        <v>1319.4</v>
      </c>
      <c r="G708" s="8">
        <f t="shared" si="69"/>
        <v>15832.8</v>
      </c>
      <c r="H708" s="8">
        <f t="shared" si="70"/>
        <v>2902.6800000000003</v>
      </c>
      <c r="I708" s="10">
        <f t="shared" si="71"/>
        <v>12930.119999999999</v>
      </c>
    </row>
    <row r="709" spans="1:9" x14ac:dyDescent="0.25">
      <c r="A709" s="6">
        <v>987</v>
      </c>
      <c r="B709" s="5" t="str">
        <f>VLOOKUP(A709, EmployeeMaster!$A:$D, 3, FALSE)</f>
        <v>Research &amp; Development</v>
      </c>
      <c r="C709" s="8">
        <v>5067</v>
      </c>
      <c r="D709" s="8">
        <f t="shared" si="66"/>
        <v>1013.4000000000001</v>
      </c>
      <c r="E709" s="8">
        <f t="shared" si="67"/>
        <v>608.04</v>
      </c>
      <c r="F709" s="8">
        <f t="shared" si="68"/>
        <v>506.70000000000005</v>
      </c>
      <c r="G709" s="8">
        <f t="shared" si="69"/>
        <v>6080.4</v>
      </c>
      <c r="H709" s="8">
        <f t="shared" si="70"/>
        <v>1114.74</v>
      </c>
      <c r="I709" s="10">
        <f t="shared" si="71"/>
        <v>4965.66</v>
      </c>
    </row>
    <row r="710" spans="1:9" x14ac:dyDescent="0.25">
      <c r="A710" s="6">
        <v>990</v>
      </c>
      <c r="B710" s="5" t="str">
        <f>VLOOKUP(A710, EmployeeMaster!$A:$D, 3, FALSE)</f>
        <v>Sales</v>
      </c>
      <c r="C710" s="8">
        <v>5079</v>
      </c>
      <c r="D710" s="8">
        <f t="shared" si="66"/>
        <v>1015.8000000000001</v>
      </c>
      <c r="E710" s="8">
        <f t="shared" si="67"/>
        <v>609.48</v>
      </c>
      <c r="F710" s="8">
        <f t="shared" si="68"/>
        <v>507.90000000000003</v>
      </c>
      <c r="G710" s="8">
        <f t="shared" si="69"/>
        <v>6094.8</v>
      </c>
      <c r="H710" s="8">
        <f t="shared" si="70"/>
        <v>1117.3800000000001</v>
      </c>
      <c r="I710" s="10">
        <f t="shared" si="71"/>
        <v>4977.42</v>
      </c>
    </row>
    <row r="711" spans="1:9" x14ac:dyDescent="0.25">
      <c r="A711" s="6">
        <v>991</v>
      </c>
      <c r="B711" s="5" t="str">
        <f>VLOOKUP(A711, EmployeeMaster!$A:$D, 3, FALSE)</f>
        <v>Research &amp; Development</v>
      </c>
      <c r="C711" s="8">
        <v>2321</v>
      </c>
      <c r="D711" s="8">
        <f t="shared" si="66"/>
        <v>464.20000000000005</v>
      </c>
      <c r="E711" s="8">
        <f t="shared" si="67"/>
        <v>278.52</v>
      </c>
      <c r="F711" s="8">
        <f t="shared" si="68"/>
        <v>232.10000000000002</v>
      </c>
      <c r="G711" s="8">
        <f t="shared" si="69"/>
        <v>2785.2</v>
      </c>
      <c r="H711" s="8">
        <f t="shared" si="70"/>
        <v>510.62</v>
      </c>
      <c r="I711" s="10">
        <f t="shared" si="71"/>
        <v>2274.58</v>
      </c>
    </row>
    <row r="712" spans="1:9" x14ac:dyDescent="0.25">
      <c r="A712" s="6">
        <v>992</v>
      </c>
      <c r="B712" s="5" t="str">
        <f>VLOOKUP(A712, EmployeeMaster!$A:$D, 3, FALSE)</f>
        <v>Sales</v>
      </c>
      <c r="C712" s="8">
        <v>17444</v>
      </c>
      <c r="D712" s="8">
        <f t="shared" si="66"/>
        <v>3488.8</v>
      </c>
      <c r="E712" s="8">
        <f t="shared" si="67"/>
        <v>2093.2799999999997</v>
      </c>
      <c r="F712" s="8">
        <f t="shared" si="68"/>
        <v>1744.4</v>
      </c>
      <c r="G712" s="8">
        <f t="shared" si="69"/>
        <v>20932.8</v>
      </c>
      <c r="H712" s="8">
        <f t="shared" si="70"/>
        <v>3837.68</v>
      </c>
      <c r="I712" s="10">
        <f t="shared" si="71"/>
        <v>17095.12</v>
      </c>
    </row>
    <row r="713" spans="1:9" x14ac:dyDescent="0.25">
      <c r="A713" s="6">
        <v>994</v>
      </c>
      <c r="B713" s="5" t="str">
        <f>VLOOKUP(A713, EmployeeMaster!$A:$D, 3, FALSE)</f>
        <v>Research &amp; Development</v>
      </c>
      <c r="C713" s="8">
        <v>2404</v>
      </c>
      <c r="D713" s="8">
        <f t="shared" si="66"/>
        <v>480.8</v>
      </c>
      <c r="E713" s="8">
        <f t="shared" si="67"/>
        <v>288.47999999999996</v>
      </c>
      <c r="F713" s="8">
        <f t="shared" si="68"/>
        <v>240.4</v>
      </c>
      <c r="G713" s="8">
        <f t="shared" si="69"/>
        <v>2884.8</v>
      </c>
      <c r="H713" s="8">
        <f t="shared" si="70"/>
        <v>528.88</v>
      </c>
      <c r="I713" s="10">
        <f t="shared" si="71"/>
        <v>2355.92</v>
      </c>
    </row>
    <row r="714" spans="1:9" x14ac:dyDescent="0.25">
      <c r="A714" s="6">
        <v>995</v>
      </c>
      <c r="B714" s="5" t="str">
        <f>VLOOKUP(A714, EmployeeMaster!$A:$D, 3, FALSE)</f>
        <v>Research &amp; Development</v>
      </c>
      <c r="C714" s="8">
        <v>3452</v>
      </c>
      <c r="D714" s="8">
        <f t="shared" si="66"/>
        <v>690.40000000000009</v>
      </c>
      <c r="E714" s="8">
        <f t="shared" si="67"/>
        <v>414.24</v>
      </c>
      <c r="F714" s="8">
        <f t="shared" si="68"/>
        <v>345.20000000000005</v>
      </c>
      <c r="G714" s="8">
        <f t="shared" si="69"/>
        <v>4142.3999999999996</v>
      </c>
      <c r="H714" s="8">
        <f t="shared" si="70"/>
        <v>759.44</v>
      </c>
      <c r="I714" s="10">
        <f t="shared" si="71"/>
        <v>3382.9599999999996</v>
      </c>
    </row>
    <row r="715" spans="1:9" x14ac:dyDescent="0.25">
      <c r="A715" s="6">
        <v>996</v>
      </c>
      <c r="B715" s="5" t="str">
        <f>VLOOKUP(A715, EmployeeMaster!$A:$D, 3, FALSE)</f>
        <v>Research &amp; Development</v>
      </c>
      <c r="C715" s="8">
        <v>2270</v>
      </c>
      <c r="D715" s="8">
        <f t="shared" si="66"/>
        <v>454</v>
      </c>
      <c r="E715" s="8">
        <f t="shared" si="67"/>
        <v>272.39999999999998</v>
      </c>
      <c r="F715" s="8">
        <f t="shared" si="68"/>
        <v>227</v>
      </c>
      <c r="G715" s="8">
        <f t="shared" si="69"/>
        <v>2724</v>
      </c>
      <c r="H715" s="8">
        <f t="shared" si="70"/>
        <v>499.4</v>
      </c>
      <c r="I715" s="10">
        <f t="shared" si="71"/>
        <v>2224.6</v>
      </c>
    </row>
    <row r="716" spans="1:9" x14ac:dyDescent="0.25">
      <c r="A716" s="6">
        <v>997</v>
      </c>
      <c r="B716" s="5" t="str">
        <f>VLOOKUP(A716, EmployeeMaster!$A:$D, 3, FALSE)</f>
        <v>Research &amp; Development</v>
      </c>
      <c r="C716" s="8">
        <v>17399</v>
      </c>
      <c r="D716" s="8">
        <f t="shared" si="66"/>
        <v>3479.8</v>
      </c>
      <c r="E716" s="8">
        <f t="shared" si="67"/>
        <v>2087.88</v>
      </c>
      <c r="F716" s="8">
        <f t="shared" si="68"/>
        <v>1739.9</v>
      </c>
      <c r="G716" s="8">
        <f t="shared" si="69"/>
        <v>20878.8</v>
      </c>
      <c r="H716" s="8">
        <f t="shared" si="70"/>
        <v>3827.78</v>
      </c>
      <c r="I716" s="10">
        <f t="shared" si="71"/>
        <v>17051.02</v>
      </c>
    </row>
    <row r="717" spans="1:9" x14ac:dyDescent="0.25">
      <c r="A717" s="6">
        <v>998</v>
      </c>
      <c r="B717" s="5" t="str">
        <f>VLOOKUP(A717, EmployeeMaster!$A:$D, 3, FALSE)</f>
        <v>Research &amp; Development</v>
      </c>
      <c r="C717" s="8">
        <v>5488</v>
      </c>
      <c r="D717" s="8">
        <f t="shared" si="66"/>
        <v>1097.6000000000001</v>
      </c>
      <c r="E717" s="8">
        <f t="shared" si="67"/>
        <v>658.56</v>
      </c>
      <c r="F717" s="8">
        <f t="shared" si="68"/>
        <v>548.80000000000007</v>
      </c>
      <c r="G717" s="8">
        <f t="shared" si="69"/>
        <v>6585.6</v>
      </c>
      <c r="H717" s="8">
        <f t="shared" si="70"/>
        <v>1207.3600000000001</v>
      </c>
      <c r="I717" s="10">
        <f t="shared" si="71"/>
        <v>5378.24</v>
      </c>
    </row>
    <row r="718" spans="1:9" x14ac:dyDescent="0.25">
      <c r="A718" s="6">
        <v>999</v>
      </c>
      <c r="B718" s="5" t="str">
        <f>VLOOKUP(A718, EmployeeMaster!$A:$D, 3, FALSE)</f>
        <v>Research &amp; Development</v>
      </c>
      <c r="C718" s="8">
        <v>19419</v>
      </c>
      <c r="D718" s="8">
        <f t="shared" si="66"/>
        <v>3883.8</v>
      </c>
      <c r="E718" s="8">
        <f t="shared" si="67"/>
        <v>2330.2799999999997</v>
      </c>
      <c r="F718" s="8">
        <f t="shared" si="68"/>
        <v>1941.9</v>
      </c>
      <c r="G718" s="8">
        <f t="shared" si="69"/>
        <v>23302.799999999999</v>
      </c>
      <c r="H718" s="8">
        <f t="shared" si="70"/>
        <v>4272.18</v>
      </c>
      <c r="I718" s="10">
        <f t="shared" si="71"/>
        <v>19030.62</v>
      </c>
    </row>
    <row r="719" spans="1:9" x14ac:dyDescent="0.25">
      <c r="A719" s="6">
        <v>1001</v>
      </c>
      <c r="B719" s="5" t="str">
        <f>VLOOKUP(A719, EmployeeMaster!$A:$D, 3, FALSE)</f>
        <v>Research &amp; Development</v>
      </c>
      <c r="C719" s="8">
        <v>2811</v>
      </c>
      <c r="D719" s="8">
        <f t="shared" si="66"/>
        <v>562.20000000000005</v>
      </c>
      <c r="E719" s="8">
        <f t="shared" si="67"/>
        <v>337.32</v>
      </c>
      <c r="F719" s="8">
        <f t="shared" si="68"/>
        <v>281.10000000000002</v>
      </c>
      <c r="G719" s="8">
        <f t="shared" si="69"/>
        <v>3373.2</v>
      </c>
      <c r="H719" s="8">
        <f t="shared" si="70"/>
        <v>618.42000000000007</v>
      </c>
      <c r="I719" s="10">
        <f t="shared" si="71"/>
        <v>2754.7799999999997</v>
      </c>
    </row>
    <row r="720" spans="1:9" x14ac:dyDescent="0.25">
      <c r="A720" s="6">
        <v>1002</v>
      </c>
      <c r="B720" s="5" t="str">
        <f>VLOOKUP(A720, EmployeeMaster!$A:$D, 3, FALSE)</f>
        <v>Research &amp; Development</v>
      </c>
      <c r="C720" s="8">
        <v>3633</v>
      </c>
      <c r="D720" s="8">
        <f t="shared" si="66"/>
        <v>726.6</v>
      </c>
      <c r="E720" s="8">
        <f t="shared" si="67"/>
        <v>435.96</v>
      </c>
      <c r="F720" s="8">
        <f t="shared" si="68"/>
        <v>363.3</v>
      </c>
      <c r="G720" s="8">
        <f t="shared" si="69"/>
        <v>4359.6000000000004</v>
      </c>
      <c r="H720" s="8">
        <f t="shared" si="70"/>
        <v>799.26</v>
      </c>
      <c r="I720" s="10">
        <f t="shared" si="71"/>
        <v>3560.34</v>
      </c>
    </row>
    <row r="721" spans="1:9" x14ac:dyDescent="0.25">
      <c r="A721" s="6">
        <v>1003</v>
      </c>
      <c r="B721" s="5" t="str">
        <f>VLOOKUP(A721, EmployeeMaster!$A:$D, 3, FALSE)</f>
        <v>Sales</v>
      </c>
      <c r="C721" s="8">
        <v>4163</v>
      </c>
      <c r="D721" s="8">
        <f t="shared" si="66"/>
        <v>832.6</v>
      </c>
      <c r="E721" s="8">
        <f t="shared" si="67"/>
        <v>499.56</v>
      </c>
      <c r="F721" s="8">
        <f t="shared" si="68"/>
        <v>416.3</v>
      </c>
      <c r="G721" s="8">
        <f t="shared" si="69"/>
        <v>4995.6000000000004</v>
      </c>
      <c r="H721" s="8">
        <f t="shared" si="70"/>
        <v>915.86</v>
      </c>
      <c r="I721" s="10">
        <f t="shared" si="71"/>
        <v>4079.7400000000002</v>
      </c>
    </row>
    <row r="722" spans="1:9" x14ac:dyDescent="0.25">
      <c r="A722" s="6">
        <v>1004</v>
      </c>
      <c r="B722" s="5" t="str">
        <f>VLOOKUP(A722, EmployeeMaster!$A:$D, 3, FALSE)</f>
        <v>Research &amp; Development</v>
      </c>
      <c r="C722" s="8">
        <v>2132</v>
      </c>
      <c r="D722" s="8">
        <f t="shared" si="66"/>
        <v>426.40000000000003</v>
      </c>
      <c r="E722" s="8">
        <f t="shared" si="67"/>
        <v>255.84</v>
      </c>
      <c r="F722" s="8">
        <f t="shared" si="68"/>
        <v>213.20000000000002</v>
      </c>
      <c r="G722" s="8">
        <f t="shared" si="69"/>
        <v>2558.4</v>
      </c>
      <c r="H722" s="8">
        <f t="shared" si="70"/>
        <v>469.04</v>
      </c>
      <c r="I722" s="10">
        <f t="shared" si="71"/>
        <v>2089.36</v>
      </c>
    </row>
    <row r="723" spans="1:9" x14ac:dyDescent="0.25">
      <c r="A723" s="6">
        <v>1005</v>
      </c>
      <c r="B723" s="5" t="str">
        <f>VLOOKUP(A723, EmployeeMaster!$A:$D, 3, FALSE)</f>
        <v>Research &amp; Development</v>
      </c>
      <c r="C723" s="8">
        <v>13973</v>
      </c>
      <c r="D723" s="8">
        <f t="shared" si="66"/>
        <v>2794.6000000000004</v>
      </c>
      <c r="E723" s="8">
        <f t="shared" si="67"/>
        <v>1676.76</v>
      </c>
      <c r="F723" s="8">
        <f t="shared" si="68"/>
        <v>1397.3000000000002</v>
      </c>
      <c r="G723" s="8">
        <f t="shared" si="69"/>
        <v>16767.599999999999</v>
      </c>
      <c r="H723" s="8">
        <f t="shared" si="70"/>
        <v>3074.0600000000004</v>
      </c>
      <c r="I723" s="10">
        <f t="shared" si="71"/>
        <v>13693.539999999997</v>
      </c>
    </row>
    <row r="724" spans="1:9" x14ac:dyDescent="0.25">
      <c r="A724" s="6">
        <v>1006</v>
      </c>
      <c r="B724" s="5" t="str">
        <f>VLOOKUP(A724, EmployeeMaster!$A:$D, 3, FALSE)</f>
        <v>Research &amp; Development</v>
      </c>
      <c r="C724" s="8">
        <v>2684</v>
      </c>
      <c r="D724" s="8">
        <f t="shared" si="66"/>
        <v>536.80000000000007</v>
      </c>
      <c r="E724" s="8">
        <f t="shared" si="67"/>
        <v>322.08</v>
      </c>
      <c r="F724" s="8">
        <f t="shared" si="68"/>
        <v>268.40000000000003</v>
      </c>
      <c r="G724" s="8">
        <f t="shared" si="69"/>
        <v>3220.8</v>
      </c>
      <c r="H724" s="8">
        <f t="shared" si="70"/>
        <v>590.48</v>
      </c>
      <c r="I724" s="10">
        <f t="shared" si="71"/>
        <v>2630.32</v>
      </c>
    </row>
    <row r="725" spans="1:9" x14ac:dyDescent="0.25">
      <c r="A725" s="6">
        <v>1007</v>
      </c>
      <c r="B725" s="5" t="str">
        <f>VLOOKUP(A725, EmployeeMaster!$A:$D, 3, FALSE)</f>
        <v>Research &amp; Development</v>
      </c>
      <c r="C725" s="8">
        <v>10845</v>
      </c>
      <c r="D725" s="8">
        <f t="shared" si="66"/>
        <v>2169</v>
      </c>
      <c r="E725" s="8">
        <f t="shared" si="67"/>
        <v>1301.3999999999999</v>
      </c>
      <c r="F725" s="8">
        <f t="shared" si="68"/>
        <v>1084.5</v>
      </c>
      <c r="G725" s="8">
        <f t="shared" si="69"/>
        <v>13014</v>
      </c>
      <c r="H725" s="8">
        <f t="shared" si="70"/>
        <v>2385.8999999999996</v>
      </c>
      <c r="I725" s="10">
        <f t="shared" si="71"/>
        <v>10628.1</v>
      </c>
    </row>
    <row r="726" spans="1:9" x14ac:dyDescent="0.25">
      <c r="A726" s="6">
        <v>1009</v>
      </c>
      <c r="B726" s="5" t="str">
        <f>VLOOKUP(A726, EmployeeMaster!$A:$D, 3, FALSE)</f>
        <v>Research &amp; Development</v>
      </c>
      <c r="C726" s="8">
        <v>4377</v>
      </c>
      <c r="D726" s="8">
        <f t="shared" si="66"/>
        <v>875.40000000000009</v>
      </c>
      <c r="E726" s="8">
        <f t="shared" si="67"/>
        <v>525.24</v>
      </c>
      <c r="F726" s="8">
        <f t="shared" si="68"/>
        <v>437.70000000000005</v>
      </c>
      <c r="G726" s="8">
        <f t="shared" si="69"/>
        <v>5252.4</v>
      </c>
      <c r="H726" s="8">
        <f t="shared" si="70"/>
        <v>962.94</v>
      </c>
      <c r="I726" s="10">
        <f t="shared" si="71"/>
        <v>4289.4599999999991</v>
      </c>
    </row>
    <row r="727" spans="1:9" x14ac:dyDescent="0.25">
      <c r="A727" s="6">
        <v>1010</v>
      </c>
      <c r="B727" s="5" t="str">
        <f>VLOOKUP(A727, EmployeeMaster!$A:$D, 3, FALSE)</f>
        <v>Research &amp; Development</v>
      </c>
      <c r="C727" s="8">
        <v>3743</v>
      </c>
      <c r="D727" s="8">
        <f t="shared" si="66"/>
        <v>748.6</v>
      </c>
      <c r="E727" s="8">
        <f t="shared" si="67"/>
        <v>449.15999999999997</v>
      </c>
      <c r="F727" s="8">
        <f t="shared" si="68"/>
        <v>374.3</v>
      </c>
      <c r="G727" s="8">
        <f t="shared" si="69"/>
        <v>4491.6000000000004</v>
      </c>
      <c r="H727" s="8">
        <f t="shared" si="70"/>
        <v>823.46</v>
      </c>
      <c r="I727" s="10">
        <f t="shared" si="71"/>
        <v>3668.1400000000003</v>
      </c>
    </row>
    <row r="728" spans="1:9" x14ac:dyDescent="0.25">
      <c r="A728" s="6">
        <v>1011</v>
      </c>
      <c r="B728" s="5" t="str">
        <f>VLOOKUP(A728, EmployeeMaster!$A:$D, 3, FALSE)</f>
        <v>Research &amp; Development</v>
      </c>
      <c r="C728" s="8">
        <v>4148</v>
      </c>
      <c r="D728" s="8">
        <f t="shared" si="66"/>
        <v>829.6</v>
      </c>
      <c r="E728" s="8">
        <f t="shared" si="67"/>
        <v>497.76</v>
      </c>
      <c r="F728" s="8">
        <f t="shared" si="68"/>
        <v>414.8</v>
      </c>
      <c r="G728" s="8">
        <f t="shared" si="69"/>
        <v>4977.6000000000004</v>
      </c>
      <c r="H728" s="8">
        <f t="shared" si="70"/>
        <v>912.56</v>
      </c>
      <c r="I728" s="10">
        <f t="shared" si="71"/>
        <v>4065.0400000000004</v>
      </c>
    </row>
    <row r="729" spans="1:9" x14ac:dyDescent="0.25">
      <c r="A729" s="6">
        <v>1012</v>
      </c>
      <c r="B729" s="5" t="str">
        <f>VLOOKUP(A729, EmployeeMaster!$A:$D, 3, FALSE)</f>
        <v>Research &amp; Development</v>
      </c>
      <c r="C729" s="8">
        <v>1051</v>
      </c>
      <c r="D729" s="8">
        <f t="shared" si="66"/>
        <v>210.20000000000002</v>
      </c>
      <c r="E729" s="8">
        <f t="shared" si="67"/>
        <v>126.11999999999999</v>
      </c>
      <c r="F729" s="8">
        <f t="shared" si="68"/>
        <v>105.10000000000001</v>
      </c>
      <c r="G729" s="8">
        <f t="shared" si="69"/>
        <v>1261.2</v>
      </c>
      <c r="H729" s="8">
        <f t="shared" si="70"/>
        <v>231.22</v>
      </c>
      <c r="I729" s="10">
        <f t="shared" si="71"/>
        <v>1029.98</v>
      </c>
    </row>
    <row r="730" spans="1:9" x14ac:dyDescent="0.25">
      <c r="A730" s="6">
        <v>1013</v>
      </c>
      <c r="B730" s="5" t="str">
        <f>VLOOKUP(A730, EmployeeMaster!$A:$D, 3, FALSE)</f>
        <v>Research &amp; Development</v>
      </c>
      <c r="C730" s="8">
        <v>10739</v>
      </c>
      <c r="D730" s="8">
        <f t="shared" si="66"/>
        <v>2147.8000000000002</v>
      </c>
      <c r="E730" s="8">
        <f t="shared" si="67"/>
        <v>1288.68</v>
      </c>
      <c r="F730" s="8">
        <f t="shared" si="68"/>
        <v>1073.9000000000001</v>
      </c>
      <c r="G730" s="8">
        <f t="shared" si="69"/>
        <v>12886.8</v>
      </c>
      <c r="H730" s="8">
        <f t="shared" si="70"/>
        <v>2362.58</v>
      </c>
      <c r="I730" s="10">
        <f t="shared" si="71"/>
        <v>10524.22</v>
      </c>
    </row>
    <row r="731" spans="1:9" x14ac:dyDescent="0.25">
      <c r="A731" s="6">
        <v>1014</v>
      </c>
      <c r="B731" s="5" t="str">
        <f>VLOOKUP(A731, EmployeeMaster!$A:$D, 3, FALSE)</f>
        <v>Research &amp; Development</v>
      </c>
      <c r="C731" s="8">
        <v>10388</v>
      </c>
      <c r="D731" s="8">
        <f t="shared" si="66"/>
        <v>2077.6</v>
      </c>
      <c r="E731" s="8">
        <f t="shared" si="67"/>
        <v>1246.56</v>
      </c>
      <c r="F731" s="8">
        <f t="shared" si="68"/>
        <v>1038.8</v>
      </c>
      <c r="G731" s="8">
        <f t="shared" si="69"/>
        <v>12465.6</v>
      </c>
      <c r="H731" s="8">
        <f t="shared" si="70"/>
        <v>2285.3599999999997</v>
      </c>
      <c r="I731" s="10">
        <f t="shared" si="71"/>
        <v>10180.240000000002</v>
      </c>
    </row>
    <row r="732" spans="1:9" x14ac:dyDescent="0.25">
      <c r="A732" s="6">
        <v>1015</v>
      </c>
      <c r="B732" s="5" t="str">
        <f>VLOOKUP(A732, EmployeeMaster!$A:$D, 3, FALSE)</f>
        <v>Research &amp; Development</v>
      </c>
      <c r="C732" s="8">
        <v>11416</v>
      </c>
      <c r="D732" s="8">
        <f t="shared" si="66"/>
        <v>2283.2000000000003</v>
      </c>
      <c r="E732" s="8">
        <f t="shared" si="67"/>
        <v>1369.9199999999998</v>
      </c>
      <c r="F732" s="8">
        <f t="shared" si="68"/>
        <v>1141.6000000000001</v>
      </c>
      <c r="G732" s="8">
        <f t="shared" si="69"/>
        <v>13699.2</v>
      </c>
      <c r="H732" s="8">
        <f t="shared" si="70"/>
        <v>2511.52</v>
      </c>
      <c r="I732" s="10">
        <f t="shared" si="71"/>
        <v>11187.68</v>
      </c>
    </row>
    <row r="733" spans="1:9" x14ac:dyDescent="0.25">
      <c r="A733" s="6">
        <v>1016</v>
      </c>
      <c r="B733" s="5" t="str">
        <f>VLOOKUP(A733, EmployeeMaster!$A:$D, 3, FALSE)</f>
        <v>Research &amp; Development</v>
      </c>
      <c r="C733" s="8">
        <v>2600</v>
      </c>
      <c r="D733" s="8">
        <f t="shared" si="66"/>
        <v>520</v>
      </c>
      <c r="E733" s="8">
        <f t="shared" si="67"/>
        <v>312</v>
      </c>
      <c r="F733" s="8">
        <f t="shared" si="68"/>
        <v>260</v>
      </c>
      <c r="G733" s="8">
        <f t="shared" si="69"/>
        <v>3120</v>
      </c>
      <c r="H733" s="8">
        <f t="shared" si="70"/>
        <v>572</v>
      </c>
      <c r="I733" s="10">
        <f t="shared" si="71"/>
        <v>2548</v>
      </c>
    </row>
    <row r="734" spans="1:9" x14ac:dyDescent="0.25">
      <c r="A734" s="6">
        <v>1017</v>
      </c>
      <c r="B734" s="5" t="str">
        <f>VLOOKUP(A734, EmployeeMaster!$A:$D, 3, FALSE)</f>
        <v>Research &amp; Development</v>
      </c>
      <c r="C734" s="8">
        <v>2422</v>
      </c>
      <c r="D734" s="8">
        <f t="shared" si="66"/>
        <v>484.40000000000003</v>
      </c>
      <c r="E734" s="8">
        <f t="shared" si="67"/>
        <v>290.64</v>
      </c>
      <c r="F734" s="8">
        <f t="shared" si="68"/>
        <v>242.20000000000002</v>
      </c>
      <c r="G734" s="8">
        <f t="shared" si="69"/>
        <v>2906.4</v>
      </c>
      <c r="H734" s="8">
        <f t="shared" si="70"/>
        <v>532.84</v>
      </c>
      <c r="I734" s="10">
        <f t="shared" si="71"/>
        <v>2373.56</v>
      </c>
    </row>
    <row r="735" spans="1:9" x14ac:dyDescent="0.25">
      <c r="A735" s="6">
        <v>1018</v>
      </c>
      <c r="B735" s="5" t="str">
        <f>VLOOKUP(A735, EmployeeMaster!$A:$D, 3, FALSE)</f>
        <v>Research &amp; Development</v>
      </c>
      <c r="C735" s="8">
        <v>5472</v>
      </c>
      <c r="D735" s="8">
        <f t="shared" si="66"/>
        <v>1094.4000000000001</v>
      </c>
      <c r="E735" s="8">
        <f t="shared" si="67"/>
        <v>656.64</v>
      </c>
      <c r="F735" s="8">
        <f t="shared" si="68"/>
        <v>547.20000000000005</v>
      </c>
      <c r="G735" s="8">
        <f t="shared" si="69"/>
        <v>6566.4</v>
      </c>
      <c r="H735" s="8">
        <f t="shared" si="70"/>
        <v>1203.8400000000001</v>
      </c>
      <c r="I735" s="10">
        <f t="shared" si="71"/>
        <v>5362.5599999999995</v>
      </c>
    </row>
    <row r="736" spans="1:9" x14ac:dyDescent="0.25">
      <c r="A736" s="6">
        <v>1019</v>
      </c>
      <c r="B736" s="5" t="str">
        <f>VLOOKUP(A736, EmployeeMaster!$A:$D, 3, FALSE)</f>
        <v>Research &amp; Development</v>
      </c>
      <c r="C736" s="8">
        <v>2451</v>
      </c>
      <c r="D736" s="8">
        <f t="shared" si="66"/>
        <v>490.20000000000005</v>
      </c>
      <c r="E736" s="8">
        <f t="shared" si="67"/>
        <v>294.12</v>
      </c>
      <c r="F736" s="8">
        <f t="shared" si="68"/>
        <v>245.10000000000002</v>
      </c>
      <c r="G736" s="8">
        <f t="shared" si="69"/>
        <v>2941.2</v>
      </c>
      <c r="H736" s="8">
        <f t="shared" si="70"/>
        <v>539.22</v>
      </c>
      <c r="I736" s="10">
        <f t="shared" si="71"/>
        <v>2401.9799999999996</v>
      </c>
    </row>
    <row r="737" spans="1:9" x14ac:dyDescent="0.25">
      <c r="A737" s="6">
        <v>1022</v>
      </c>
      <c r="B737" s="5" t="str">
        <f>VLOOKUP(A737, EmployeeMaster!$A:$D, 3, FALSE)</f>
        <v>Research &amp; Development</v>
      </c>
      <c r="C737" s="8">
        <v>4240</v>
      </c>
      <c r="D737" s="8">
        <f t="shared" si="66"/>
        <v>848</v>
      </c>
      <c r="E737" s="8">
        <f t="shared" si="67"/>
        <v>508.79999999999995</v>
      </c>
      <c r="F737" s="8">
        <f t="shared" si="68"/>
        <v>424</v>
      </c>
      <c r="G737" s="8">
        <f t="shared" si="69"/>
        <v>5088</v>
      </c>
      <c r="H737" s="8">
        <f t="shared" si="70"/>
        <v>932.8</v>
      </c>
      <c r="I737" s="10">
        <f t="shared" si="71"/>
        <v>4155.2</v>
      </c>
    </row>
    <row r="738" spans="1:9" x14ac:dyDescent="0.25">
      <c r="A738" s="6">
        <v>1024</v>
      </c>
      <c r="B738" s="5" t="str">
        <f>VLOOKUP(A738, EmployeeMaster!$A:$D, 3, FALSE)</f>
        <v>Research &amp; Development</v>
      </c>
      <c r="C738" s="8">
        <v>10999</v>
      </c>
      <c r="D738" s="8">
        <f t="shared" si="66"/>
        <v>2199.8000000000002</v>
      </c>
      <c r="E738" s="8">
        <f t="shared" si="67"/>
        <v>1319.8799999999999</v>
      </c>
      <c r="F738" s="8">
        <f t="shared" si="68"/>
        <v>1099.9000000000001</v>
      </c>
      <c r="G738" s="8">
        <f t="shared" si="69"/>
        <v>13198.8</v>
      </c>
      <c r="H738" s="8">
        <f t="shared" si="70"/>
        <v>2419.7799999999997</v>
      </c>
      <c r="I738" s="10">
        <f t="shared" si="71"/>
        <v>10779.02</v>
      </c>
    </row>
    <row r="739" spans="1:9" x14ac:dyDescent="0.25">
      <c r="A739" s="6">
        <v>1025</v>
      </c>
      <c r="B739" s="5" t="str">
        <f>VLOOKUP(A739, EmployeeMaster!$A:$D, 3, FALSE)</f>
        <v>Research &amp; Development</v>
      </c>
      <c r="C739" s="8">
        <v>5003</v>
      </c>
      <c r="D739" s="8">
        <f t="shared" si="66"/>
        <v>1000.6</v>
      </c>
      <c r="E739" s="8">
        <f t="shared" si="67"/>
        <v>600.36</v>
      </c>
      <c r="F739" s="8">
        <f t="shared" si="68"/>
        <v>500.3</v>
      </c>
      <c r="G739" s="8">
        <f t="shared" si="69"/>
        <v>6003.6</v>
      </c>
      <c r="H739" s="8">
        <f t="shared" si="70"/>
        <v>1100.6600000000001</v>
      </c>
      <c r="I739" s="10">
        <f t="shared" si="71"/>
        <v>4902.9400000000005</v>
      </c>
    </row>
    <row r="740" spans="1:9" x14ac:dyDescent="0.25">
      <c r="A740" s="6">
        <v>1026</v>
      </c>
      <c r="B740" s="5" t="str">
        <f>VLOOKUP(A740, EmployeeMaster!$A:$D, 3, FALSE)</f>
        <v>Research &amp; Development</v>
      </c>
      <c r="C740" s="8">
        <v>12742</v>
      </c>
      <c r="D740" s="8">
        <f t="shared" si="66"/>
        <v>2548.4</v>
      </c>
      <c r="E740" s="8">
        <f t="shared" si="67"/>
        <v>1529.04</v>
      </c>
      <c r="F740" s="8">
        <f t="shared" si="68"/>
        <v>1274.2</v>
      </c>
      <c r="G740" s="8">
        <f t="shared" si="69"/>
        <v>15290.4</v>
      </c>
      <c r="H740" s="8">
        <f t="shared" si="70"/>
        <v>2803.24</v>
      </c>
      <c r="I740" s="10">
        <f t="shared" si="71"/>
        <v>12487.16</v>
      </c>
    </row>
    <row r="741" spans="1:9" x14ac:dyDescent="0.25">
      <c r="A741" s="6">
        <v>1027</v>
      </c>
      <c r="B741" s="5" t="str">
        <f>VLOOKUP(A741, EmployeeMaster!$A:$D, 3, FALSE)</f>
        <v>Research &amp; Development</v>
      </c>
      <c r="C741" s="8">
        <v>4227</v>
      </c>
      <c r="D741" s="8">
        <f t="shared" si="66"/>
        <v>845.40000000000009</v>
      </c>
      <c r="E741" s="8">
        <f t="shared" si="67"/>
        <v>507.24</v>
      </c>
      <c r="F741" s="8">
        <f t="shared" si="68"/>
        <v>422.70000000000005</v>
      </c>
      <c r="G741" s="8">
        <f t="shared" si="69"/>
        <v>5072.3999999999996</v>
      </c>
      <c r="H741" s="8">
        <f t="shared" si="70"/>
        <v>929.94</v>
      </c>
      <c r="I741" s="10">
        <f t="shared" si="71"/>
        <v>4142.4599999999991</v>
      </c>
    </row>
    <row r="742" spans="1:9" x14ac:dyDescent="0.25">
      <c r="A742" s="6">
        <v>1028</v>
      </c>
      <c r="B742" s="5" t="str">
        <f>VLOOKUP(A742, EmployeeMaster!$A:$D, 3, FALSE)</f>
        <v>Research &amp; Development</v>
      </c>
      <c r="C742" s="8">
        <v>3917</v>
      </c>
      <c r="D742" s="8">
        <f t="shared" si="66"/>
        <v>783.40000000000009</v>
      </c>
      <c r="E742" s="8">
        <f t="shared" si="67"/>
        <v>470.03999999999996</v>
      </c>
      <c r="F742" s="8">
        <f t="shared" si="68"/>
        <v>391.70000000000005</v>
      </c>
      <c r="G742" s="8">
        <f t="shared" si="69"/>
        <v>4700.3999999999996</v>
      </c>
      <c r="H742" s="8">
        <f t="shared" si="70"/>
        <v>861.74</v>
      </c>
      <c r="I742" s="10">
        <f t="shared" si="71"/>
        <v>3838.66</v>
      </c>
    </row>
    <row r="743" spans="1:9" x14ac:dyDescent="0.25">
      <c r="A743" s="6">
        <v>1029</v>
      </c>
      <c r="B743" s="5" t="str">
        <f>VLOOKUP(A743, EmployeeMaster!$A:$D, 3, FALSE)</f>
        <v>Sales</v>
      </c>
      <c r="C743" s="8">
        <v>18303</v>
      </c>
      <c r="D743" s="8">
        <f t="shared" si="66"/>
        <v>3660.6000000000004</v>
      </c>
      <c r="E743" s="8">
        <f t="shared" si="67"/>
        <v>2196.36</v>
      </c>
      <c r="F743" s="8">
        <f t="shared" si="68"/>
        <v>1830.3000000000002</v>
      </c>
      <c r="G743" s="8">
        <f t="shared" si="69"/>
        <v>21963.599999999999</v>
      </c>
      <c r="H743" s="8">
        <f t="shared" si="70"/>
        <v>4026.6600000000003</v>
      </c>
      <c r="I743" s="10">
        <f t="shared" si="71"/>
        <v>17936.939999999999</v>
      </c>
    </row>
    <row r="744" spans="1:9" x14ac:dyDescent="0.25">
      <c r="A744" s="6">
        <v>1030</v>
      </c>
      <c r="B744" s="5" t="str">
        <f>VLOOKUP(A744, EmployeeMaster!$A:$D, 3, FALSE)</f>
        <v>Research &amp; Development</v>
      </c>
      <c r="C744" s="8">
        <v>2380</v>
      </c>
      <c r="D744" s="8">
        <f t="shared" si="66"/>
        <v>476</v>
      </c>
      <c r="E744" s="8">
        <f t="shared" si="67"/>
        <v>285.59999999999997</v>
      </c>
      <c r="F744" s="8">
        <f t="shared" si="68"/>
        <v>238</v>
      </c>
      <c r="G744" s="8">
        <f t="shared" si="69"/>
        <v>2856</v>
      </c>
      <c r="H744" s="8">
        <f t="shared" si="70"/>
        <v>523.59999999999991</v>
      </c>
      <c r="I744" s="10">
        <f t="shared" si="71"/>
        <v>2332.4</v>
      </c>
    </row>
    <row r="745" spans="1:9" x14ac:dyDescent="0.25">
      <c r="A745" s="6">
        <v>1032</v>
      </c>
      <c r="B745" s="5" t="str">
        <f>VLOOKUP(A745, EmployeeMaster!$A:$D, 3, FALSE)</f>
        <v>Research &amp; Development</v>
      </c>
      <c r="C745" s="8">
        <v>13726</v>
      </c>
      <c r="D745" s="8">
        <f t="shared" si="66"/>
        <v>2745.2000000000003</v>
      </c>
      <c r="E745" s="8">
        <f t="shared" si="67"/>
        <v>1647.12</v>
      </c>
      <c r="F745" s="8">
        <f t="shared" si="68"/>
        <v>1372.6000000000001</v>
      </c>
      <c r="G745" s="8">
        <f t="shared" si="69"/>
        <v>16471.2</v>
      </c>
      <c r="H745" s="8">
        <f t="shared" si="70"/>
        <v>3019.7200000000003</v>
      </c>
      <c r="I745" s="10">
        <f t="shared" si="71"/>
        <v>13451.48</v>
      </c>
    </row>
    <row r="746" spans="1:9" x14ac:dyDescent="0.25">
      <c r="A746" s="6">
        <v>1033</v>
      </c>
      <c r="B746" s="5" t="str">
        <f>VLOOKUP(A746, EmployeeMaster!$A:$D, 3, FALSE)</f>
        <v>Research &amp; Development</v>
      </c>
      <c r="C746" s="8">
        <v>4777</v>
      </c>
      <c r="D746" s="8">
        <f t="shared" si="66"/>
        <v>955.40000000000009</v>
      </c>
      <c r="E746" s="8">
        <f t="shared" si="67"/>
        <v>573.24</v>
      </c>
      <c r="F746" s="8">
        <f t="shared" si="68"/>
        <v>477.70000000000005</v>
      </c>
      <c r="G746" s="8">
        <f t="shared" si="69"/>
        <v>5732.4</v>
      </c>
      <c r="H746" s="8">
        <f t="shared" si="70"/>
        <v>1050.94</v>
      </c>
      <c r="I746" s="10">
        <f t="shared" si="71"/>
        <v>4681.4599999999991</v>
      </c>
    </row>
    <row r="747" spans="1:9" x14ac:dyDescent="0.25">
      <c r="A747" s="6">
        <v>1034</v>
      </c>
      <c r="B747" s="5" t="str">
        <f>VLOOKUP(A747, EmployeeMaster!$A:$D, 3, FALSE)</f>
        <v>Research &amp; Development</v>
      </c>
      <c r="C747" s="8">
        <v>6385</v>
      </c>
      <c r="D747" s="8">
        <f t="shared" si="66"/>
        <v>1277</v>
      </c>
      <c r="E747" s="8">
        <f t="shared" si="67"/>
        <v>766.19999999999993</v>
      </c>
      <c r="F747" s="8">
        <f t="shared" si="68"/>
        <v>638.5</v>
      </c>
      <c r="G747" s="8">
        <f t="shared" si="69"/>
        <v>7662</v>
      </c>
      <c r="H747" s="8">
        <f t="shared" si="70"/>
        <v>1404.6999999999998</v>
      </c>
      <c r="I747" s="10">
        <f t="shared" si="71"/>
        <v>6257.3</v>
      </c>
    </row>
    <row r="748" spans="1:9" x14ac:dyDescent="0.25">
      <c r="A748" s="6">
        <v>1035</v>
      </c>
      <c r="B748" s="5" t="str">
        <f>VLOOKUP(A748, EmployeeMaster!$A:$D, 3, FALSE)</f>
        <v>Research &amp; Development</v>
      </c>
      <c r="C748" s="8">
        <v>19973</v>
      </c>
      <c r="D748" s="8">
        <f t="shared" si="66"/>
        <v>3994.6000000000004</v>
      </c>
      <c r="E748" s="8">
        <f t="shared" si="67"/>
        <v>2396.7599999999998</v>
      </c>
      <c r="F748" s="8">
        <f t="shared" si="68"/>
        <v>1997.3000000000002</v>
      </c>
      <c r="G748" s="8">
        <f t="shared" si="69"/>
        <v>23967.599999999999</v>
      </c>
      <c r="H748" s="8">
        <f t="shared" si="70"/>
        <v>4394.0599999999995</v>
      </c>
      <c r="I748" s="10">
        <f t="shared" si="71"/>
        <v>19573.54</v>
      </c>
    </row>
    <row r="749" spans="1:9" x14ac:dyDescent="0.25">
      <c r="A749" s="6">
        <v>1036</v>
      </c>
      <c r="B749" s="5" t="str">
        <f>VLOOKUP(A749, EmployeeMaster!$A:$D, 3, FALSE)</f>
        <v>Sales</v>
      </c>
      <c r="C749" s="8">
        <v>6861</v>
      </c>
      <c r="D749" s="8">
        <f t="shared" si="66"/>
        <v>1372.2</v>
      </c>
      <c r="E749" s="8">
        <f t="shared" si="67"/>
        <v>823.31999999999994</v>
      </c>
      <c r="F749" s="8">
        <f t="shared" si="68"/>
        <v>686.1</v>
      </c>
      <c r="G749" s="8">
        <f t="shared" si="69"/>
        <v>8233.2000000000007</v>
      </c>
      <c r="H749" s="8">
        <f t="shared" si="70"/>
        <v>1509.42</v>
      </c>
      <c r="I749" s="10">
        <f t="shared" si="71"/>
        <v>6723.7800000000007</v>
      </c>
    </row>
    <row r="750" spans="1:9" x14ac:dyDescent="0.25">
      <c r="A750" s="6">
        <v>1037</v>
      </c>
      <c r="B750" s="5" t="str">
        <f>VLOOKUP(A750, EmployeeMaster!$A:$D, 3, FALSE)</f>
        <v>Sales</v>
      </c>
      <c r="C750" s="8">
        <v>4969</v>
      </c>
      <c r="D750" s="8">
        <f t="shared" si="66"/>
        <v>993.80000000000007</v>
      </c>
      <c r="E750" s="8">
        <f t="shared" si="67"/>
        <v>596.28</v>
      </c>
      <c r="F750" s="8">
        <f t="shared" si="68"/>
        <v>496.90000000000003</v>
      </c>
      <c r="G750" s="8">
        <f t="shared" si="69"/>
        <v>5962.8</v>
      </c>
      <c r="H750" s="8">
        <f t="shared" si="70"/>
        <v>1093.18</v>
      </c>
      <c r="I750" s="10">
        <f t="shared" si="71"/>
        <v>4869.62</v>
      </c>
    </row>
    <row r="751" spans="1:9" x14ac:dyDescent="0.25">
      <c r="A751" s="6">
        <v>1038</v>
      </c>
      <c r="B751" s="5" t="str">
        <f>VLOOKUP(A751, EmployeeMaster!$A:$D, 3, FALSE)</f>
        <v>Sales</v>
      </c>
      <c r="C751" s="8">
        <v>19845</v>
      </c>
      <c r="D751" s="8">
        <f t="shared" si="66"/>
        <v>3969</v>
      </c>
      <c r="E751" s="8">
        <f t="shared" si="67"/>
        <v>2381.4</v>
      </c>
      <c r="F751" s="8">
        <f t="shared" si="68"/>
        <v>1984.5</v>
      </c>
      <c r="G751" s="8">
        <f t="shared" si="69"/>
        <v>23814</v>
      </c>
      <c r="H751" s="8">
        <f t="shared" si="70"/>
        <v>4365.8999999999996</v>
      </c>
      <c r="I751" s="10">
        <f t="shared" si="71"/>
        <v>19448.099999999999</v>
      </c>
    </row>
    <row r="752" spans="1:9" x14ac:dyDescent="0.25">
      <c r="A752" s="6">
        <v>1039</v>
      </c>
      <c r="B752" s="5" t="str">
        <f>VLOOKUP(A752, EmployeeMaster!$A:$D, 3, FALSE)</f>
        <v>Sales</v>
      </c>
      <c r="C752" s="8">
        <v>13320</v>
      </c>
      <c r="D752" s="8">
        <f t="shared" si="66"/>
        <v>2664</v>
      </c>
      <c r="E752" s="8">
        <f t="shared" si="67"/>
        <v>1598.3999999999999</v>
      </c>
      <c r="F752" s="8">
        <f t="shared" si="68"/>
        <v>1332</v>
      </c>
      <c r="G752" s="8">
        <f t="shared" si="69"/>
        <v>15984</v>
      </c>
      <c r="H752" s="8">
        <f t="shared" si="70"/>
        <v>2930.3999999999996</v>
      </c>
      <c r="I752" s="10">
        <f t="shared" si="71"/>
        <v>13053.6</v>
      </c>
    </row>
    <row r="753" spans="1:9" x14ac:dyDescent="0.25">
      <c r="A753" s="6">
        <v>1040</v>
      </c>
      <c r="B753" s="5" t="str">
        <f>VLOOKUP(A753, EmployeeMaster!$A:$D, 3, FALSE)</f>
        <v>Sales</v>
      </c>
      <c r="C753" s="8">
        <v>6347</v>
      </c>
      <c r="D753" s="8">
        <f t="shared" si="66"/>
        <v>1269.4000000000001</v>
      </c>
      <c r="E753" s="8">
        <f t="shared" si="67"/>
        <v>761.64</v>
      </c>
      <c r="F753" s="8">
        <f t="shared" si="68"/>
        <v>634.70000000000005</v>
      </c>
      <c r="G753" s="8">
        <f t="shared" si="69"/>
        <v>7616.4</v>
      </c>
      <c r="H753" s="8">
        <f t="shared" si="70"/>
        <v>1396.3400000000001</v>
      </c>
      <c r="I753" s="10">
        <f t="shared" si="71"/>
        <v>6220.0599999999995</v>
      </c>
    </row>
    <row r="754" spans="1:9" x14ac:dyDescent="0.25">
      <c r="A754" s="6">
        <v>1042</v>
      </c>
      <c r="B754" s="5" t="str">
        <f>VLOOKUP(A754, EmployeeMaster!$A:$D, 3, FALSE)</f>
        <v>Research &amp; Development</v>
      </c>
      <c r="C754" s="8">
        <v>2743</v>
      </c>
      <c r="D754" s="8">
        <f t="shared" si="66"/>
        <v>548.6</v>
      </c>
      <c r="E754" s="8">
        <f t="shared" si="67"/>
        <v>329.15999999999997</v>
      </c>
      <c r="F754" s="8">
        <f t="shared" si="68"/>
        <v>274.3</v>
      </c>
      <c r="G754" s="8">
        <f t="shared" si="69"/>
        <v>3291.6</v>
      </c>
      <c r="H754" s="8">
        <f t="shared" si="70"/>
        <v>603.46</v>
      </c>
      <c r="I754" s="10">
        <f t="shared" si="71"/>
        <v>2688.14</v>
      </c>
    </row>
    <row r="755" spans="1:9" x14ac:dyDescent="0.25">
      <c r="A755" s="6">
        <v>1043</v>
      </c>
      <c r="B755" s="5" t="str">
        <f>VLOOKUP(A755, EmployeeMaster!$A:$D, 3, FALSE)</f>
        <v>Research &amp; Development</v>
      </c>
      <c r="C755" s="8">
        <v>10880</v>
      </c>
      <c r="D755" s="8">
        <f t="shared" si="66"/>
        <v>2176</v>
      </c>
      <c r="E755" s="8">
        <f t="shared" si="67"/>
        <v>1305.5999999999999</v>
      </c>
      <c r="F755" s="8">
        <f t="shared" si="68"/>
        <v>1088</v>
      </c>
      <c r="G755" s="8">
        <f t="shared" si="69"/>
        <v>13056</v>
      </c>
      <c r="H755" s="8">
        <f t="shared" si="70"/>
        <v>2393.6</v>
      </c>
      <c r="I755" s="10">
        <f t="shared" si="71"/>
        <v>10662.4</v>
      </c>
    </row>
    <row r="756" spans="1:9" x14ac:dyDescent="0.25">
      <c r="A756" s="6">
        <v>1044</v>
      </c>
      <c r="B756" s="5" t="str">
        <f>VLOOKUP(A756, EmployeeMaster!$A:$D, 3, FALSE)</f>
        <v>Sales</v>
      </c>
      <c r="C756" s="8">
        <v>2342</v>
      </c>
      <c r="D756" s="8">
        <f t="shared" si="66"/>
        <v>468.40000000000003</v>
      </c>
      <c r="E756" s="8">
        <f t="shared" si="67"/>
        <v>281.03999999999996</v>
      </c>
      <c r="F756" s="8">
        <f t="shared" si="68"/>
        <v>234.20000000000002</v>
      </c>
      <c r="G756" s="8">
        <f t="shared" si="69"/>
        <v>2810.4</v>
      </c>
      <c r="H756" s="8">
        <f t="shared" si="70"/>
        <v>515.24</v>
      </c>
      <c r="I756" s="10">
        <f t="shared" si="71"/>
        <v>2295.16</v>
      </c>
    </row>
    <row r="757" spans="1:9" x14ac:dyDescent="0.25">
      <c r="A757" s="6">
        <v>1045</v>
      </c>
      <c r="B757" s="5" t="str">
        <f>VLOOKUP(A757, EmployeeMaster!$A:$D, 3, FALSE)</f>
        <v>Sales</v>
      </c>
      <c r="C757" s="8">
        <v>17650</v>
      </c>
      <c r="D757" s="8">
        <f t="shared" si="66"/>
        <v>3530</v>
      </c>
      <c r="E757" s="8">
        <f t="shared" si="67"/>
        <v>2118</v>
      </c>
      <c r="F757" s="8">
        <f t="shared" si="68"/>
        <v>1765</v>
      </c>
      <c r="G757" s="8">
        <f t="shared" si="69"/>
        <v>21180</v>
      </c>
      <c r="H757" s="8">
        <f t="shared" si="70"/>
        <v>3883</v>
      </c>
      <c r="I757" s="10">
        <f t="shared" si="71"/>
        <v>17297</v>
      </c>
    </row>
    <row r="758" spans="1:9" x14ac:dyDescent="0.25">
      <c r="A758" s="6">
        <v>1046</v>
      </c>
      <c r="B758" s="5" t="str">
        <f>VLOOKUP(A758, EmployeeMaster!$A:$D, 3, FALSE)</f>
        <v>Research &amp; Development</v>
      </c>
      <c r="C758" s="8">
        <v>4025</v>
      </c>
      <c r="D758" s="8">
        <f t="shared" si="66"/>
        <v>805</v>
      </c>
      <c r="E758" s="8">
        <f t="shared" si="67"/>
        <v>483</v>
      </c>
      <c r="F758" s="8">
        <f t="shared" si="68"/>
        <v>402.5</v>
      </c>
      <c r="G758" s="8">
        <f t="shared" si="69"/>
        <v>4830</v>
      </c>
      <c r="H758" s="8">
        <f t="shared" si="70"/>
        <v>885.5</v>
      </c>
      <c r="I758" s="10">
        <f t="shared" si="71"/>
        <v>3944.5</v>
      </c>
    </row>
    <row r="759" spans="1:9" x14ac:dyDescent="0.25">
      <c r="A759" s="6">
        <v>1047</v>
      </c>
      <c r="B759" s="5" t="str">
        <f>VLOOKUP(A759, EmployeeMaster!$A:$D, 3, FALSE)</f>
        <v>Sales</v>
      </c>
      <c r="C759" s="8">
        <v>9725</v>
      </c>
      <c r="D759" s="8">
        <f t="shared" si="66"/>
        <v>1945</v>
      </c>
      <c r="E759" s="8">
        <f t="shared" si="67"/>
        <v>1167</v>
      </c>
      <c r="F759" s="8">
        <f t="shared" si="68"/>
        <v>972.5</v>
      </c>
      <c r="G759" s="8">
        <f t="shared" si="69"/>
        <v>11670</v>
      </c>
      <c r="H759" s="8">
        <f t="shared" si="70"/>
        <v>2139.5</v>
      </c>
      <c r="I759" s="10">
        <f t="shared" si="71"/>
        <v>9530.5</v>
      </c>
    </row>
    <row r="760" spans="1:9" x14ac:dyDescent="0.25">
      <c r="A760" s="6">
        <v>1048</v>
      </c>
      <c r="B760" s="5" t="str">
        <f>VLOOKUP(A760, EmployeeMaster!$A:$D, 3, FALSE)</f>
        <v>Sales</v>
      </c>
      <c r="C760" s="8">
        <v>11904</v>
      </c>
      <c r="D760" s="8">
        <f t="shared" si="66"/>
        <v>2380.8000000000002</v>
      </c>
      <c r="E760" s="8">
        <f t="shared" si="67"/>
        <v>1428.48</v>
      </c>
      <c r="F760" s="8">
        <f t="shared" si="68"/>
        <v>1190.4000000000001</v>
      </c>
      <c r="G760" s="8">
        <f t="shared" si="69"/>
        <v>14284.8</v>
      </c>
      <c r="H760" s="8">
        <f t="shared" si="70"/>
        <v>2618.88</v>
      </c>
      <c r="I760" s="10">
        <f t="shared" si="71"/>
        <v>11665.919999999998</v>
      </c>
    </row>
    <row r="761" spans="1:9" x14ac:dyDescent="0.25">
      <c r="A761" s="6">
        <v>1049</v>
      </c>
      <c r="B761" s="5" t="str">
        <f>VLOOKUP(A761, EmployeeMaster!$A:$D, 3, FALSE)</f>
        <v>Human Resources</v>
      </c>
      <c r="C761" s="8">
        <v>2177</v>
      </c>
      <c r="D761" s="8">
        <f t="shared" si="66"/>
        <v>435.40000000000003</v>
      </c>
      <c r="E761" s="8">
        <f t="shared" si="67"/>
        <v>261.24</v>
      </c>
      <c r="F761" s="8">
        <f t="shared" si="68"/>
        <v>217.70000000000002</v>
      </c>
      <c r="G761" s="8">
        <f t="shared" si="69"/>
        <v>2612.4</v>
      </c>
      <c r="H761" s="8">
        <f t="shared" si="70"/>
        <v>478.94000000000005</v>
      </c>
      <c r="I761" s="10">
        <f t="shared" si="71"/>
        <v>2133.46</v>
      </c>
    </row>
    <row r="762" spans="1:9" x14ac:dyDescent="0.25">
      <c r="A762" s="6">
        <v>1050</v>
      </c>
      <c r="B762" s="5" t="str">
        <f>VLOOKUP(A762, EmployeeMaster!$A:$D, 3, FALSE)</f>
        <v>Sales</v>
      </c>
      <c r="C762" s="8">
        <v>7525</v>
      </c>
      <c r="D762" s="8">
        <f t="shared" si="66"/>
        <v>1505</v>
      </c>
      <c r="E762" s="8">
        <f t="shared" si="67"/>
        <v>903</v>
      </c>
      <c r="F762" s="8">
        <f t="shared" si="68"/>
        <v>752.5</v>
      </c>
      <c r="G762" s="8">
        <f t="shared" si="69"/>
        <v>9030</v>
      </c>
      <c r="H762" s="8">
        <f t="shared" si="70"/>
        <v>1655.5</v>
      </c>
      <c r="I762" s="10">
        <f t="shared" si="71"/>
        <v>7374.5</v>
      </c>
    </row>
    <row r="763" spans="1:9" x14ac:dyDescent="0.25">
      <c r="A763" s="6">
        <v>1052</v>
      </c>
      <c r="B763" s="5" t="str">
        <f>VLOOKUP(A763, EmployeeMaster!$A:$D, 3, FALSE)</f>
        <v>Research &amp; Development</v>
      </c>
      <c r="C763" s="8">
        <v>4834</v>
      </c>
      <c r="D763" s="8">
        <f t="shared" si="66"/>
        <v>966.80000000000007</v>
      </c>
      <c r="E763" s="8">
        <f t="shared" si="67"/>
        <v>580.07999999999993</v>
      </c>
      <c r="F763" s="8">
        <f t="shared" si="68"/>
        <v>483.40000000000003</v>
      </c>
      <c r="G763" s="8">
        <f t="shared" si="69"/>
        <v>5800.8</v>
      </c>
      <c r="H763" s="8">
        <f t="shared" si="70"/>
        <v>1063.48</v>
      </c>
      <c r="I763" s="10">
        <f t="shared" si="71"/>
        <v>4737.32</v>
      </c>
    </row>
    <row r="764" spans="1:9" x14ac:dyDescent="0.25">
      <c r="A764" s="6">
        <v>1053</v>
      </c>
      <c r="B764" s="5" t="str">
        <f>VLOOKUP(A764, EmployeeMaster!$A:$D, 3, FALSE)</f>
        <v>Research &amp; Development</v>
      </c>
      <c r="C764" s="8">
        <v>2042</v>
      </c>
      <c r="D764" s="8">
        <f t="shared" si="66"/>
        <v>408.40000000000003</v>
      </c>
      <c r="E764" s="8">
        <f t="shared" si="67"/>
        <v>245.04</v>
      </c>
      <c r="F764" s="8">
        <f t="shared" si="68"/>
        <v>204.20000000000002</v>
      </c>
      <c r="G764" s="8">
        <f t="shared" si="69"/>
        <v>2450.4</v>
      </c>
      <c r="H764" s="8">
        <f t="shared" si="70"/>
        <v>449.24</v>
      </c>
      <c r="I764" s="10">
        <f t="shared" si="71"/>
        <v>2001.16</v>
      </c>
    </row>
    <row r="765" spans="1:9" x14ac:dyDescent="0.25">
      <c r="A765" s="6">
        <v>1055</v>
      </c>
      <c r="B765" s="5" t="str">
        <f>VLOOKUP(A765, EmployeeMaster!$A:$D, 3, FALSE)</f>
        <v>Sales</v>
      </c>
      <c r="C765" s="8">
        <v>2220</v>
      </c>
      <c r="D765" s="8">
        <f t="shared" si="66"/>
        <v>444</v>
      </c>
      <c r="E765" s="8">
        <f t="shared" si="67"/>
        <v>266.39999999999998</v>
      </c>
      <c r="F765" s="8">
        <f t="shared" si="68"/>
        <v>222</v>
      </c>
      <c r="G765" s="8">
        <f t="shared" si="69"/>
        <v>2664</v>
      </c>
      <c r="H765" s="8">
        <f t="shared" si="70"/>
        <v>488.4</v>
      </c>
      <c r="I765" s="10">
        <f t="shared" si="71"/>
        <v>2175.6</v>
      </c>
    </row>
    <row r="766" spans="1:9" x14ac:dyDescent="0.25">
      <c r="A766" s="6">
        <v>1056</v>
      </c>
      <c r="B766" s="5" t="str">
        <f>VLOOKUP(A766, EmployeeMaster!$A:$D, 3, FALSE)</f>
        <v>Sales</v>
      </c>
      <c r="C766" s="8">
        <v>1052</v>
      </c>
      <c r="D766" s="8">
        <f t="shared" si="66"/>
        <v>210.4</v>
      </c>
      <c r="E766" s="8">
        <f t="shared" si="67"/>
        <v>126.24</v>
      </c>
      <c r="F766" s="8">
        <f t="shared" si="68"/>
        <v>105.2</v>
      </c>
      <c r="G766" s="8">
        <f t="shared" si="69"/>
        <v>1262.4000000000001</v>
      </c>
      <c r="H766" s="8">
        <f t="shared" si="70"/>
        <v>231.44</v>
      </c>
      <c r="I766" s="10">
        <f t="shared" si="71"/>
        <v>1030.96</v>
      </c>
    </row>
    <row r="767" spans="1:9" x14ac:dyDescent="0.25">
      <c r="A767" s="6">
        <v>1060</v>
      </c>
      <c r="B767" s="5" t="str">
        <f>VLOOKUP(A767, EmployeeMaster!$A:$D, 3, FALSE)</f>
        <v>Research &amp; Development</v>
      </c>
      <c r="C767" s="8">
        <v>2821</v>
      </c>
      <c r="D767" s="8">
        <f t="shared" si="66"/>
        <v>564.20000000000005</v>
      </c>
      <c r="E767" s="8">
        <f t="shared" si="67"/>
        <v>338.52</v>
      </c>
      <c r="F767" s="8">
        <f t="shared" si="68"/>
        <v>282.10000000000002</v>
      </c>
      <c r="G767" s="8">
        <f t="shared" si="69"/>
        <v>3385.2</v>
      </c>
      <c r="H767" s="8">
        <f t="shared" si="70"/>
        <v>620.62</v>
      </c>
      <c r="I767" s="10">
        <f t="shared" si="71"/>
        <v>2764.58</v>
      </c>
    </row>
    <row r="768" spans="1:9" x14ac:dyDescent="0.25">
      <c r="A768" s="6">
        <v>1061</v>
      </c>
      <c r="B768" s="5" t="str">
        <f>VLOOKUP(A768, EmployeeMaster!$A:$D, 3, FALSE)</f>
        <v>Research &amp; Development</v>
      </c>
      <c r="C768" s="8">
        <v>19237</v>
      </c>
      <c r="D768" s="8">
        <f t="shared" si="66"/>
        <v>3847.4</v>
      </c>
      <c r="E768" s="8">
        <f t="shared" si="67"/>
        <v>2308.44</v>
      </c>
      <c r="F768" s="8">
        <f t="shared" si="68"/>
        <v>1923.7</v>
      </c>
      <c r="G768" s="8">
        <f t="shared" si="69"/>
        <v>23084.400000000001</v>
      </c>
      <c r="H768" s="8">
        <f t="shared" si="70"/>
        <v>4232.1400000000003</v>
      </c>
      <c r="I768" s="10">
        <f t="shared" si="71"/>
        <v>18852.260000000002</v>
      </c>
    </row>
    <row r="769" spans="1:9" x14ac:dyDescent="0.25">
      <c r="A769" s="6">
        <v>1062</v>
      </c>
      <c r="B769" s="5" t="str">
        <f>VLOOKUP(A769, EmployeeMaster!$A:$D, 3, FALSE)</f>
        <v>Research &amp; Development</v>
      </c>
      <c r="C769" s="8">
        <v>4107</v>
      </c>
      <c r="D769" s="8">
        <f t="shared" si="66"/>
        <v>821.40000000000009</v>
      </c>
      <c r="E769" s="8">
        <f t="shared" si="67"/>
        <v>492.84</v>
      </c>
      <c r="F769" s="8">
        <f t="shared" si="68"/>
        <v>410.70000000000005</v>
      </c>
      <c r="G769" s="8">
        <f t="shared" si="69"/>
        <v>4928.3999999999996</v>
      </c>
      <c r="H769" s="8">
        <f t="shared" si="70"/>
        <v>903.54</v>
      </c>
      <c r="I769" s="10">
        <f t="shared" si="71"/>
        <v>4024.8599999999997</v>
      </c>
    </row>
    <row r="770" spans="1:9" x14ac:dyDescent="0.25">
      <c r="A770" s="6">
        <v>1066</v>
      </c>
      <c r="B770" s="5" t="str">
        <f>VLOOKUP(A770, EmployeeMaster!$A:$D, 3, FALSE)</f>
        <v>Sales</v>
      </c>
      <c r="C770" s="8">
        <v>8396</v>
      </c>
      <c r="D770" s="8">
        <f t="shared" si="66"/>
        <v>1679.2</v>
      </c>
      <c r="E770" s="8">
        <f t="shared" si="67"/>
        <v>1007.52</v>
      </c>
      <c r="F770" s="8">
        <f t="shared" si="68"/>
        <v>839.6</v>
      </c>
      <c r="G770" s="8">
        <f t="shared" si="69"/>
        <v>10075.200000000001</v>
      </c>
      <c r="H770" s="8">
        <f t="shared" si="70"/>
        <v>1847.12</v>
      </c>
      <c r="I770" s="10">
        <f t="shared" si="71"/>
        <v>8228.0800000000017</v>
      </c>
    </row>
    <row r="771" spans="1:9" x14ac:dyDescent="0.25">
      <c r="A771" s="6">
        <v>1068</v>
      </c>
      <c r="B771" s="5" t="str">
        <f>VLOOKUP(A771, EmployeeMaster!$A:$D, 3, FALSE)</f>
        <v>Research &amp; Development</v>
      </c>
      <c r="C771" s="8">
        <v>2007</v>
      </c>
      <c r="D771" s="8">
        <f t="shared" ref="D771:D834" si="72">C771*20%</f>
        <v>401.40000000000003</v>
      </c>
      <c r="E771" s="8">
        <f t="shared" ref="E771:E834" si="73">C771*12%</f>
        <v>240.84</v>
      </c>
      <c r="F771" s="8">
        <f t="shared" ref="F771:F834" si="74">C771*10%</f>
        <v>200.70000000000002</v>
      </c>
      <c r="G771" s="8">
        <f t="shared" ref="G771:G834" si="75">C771+D771</f>
        <v>2408.4</v>
      </c>
      <c r="H771" s="8">
        <f t="shared" ref="H771:H834" si="76">E771+F771</f>
        <v>441.54</v>
      </c>
      <c r="I771" s="10">
        <f t="shared" ref="I771:I834" si="77">G771-H771</f>
        <v>1966.8600000000001</v>
      </c>
    </row>
    <row r="772" spans="1:9" x14ac:dyDescent="0.25">
      <c r="A772" s="6">
        <v>1069</v>
      </c>
      <c r="B772" s="5" t="str">
        <f>VLOOKUP(A772, EmployeeMaster!$A:$D, 3, FALSE)</f>
        <v>Research &amp; Development</v>
      </c>
      <c r="C772" s="8">
        <v>19627</v>
      </c>
      <c r="D772" s="8">
        <f t="shared" si="72"/>
        <v>3925.4</v>
      </c>
      <c r="E772" s="8">
        <f t="shared" si="73"/>
        <v>2355.2399999999998</v>
      </c>
      <c r="F772" s="8">
        <f t="shared" si="74"/>
        <v>1962.7</v>
      </c>
      <c r="G772" s="8">
        <f t="shared" si="75"/>
        <v>23552.400000000001</v>
      </c>
      <c r="H772" s="8">
        <f t="shared" si="76"/>
        <v>4317.9399999999996</v>
      </c>
      <c r="I772" s="10">
        <f t="shared" si="77"/>
        <v>19234.460000000003</v>
      </c>
    </row>
    <row r="773" spans="1:9" x14ac:dyDescent="0.25">
      <c r="A773" s="6">
        <v>1070</v>
      </c>
      <c r="B773" s="5" t="str">
        <f>VLOOKUP(A773, EmployeeMaster!$A:$D, 3, FALSE)</f>
        <v>Sales</v>
      </c>
      <c r="C773" s="8">
        <v>10686</v>
      </c>
      <c r="D773" s="8">
        <f t="shared" si="72"/>
        <v>2137.2000000000003</v>
      </c>
      <c r="E773" s="8">
        <f t="shared" si="73"/>
        <v>1282.32</v>
      </c>
      <c r="F773" s="8">
        <f t="shared" si="74"/>
        <v>1068.6000000000001</v>
      </c>
      <c r="G773" s="8">
        <f t="shared" si="75"/>
        <v>12823.2</v>
      </c>
      <c r="H773" s="8">
        <f t="shared" si="76"/>
        <v>2350.92</v>
      </c>
      <c r="I773" s="10">
        <f t="shared" si="77"/>
        <v>10472.280000000001</v>
      </c>
    </row>
    <row r="774" spans="1:9" x14ac:dyDescent="0.25">
      <c r="A774" s="6">
        <v>1071</v>
      </c>
      <c r="B774" s="5" t="str">
        <f>VLOOKUP(A774, EmployeeMaster!$A:$D, 3, FALSE)</f>
        <v>Research &amp; Development</v>
      </c>
      <c r="C774" s="8">
        <v>2942</v>
      </c>
      <c r="D774" s="8">
        <f t="shared" si="72"/>
        <v>588.4</v>
      </c>
      <c r="E774" s="8">
        <f t="shared" si="73"/>
        <v>353.03999999999996</v>
      </c>
      <c r="F774" s="8">
        <f t="shared" si="74"/>
        <v>294.2</v>
      </c>
      <c r="G774" s="8">
        <f t="shared" si="75"/>
        <v>3530.4</v>
      </c>
      <c r="H774" s="8">
        <f t="shared" si="76"/>
        <v>647.24</v>
      </c>
      <c r="I774" s="10">
        <f t="shared" si="77"/>
        <v>2883.16</v>
      </c>
    </row>
    <row r="775" spans="1:9" x14ac:dyDescent="0.25">
      <c r="A775" s="6">
        <v>1073</v>
      </c>
      <c r="B775" s="5" t="str">
        <f>VLOOKUP(A775, EmployeeMaster!$A:$D, 3, FALSE)</f>
        <v>Research &amp; Development</v>
      </c>
      <c r="C775" s="8">
        <v>8858</v>
      </c>
      <c r="D775" s="8">
        <f t="shared" si="72"/>
        <v>1771.6000000000001</v>
      </c>
      <c r="E775" s="8">
        <f t="shared" si="73"/>
        <v>1062.96</v>
      </c>
      <c r="F775" s="8">
        <f t="shared" si="74"/>
        <v>885.80000000000007</v>
      </c>
      <c r="G775" s="8">
        <f t="shared" si="75"/>
        <v>10629.6</v>
      </c>
      <c r="H775" s="8">
        <f t="shared" si="76"/>
        <v>1948.7600000000002</v>
      </c>
      <c r="I775" s="10">
        <f t="shared" si="77"/>
        <v>8680.84</v>
      </c>
    </row>
    <row r="776" spans="1:9" x14ac:dyDescent="0.25">
      <c r="A776" s="6">
        <v>1074</v>
      </c>
      <c r="B776" s="5" t="str">
        <f>VLOOKUP(A776, EmployeeMaster!$A:$D, 3, FALSE)</f>
        <v>Research &amp; Development</v>
      </c>
      <c r="C776" s="8">
        <v>16756</v>
      </c>
      <c r="D776" s="8">
        <f t="shared" si="72"/>
        <v>3351.2000000000003</v>
      </c>
      <c r="E776" s="8">
        <f t="shared" si="73"/>
        <v>2010.72</v>
      </c>
      <c r="F776" s="8">
        <f t="shared" si="74"/>
        <v>1675.6000000000001</v>
      </c>
      <c r="G776" s="8">
        <f t="shared" si="75"/>
        <v>20107.2</v>
      </c>
      <c r="H776" s="8">
        <f t="shared" si="76"/>
        <v>3686.32</v>
      </c>
      <c r="I776" s="10">
        <f t="shared" si="77"/>
        <v>16420.88</v>
      </c>
    </row>
    <row r="777" spans="1:9" x14ac:dyDescent="0.25">
      <c r="A777" s="6">
        <v>1076</v>
      </c>
      <c r="B777" s="5" t="str">
        <f>VLOOKUP(A777, EmployeeMaster!$A:$D, 3, FALSE)</f>
        <v>Sales</v>
      </c>
      <c r="C777" s="8">
        <v>10798</v>
      </c>
      <c r="D777" s="8">
        <f t="shared" si="72"/>
        <v>2159.6</v>
      </c>
      <c r="E777" s="8">
        <f t="shared" si="73"/>
        <v>1295.76</v>
      </c>
      <c r="F777" s="8">
        <f t="shared" si="74"/>
        <v>1079.8</v>
      </c>
      <c r="G777" s="8">
        <f t="shared" si="75"/>
        <v>12957.6</v>
      </c>
      <c r="H777" s="8">
        <f t="shared" si="76"/>
        <v>2375.56</v>
      </c>
      <c r="I777" s="10">
        <f t="shared" si="77"/>
        <v>10582.04</v>
      </c>
    </row>
    <row r="778" spans="1:9" x14ac:dyDescent="0.25">
      <c r="A778" s="6">
        <v>1077</v>
      </c>
      <c r="B778" s="5" t="str">
        <f>VLOOKUP(A778, EmployeeMaster!$A:$D, 3, FALSE)</f>
        <v>Sales</v>
      </c>
      <c r="C778" s="8">
        <v>2323</v>
      </c>
      <c r="D778" s="8">
        <f t="shared" si="72"/>
        <v>464.6</v>
      </c>
      <c r="E778" s="8">
        <f t="shared" si="73"/>
        <v>278.76</v>
      </c>
      <c r="F778" s="8">
        <f t="shared" si="74"/>
        <v>232.3</v>
      </c>
      <c r="G778" s="8">
        <f t="shared" si="75"/>
        <v>2787.6</v>
      </c>
      <c r="H778" s="8">
        <f t="shared" si="76"/>
        <v>511.06</v>
      </c>
      <c r="I778" s="10">
        <f t="shared" si="77"/>
        <v>2276.54</v>
      </c>
    </row>
    <row r="779" spans="1:9" x14ac:dyDescent="0.25">
      <c r="A779" s="6">
        <v>1079</v>
      </c>
      <c r="B779" s="5" t="str">
        <f>VLOOKUP(A779, EmployeeMaster!$A:$D, 3, FALSE)</f>
        <v>Research &amp; Development</v>
      </c>
      <c r="C779" s="8">
        <v>1416</v>
      </c>
      <c r="D779" s="8">
        <f t="shared" si="72"/>
        <v>283.2</v>
      </c>
      <c r="E779" s="8">
        <f t="shared" si="73"/>
        <v>169.92</v>
      </c>
      <c r="F779" s="8">
        <f t="shared" si="74"/>
        <v>141.6</v>
      </c>
      <c r="G779" s="8">
        <f t="shared" si="75"/>
        <v>1699.2</v>
      </c>
      <c r="H779" s="8">
        <f t="shared" si="76"/>
        <v>311.52</v>
      </c>
      <c r="I779" s="10">
        <f t="shared" si="77"/>
        <v>1387.68</v>
      </c>
    </row>
    <row r="780" spans="1:9" x14ac:dyDescent="0.25">
      <c r="A780" s="6">
        <v>1080</v>
      </c>
      <c r="B780" s="5" t="str">
        <f>VLOOKUP(A780, EmployeeMaster!$A:$D, 3, FALSE)</f>
        <v>Research &amp; Development</v>
      </c>
      <c r="C780" s="8">
        <v>4615</v>
      </c>
      <c r="D780" s="8">
        <f t="shared" si="72"/>
        <v>923</v>
      </c>
      <c r="E780" s="8">
        <f t="shared" si="73"/>
        <v>553.79999999999995</v>
      </c>
      <c r="F780" s="8">
        <f t="shared" si="74"/>
        <v>461.5</v>
      </c>
      <c r="G780" s="8">
        <f t="shared" si="75"/>
        <v>5538</v>
      </c>
      <c r="H780" s="8">
        <f t="shared" si="76"/>
        <v>1015.3</v>
      </c>
      <c r="I780" s="10">
        <f t="shared" si="77"/>
        <v>4522.7</v>
      </c>
    </row>
    <row r="781" spans="1:9" x14ac:dyDescent="0.25">
      <c r="A781" s="6">
        <v>1081</v>
      </c>
      <c r="B781" s="5" t="str">
        <f>VLOOKUP(A781, EmployeeMaster!$A:$D, 3, FALSE)</f>
        <v>Research &amp; Development</v>
      </c>
      <c r="C781" s="8">
        <v>2461</v>
      </c>
      <c r="D781" s="8">
        <f t="shared" si="72"/>
        <v>492.20000000000005</v>
      </c>
      <c r="E781" s="8">
        <f t="shared" si="73"/>
        <v>295.32</v>
      </c>
      <c r="F781" s="8">
        <f t="shared" si="74"/>
        <v>246.10000000000002</v>
      </c>
      <c r="G781" s="8">
        <f t="shared" si="75"/>
        <v>2953.2</v>
      </c>
      <c r="H781" s="8">
        <f t="shared" si="76"/>
        <v>541.42000000000007</v>
      </c>
      <c r="I781" s="10">
        <f t="shared" si="77"/>
        <v>2411.7799999999997</v>
      </c>
    </row>
    <row r="782" spans="1:9" x14ac:dyDescent="0.25">
      <c r="A782" s="6">
        <v>1082</v>
      </c>
      <c r="B782" s="5" t="str">
        <f>VLOOKUP(A782, EmployeeMaster!$A:$D, 3, FALSE)</f>
        <v>Research &amp; Development</v>
      </c>
      <c r="C782" s="8">
        <v>8722</v>
      </c>
      <c r="D782" s="8">
        <f t="shared" si="72"/>
        <v>1744.4</v>
      </c>
      <c r="E782" s="8">
        <f t="shared" si="73"/>
        <v>1046.6399999999999</v>
      </c>
      <c r="F782" s="8">
        <f t="shared" si="74"/>
        <v>872.2</v>
      </c>
      <c r="G782" s="8">
        <f t="shared" si="75"/>
        <v>10466.4</v>
      </c>
      <c r="H782" s="8">
        <f t="shared" si="76"/>
        <v>1918.84</v>
      </c>
      <c r="I782" s="10">
        <f t="shared" si="77"/>
        <v>8547.56</v>
      </c>
    </row>
    <row r="783" spans="1:9" x14ac:dyDescent="0.25">
      <c r="A783" s="6">
        <v>1083</v>
      </c>
      <c r="B783" s="5" t="str">
        <f>VLOOKUP(A783, EmployeeMaster!$A:$D, 3, FALSE)</f>
        <v>Research &amp; Development</v>
      </c>
      <c r="C783" s="8">
        <v>3955</v>
      </c>
      <c r="D783" s="8">
        <f t="shared" si="72"/>
        <v>791</v>
      </c>
      <c r="E783" s="8">
        <f t="shared" si="73"/>
        <v>474.59999999999997</v>
      </c>
      <c r="F783" s="8">
        <f t="shared" si="74"/>
        <v>395.5</v>
      </c>
      <c r="G783" s="8">
        <f t="shared" si="75"/>
        <v>4746</v>
      </c>
      <c r="H783" s="8">
        <f t="shared" si="76"/>
        <v>870.09999999999991</v>
      </c>
      <c r="I783" s="10">
        <f t="shared" si="77"/>
        <v>3875.9</v>
      </c>
    </row>
    <row r="784" spans="1:9" x14ac:dyDescent="0.25">
      <c r="A784" s="6">
        <v>1084</v>
      </c>
      <c r="B784" s="5" t="str">
        <f>VLOOKUP(A784, EmployeeMaster!$A:$D, 3, FALSE)</f>
        <v>Research &amp; Development</v>
      </c>
      <c r="C784" s="8">
        <v>9957</v>
      </c>
      <c r="D784" s="8">
        <f t="shared" si="72"/>
        <v>1991.4</v>
      </c>
      <c r="E784" s="8">
        <f t="shared" si="73"/>
        <v>1194.8399999999999</v>
      </c>
      <c r="F784" s="8">
        <f t="shared" si="74"/>
        <v>995.7</v>
      </c>
      <c r="G784" s="8">
        <f t="shared" si="75"/>
        <v>11948.4</v>
      </c>
      <c r="H784" s="8">
        <f t="shared" si="76"/>
        <v>2190.54</v>
      </c>
      <c r="I784" s="10">
        <f t="shared" si="77"/>
        <v>9757.86</v>
      </c>
    </row>
    <row r="785" spans="1:9" x14ac:dyDescent="0.25">
      <c r="A785" s="6">
        <v>1085</v>
      </c>
      <c r="B785" s="5" t="str">
        <f>VLOOKUP(A785, EmployeeMaster!$A:$D, 3, FALSE)</f>
        <v>Research &amp; Development</v>
      </c>
      <c r="C785" s="8">
        <v>3376</v>
      </c>
      <c r="D785" s="8">
        <f t="shared" si="72"/>
        <v>675.2</v>
      </c>
      <c r="E785" s="8">
        <f t="shared" si="73"/>
        <v>405.12</v>
      </c>
      <c r="F785" s="8">
        <f t="shared" si="74"/>
        <v>337.6</v>
      </c>
      <c r="G785" s="8">
        <f t="shared" si="75"/>
        <v>4051.2</v>
      </c>
      <c r="H785" s="8">
        <f t="shared" si="76"/>
        <v>742.72</v>
      </c>
      <c r="I785" s="10">
        <f t="shared" si="77"/>
        <v>3308.4799999999996</v>
      </c>
    </row>
    <row r="786" spans="1:9" x14ac:dyDescent="0.25">
      <c r="A786" s="6">
        <v>1088</v>
      </c>
      <c r="B786" s="5" t="str">
        <f>VLOOKUP(A786, EmployeeMaster!$A:$D, 3, FALSE)</f>
        <v>Research &amp; Development</v>
      </c>
      <c r="C786" s="8">
        <v>8823</v>
      </c>
      <c r="D786" s="8">
        <f t="shared" si="72"/>
        <v>1764.6000000000001</v>
      </c>
      <c r="E786" s="8">
        <f t="shared" si="73"/>
        <v>1058.76</v>
      </c>
      <c r="F786" s="8">
        <f t="shared" si="74"/>
        <v>882.30000000000007</v>
      </c>
      <c r="G786" s="8">
        <f t="shared" si="75"/>
        <v>10587.6</v>
      </c>
      <c r="H786" s="8">
        <f t="shared" si="76"/>
        <v>1941.06</v>
      </c>
      <c r="I786" s="10">
        <f t="shared" si="77"/>
        <v>8646.5400000000009</v>
      </c>
    </row>
    <row r="787" spans="1:9" x14ac:dyDescent="0.25">
      <c r="A787" s="6">
        <v>1092</v>
      </c>
      <c r="B787" s="5" t="str">
        <f>VLOOKUP(A787, EmployeeMaster!$A:$D, 3, FALSE)</f>
        <v>Research &amp; Development</v>
      </c>
      <c r="C787" s="8">
        <v>10322</v>
      </c>
      <c r="D787" s="8">
        <f t="shared" si="72"/>
        <v>2064.4</v>
      </c>
      <c r="E787" s="8">
        <f t="shared" si="73"/>
        <v>1238.6399999999999</v>
      </c>
      <c r="F787" s="8">
        <f t="shared" si="74"/>
        <v>1032.2</v>
      </c>
      <c r="G787" s="8">
        <f t="shared" si="75"/>
        <v>12386.4</v>
      </c>
      <c r="H787" s="8">
        <f t="shared" si="76"/>
        <v>2270.84</v>
      </c>
      <c r="I787" s="10">
        <f t="shared" si="77"/>
        <v>10115.56</v>
      </c>
    </row>
    <row r="788" spans="1:9" x14ac:dyDescent="0.25">
      <c r="A788" s="6">
        <v>1094</v>
      </c>
      <c r="B788" s="5" t="str">
        <f>VLOOKUP(A788, EmployeeMaster!$A:$D, 3, FALSE)</f>
        <v>Research &amp; Development</v>
      </c>
      <c r="C788" s="8">
        <v>4621</v>
      </c>
      <c r="D788" s="8">
        <f t="shared" si="72"/>
        <v>924.2</v>
      </c>
      <c r="E788" s="8">
        <f t="shared" si="73"/>
        <v>554.52</v>
      </c>
      <c r="F788" s="8">
        <f t="shared" si="74"/>
        <v>462.1</v>
      </c>
      <c r="G788" s="8">
        <f t="shared" si="75"/>
        <v>5545.2</v>
      </c>
      <c r="H788" s="8">
        <f t="shared" si="76"/>
        <v>1016.62</v>
      </c>
      <c r="I788" s="10">
        <f t="shared" si="77"/>
        <v>4528.58</v>
      </c>
    </row>
    <row r="789" spans="1:9" x14ac:dyDescent="0.25">
      <c r="A789" s="6">
        <v>1096</v>
      </c>
      <c r="B789" s="5" t="str">
        <f>VLOOKUP(A789, EmployeeMaster!$A:$D, 3, FALSE)</f>
        <v>Research &amp; Development</v>
      </c>
      <c r="C789" s="8">
        <v>10976</v>
      </c>
      <c r="D789" s="8">
        <f t="shared" si="72"/>
        <v>2195.2000000000003</v>
      </c>
      <c r="E789" s="8">
        <f t="shared" si="73"/>
        <v>1317.12</v>
      </c>
      <c r="F789" s="8">
        <f t="shared" si="74"/>
        <v>1097.6000000000001</v>
      </c>
      <c r="G789" s="8">
        <f t="shared" si="75"/>
        <v>13171.2</v>
      </c>
      <c r="H789" s="8">
        <f t="shared" si="76"/>
        <v>2414.7200000000003</v>
      </c>
      <c r="I789" s="10">
        <f t="shared" si="77"/>
        <v>10756.48</v>
      </c>
    </row>
    <row r="790" spans="1:9" x14ac:dyDescent="0.25">
      <c r="A790" s="6">
        <v>1097</v>
      </c>
      <c r="B790" s="5" t="str">
        <f>VLOOKUP(A790, EmployeeMaster!$A:$D, 3, FALSE)</f>
        <v>Research &amp; Development</v>
      </c>
      <c r="C790" s="8">
        <v>3660</v>
      </c>
      <c r="D790" s="8">
        <f t="shared" si="72"/>
        <v>732</v>
      </c>
      <c r="E790" s="8">
        <f t="shared" si="73"/>
        <v>439.2</v>
      </c>
      <c r="F790" s="8">
        <f t="shared" si="74"/>
        <v>366</v>
      </c>
      <c r="G790" s="8">
        <f t="shared" si="75"/>
        <v>4392</v>
      </c>
      <c r="H790" s="8">
        <f t="shared" si="76"/>
        <v>805.2</v>
      </c>
      <c r="I790" s="10">
        <f t="shared" si="77"/>
        <v>3586.8</v>
      </c>
    </row>
    <row r="791" spans="1:9" x14ac:dyDescent="0.25">
      <c r="A791" s="6">
        <v>1098</v>
      </c>
      <c r="B791" s="5" t="str">
        <f>VLOOKUP(A791, EmployeeMaster!$A:$D, 3, FALSE)</f>
        <v>Human Resources</v>
      </c>
      <c r="C791" s="8">
        <v>10482</v>
      </c>
      <c r="D791" s="8">
        <f t="shared" si="72"/>
        <v>2096.4</v>
      </c>
      <c r="E791" s="8">
        <f t="shared" si="73"/>
        <v>1257.8399999999999</v>
      </c>
      <c r="F791" s="8">
        <f t="shared" si="74"/>
        <v>1048.2</v>
      </c>
      <c r="G791" s="8">
        <f t="shared" si="75"/>
        <v>12578.4</v>
      </c>
      <c r="H791" s="8">
        <f t="shared" si="76"/>
        <v>2306.04</v>
      </c>
      <c r="I791" s="10">
        <f t="shared" si="77"/>
        <v>10272.36</v>
      </c>
    </row>
    <row r="792" spans="1:9" x14ac:dyDescent="0.25">
      <c r="A792" s="6">
        <v>1099</v>
      </c>
      <c r="B792" s="5" t="str">
        <f>VLOOKUP(A792, EmployeeMaster!$A:$D, 3, FALSE)</f>
        <v>Research &amp; Development</v>
      </c>
      <c r="C792" s="8">
        <v>7119</v>
      </c>
      <c r="D792" s="8">
        <f t="shared" si="72"/>
        <v>1423.8000000000002</v>
      </c>
      <c r="E792" s="8">
        <f t="shared" si="73"/>
        <v>854.28</v>
      </c>
      <c r="F792" s="8">
        <f t="shared" si="74"/>
        <v>711.90000000000009</v>
      </c>
      <c r="G792" s="8">
        <f t="shared" si="75"/>
        <v>8542.7999999999993</v>
      </c>
      <c r="H792" s="8">
        <f t="shared" si="76"/>
        <v>1566.18</v>
      </c>
      <c r="I792" s="10">
        <f t="shared" si="77"/>
        <v>6976.619999999999</v>
      </c>
    </row>
    <row r="793" spans="1:9" x14ac:dyDescent="0.25">
      <c r="A793" s="6">
        <v>1100</v>
      </c>
      <c r="B793" s="5" t="str">
        <f>VLOOKUP(A793, EmployeeMaster!$A:$D, 3, FALSE)</f>
        <v>Sales</v>
      </c>
      <c r="C793" s="8">
        <v>9582</v>
      </c>
      <c r="D793" s="8">
        <f t="shared" si="72"/>
        <v>1916.4</v>
      </c>
      <c r="E793" s="8">
        <f t="shared" si="73"/>
        <v>1149.8399999999999</v>
      </c>
      <c r="F793" s="8">
        <f t="shared" si="74"/>
        <v>958.2</v>
      </c>
      <c r="G793" s="8">
        <f t="shared" si="75"/>
        <v>11498.4</v>
      </c>
      <c r="H793" s="8">
        <f t="shared" si="76"/>
        <v>2108.04</v>
      </c>
      <c r="I793" s="10">
        <f t="shared" si="77"/>
        <v>9390.36</v>
      </c>
    </row>
    <row r="794" spans="1:9" x14ac:dyDescent="0.25">
      <c r="A794" s="6">
        <v>1101</v>
      </c>
      <c r="B794" s="5" t="str">
        <f>VLOOKUP(A794, EmployeeMaster!$A:$D, 3, FALSE)</f>
        <v>Research &amp; Development</v>
      </c>
      <c r="C794" s="8">
        <v>4508</v>
      </c>
      <c r="D794" s="8">
        <f t="shared" si="72"/>
        <v>901.6</v>
      </c>
      <c r="E794" s="8">
        <f t="shared" si="73"/>
        <v>540.96</v>
      </c>
      <c r="F794" s="8">
        <f t="shared" si="74"/>
        <v>450.8</v>
      </c>
      <c r="G794" s="8">
        <f t="shared" si="75"/>
        <v>5409.6</v>
      </c>
      <c r="H794" s="8">
        <f t="shared" si="76"/>
        <v>991.76</v>
      </c>
      <c r="I794" s="10">
        <f t="shared" si="77"/>
        <v>4417.84</v>
      </c>
    </row>
    <row r="795" spans="1:9" x14ac:dyDescent="0.25">
      <c r="A795" s="6">
        <v>1102</v>
      </c>
      <c r="B795" s="5" t="str">
        <f>VLOOKUP(A795, EmployeeMaster!$A:$D, 3, FALSE)</f>
        <v>Research &amp; Development</v>
      </c>
      <c r="C795" s="8">
        <v>2207</v>
      </c>
      <c r="D795" s="8">
        <f t="shared" si="72"/>
        <v>441.40000000000003</v>
      </c>
      <c r="E795" s="8">
        <f t="shared" si="73"/>
        <v>264.83999999999997</v>
      </c>
      <c r="F795" s="8">
        <f t="shared" si="74"/>
        <v>220.70000000000002</v>
      </c>
      <c r="G795" s="8">
        <f t="shared" si="75"/>
        <v>2648.4</v>
      </c>
      <c r="H795" s="8">
        <f t="shared" si="76"/>
        <v>485.53999999999996</v>
      </c>
      <c r="I795" s="10">
        <f t="shared" si="77"/>
        <v>2162.86</v>
      </c>
    </row>
    <row r="796" spans="1:9" x14ac:dyDescent="0.25">
      <c r="A796" s="6">
        <v>1103</v>
      </c>
      <c r="B796" s="5" t="str">
        <f>VLOOKUP(A796, EmployeeMaster!$A:$D, 3, FALSE)</f>
        <v>Research &amp; Development</v>
      </c>
      <c r="C796" s="8">
        <v>7756</v>
      </c>
      <c r="D796" s="8">
        <f t="shared" si="72"/>
        <v>1551.2</v>
      </c>
      <c r="E796" s="8">
        <f t="shared" si="73"/>
        <v>930.71999999999991</v>
      </c>
      <c r="F796" s="8">
        <f t="shared" si="74"/>
        <v>775.6</v>
      </c>
      <c r="G796" s="8">
        <f t="shared" si="75"/>
        <v>9307.2000000000007</v>
      </c>
      <c r="H796" s="8">
        <f t="shared" si="76"/>
        <v>1706.32</v>
      </c>
      <c r="I796" s="10">
        <f t="shared" si="77"/>
        <v>7600.880000000001</v>
      </c>
    </row>
    <row r="797" spans="1:9" x14ac:dyDescent="0.25">
      <c r="A797" s="6">
        <v>1105</v>
      </c>
      <c r="B797" s="5" t="str">
        <f>VLOOKUP(A797, EmployeeMaster!$A:$D, 3, FALSE)</f>
        <v>Sales</v>
      </c>
      <c r="C797" s="8">
        <v>6694</v>
      </c>
      <c r="D797" s="8">
        <f t="shared" si="72"/>
        <v>1338.8000000000002</v>
      </c>
      <c r="E797" s="8">
        <f t="shared" si="73"/>
        <v>803.28</v>
      </c>
      <c r="F797" s="8">
        <f t="shared" si="74"/>
        <v>669.40000000000009</v>
      </c>
      <c r="G797" s="8">
        <f t="shared" si="75"/>
        <v>8032.8</v>
      </c>
      <c r="H797" s="8">
        <f t="shared" si="76"/>
        <v>1472.68</v>
      </c>
      <c r="I797" s="10">
        <f t="shared" si="77"/>
        <v>6560.12</v>
      </c>
    </row>
    <row r="798" spans="1:9" x14ac:dyDescent="0.25">
      <c r="A798" s="6">
        <v>1106</v>
      </c>
      <c r="B798" s="5" t="str">
        <f>VLOOKUP(A798, EmployeeMaster!$A:$D, 3, FALSE)</f>
        <v>Research &amp; Development</v>
      </c>
      <c r="C798" s="8">
        <v>3691</v>
      </c>
      <c r="D798" s="8">
        <f t="shared" si="72"/>
        <v>738.2</v>
      </c>
      <c r="E798" s="8">
        <f t="shared" si="73"/>
        <v>442.91999999999996</v>
      </c>
      <c r="F798" s="8">
        <f t="shared" si="74"/>
        <v>369.1</v>
      </c>
      <c r="G798" s="8">
        <f t="shared" si="75"/>
        <v>4429.2</v>
      </c>
      <c r="H798" s="8">
        <f t="shared" si="76"/>
        <v>812.02</v>
      </c>
      <c r="I798" s="10">
        <f t="shared" si="77"/>
        <v>3617.18</v>
      </c>
    </row>
    <row r="799" spans="1:9" x14ac:dyDescent="0.25">
      <c r="A799" s="6">
        <v>1107</v>
      </c>
      <c r="B799" s="5" t="str">
        <f>VLOOKUP(A799, EmployeeMaster!$A:$D, 3, FALSE)</f>
        <v>Research &amp; Development</v>
      </c>
      <c r="C799" s="8">
        <v>2377</v>
      </c>
      <c r="D799" s="8">
        <f t="shared" si="72"/>
        <v>475.40000000000003</v>
      </c>
      <c r="E799" s="8">
        <f t="shared" si="73"/>
        <v>285.24</v>
      </c>
      <c r="F799" s="8">
        <f t="shared" si="74"/>
        <v>237.70000000000002</v>
      </c>
      <c r="G799" s="8">
        <f t="shared" si="75"/>
        <v>2852.4</v>
      </c>
      <c r="H799" s="8">
        <f t="shared" si="76"/>
        <v>522.94000000000005</v>
      </c>
      <c r="I799" s="10">
        <f t="shared" si="77"/>
        <v>2329.46</v>
      </c>
    </row>
    <row r="800" spans="1:9" x14ac:dyDescent="0.25">
      <c r="A800" s="6">
        <v>1108</v>
      </c>
      <c r="B800" s="5" t="str">
        <f>VLOOKUP(A800, EmployeeMaster!$A:$D, 3, FALSE)</f>
        <v>Research &amp; Development</v>
      </c>
      <c r="C800" s="8">
        <v>2313</v>
      </c>
      <c r="D800" s="8">
        <f t="shared" si="72"/>
        <v>462.6</v>
      </c>
      <c r="E800" s="8">
        <f t="shared" si="73"/>
        <v>277.56</v>
      </c>
      <c r="F800" s="8">
        <f t="shared" si="74"/>
        <v>231.3</v>
      </c>
      <c r="G800" s="8">
        <f t="shared" si="75"/>
        <v>2775.6</v>
      </c>
      <c r="H800" s="8">
        <f t="shared" si="76"/>
        <v>508.86</v>
      </c>
      <c r="I800" s="10">
        <f t="shared" si="77"/>
        <v>2266.7399999999998</v>
      </c>
    </row>
    <row r="801" spans="1:9" x14ac:dyDescent="0.25">
      <c r="A801" s="6">
        <v>1109</v>
      </c>
      <c r="B801" s="5" t="str">
        <f>VLOOKUP(A801, EmployeeMaster!$A:$D, 3, FALSE)</f>
        <v>Research &amp; Development</v>
      </c>
      <c r="C801" s="8">
        <v>17665</v>
      </c>
      <c r="D801" s="8">
        <f t="shared" si="72"/>
        <v>3533</v>
      </c>
      <c r="E801" s="8">
        <f t="shared" si="73"/>
        <v>2119.7999999999997</v>
      </c>
      <c r="F801" s="8">
        <f t="shared" si="74"/>
        <v>1766.5</v>
      </c>
      <c r="G801" s="8">
        <f t="shared" si="75"/>
        <v>21198</v>
      </c>
      <c r="H801" s="8">
        <f t="shared" si="76"/>
        <v>3886.2999999999997</v>
      </c>
      <c r="I801" s="10">
        <f t="shared" si="77"/>
        <v>17311.7</v>
      </c>
    </row>
    <row r="802" spans="1:9" x14ac:dyDescent="0.25">
      <c r="A802" s="6">
        <v>1111</v>
      </c>
      <c r="B802" s="5" t="str">
        <f>VLOOKUP(A802, EmployeeMaster!$A:$D, 3, FALSE)</f>
        <v>Research &amp; Development</v>
      </c>
      <c r="C802" s="8">
        <v>2596</v>
      </c>
      <c r="D802" s="8">
        <f t="shared" si="72"/>
        <v>519.20000000000005</v>
      </c>
      <c r="E802" s="8">
        <f t="shared" si="73"/>
        <v>311.52</v>
      </c>
      <c r="F802" s="8">
        <f t="shared" si="74"/>
        <v>259.60000000000002</v>
      </c>
      <c r="G802" s="8">
        <f t="shared" si="75"/>
        <v>3115.2</v>
      </c>
      <c r="H802" s="8">
        <f t="shared" si="76"/>
        <v>571.12</v>
      </c>
      <c r="I802" s="10">
        <f t="shared" si="77"/>
        <v>2544.08</v>
      </c>
    </row>
    <row r="803" spans="1:9" x14ac:dyDescent="0.25">
      <c r="A803" s="6">
        <v>1113</v>
      </c>
      <c r="B803" s="5" t="str">
        <f>VLOOKUP(A803, EmployeeMaster!$A:$D, 3, FALSE)</f>
        <v>Sales</v>
      </c>
      <c r="C803" s="8">
        <v>4728</v>
      </c>
      <c r="D803" s="8">
        <f t="shared" si="72"/>
        <v>945.6</v>
      </c>
      <c r="E803" s="8">
        <f t="shared" si="73"/>
        <v>567.36</v>
      </c>
      <c r="F803" s="8">
        <f t="shared" si="74"/>
        <v>472.8</v>
      </c>
      <c r="G803" s="8">
        <f t="shared" si="75"/>
        <v>5673.6</v>
      </c>
      <c r="H803" s="8">
        <f t="shared" si="76"/>
        <v>1040.1600000000001</v>
      </c>
      <c r="I803" s="10">
        <f t="shared" si="77"/>
        <v>4633.4400000000005</v>
      </c>
    </row>
    <row r="804" spans="1:9" x14ac:dyDescent="0.25">
      <c r="A804" s="6">
        <v>1114</v>
      </c>
      <c r="B804" s="5" t="str">
        <f>VLOOKUP(A804, EmployeeMaster!$A:$D, 3, FALSE)</f>
        <v>Sales</v>
      </c>
      <c r="C804" s="8">
        <v>4302</v>
      </c>
      <c r="D804" s="8">
        <f t="shared" si="72"/>
        <v>860.40000000000009</v>
      </c>
      <c r="E804" s="8">
        <f t="shared" si="73"/>
        <v>516.24</v>
      </c>
      <c r="F804" s="8">
        <f t="shared" si="74"/>
        <v>430.20000000000005</v>
      </c>
      <c r="G804" s="8">
        <f t="shared" si="75"/>
        <v>5162.3999999999996</v>
      </c>
      <c r="H804" s="8">
        <f t="shared" si="76"/>
        <v>946.44</v>
      </c>
      <c r="I804" s="10">
        <f t="shared" si="77"/>
        <v>4215.9599999999991</v>
      </c>
    </row>
    <row r="805" spans="1:9" x14ac:dyDescent="0.25">
      <c r="A805" s="6">
        <v>1115</v>
      </c>
      <c r="B805" s="5" t="str">
        <f>VLOOKUP(A805, EmployeeMaster!$A:$D, 3, FALSE)</f>
        <v>Research &amp; Development</v>
      </c>
      <c r="C805" s="8">
        <v>2979</v>
      </c>
      <c r="D805" s="8">
        <f t="shared" si="72"/>
        <v>595.80000000000007</v>
      </c>
      <c r="E805" s="8">
        <f t="shared" si="73"/>
        <v>357.47999999999996</v>
      </c>
      <c r="F805" s="8">
        <f t="shared" si="74"/>
        <v>297.90000000000003</v>
      </c>
      <c r="G805" s="8">
        <f t="shared" si="75"/>
        <v>3574.8</v>
      </c>
      <c r="H805" s="8">
        <f t="shared" si="76"/>
        <v>655.38</v>
      </c>
      <c r="I805" s="10">
        <f t="shared" si="77"/>
        <v>2919.42</v>
      </c>
    </row>
    <row r="806" spans="1:9" x14ac:dyDescent="0.25">
      <c r="A806" s="6">
        <v>1116</v>
      </c>
      <c r="B806" s="5" t="str">
        <f>VLOOKUP(A806, EmployeeMaster!$A:$D, 3, FALSE)</f>
        <v>Research &amp; Development</v>
      </c>
      <c r="C806" s="8">
        <v>16885</v>
      </c>
      <c r="D806" s="8">
        <f t="shared" si="72"/>
        <v>3377</v>
      </c>
      <c r="E806" s="8">
        <f t="shared" si="73"/>
        <v>2026.1999999999998</v>
      </c>
      <c r="F806" s="8">
        <f t="shared" si="74"/>
        <v>1688.5</v>
      </c>
      <c r="G806" s="8">
        <f t="shared" si="75"/>
        <v>20262</v>
      </c>
      <c r="H806" s="8">
        <f t="shared" si="76"/>
        <v>3714.7</v>
      </c>
      <c r="I806" s="10">
        <f t="shared" si="77"/>
        <v>16547.3</v>
      </c>
    </row>
    <row r="807" spans="1:9" x14ac:dyDescent="0.25">
      <c r="A807" s="6">
        <v>1117</v>
      </c>
      <c r="B807" s="5" t="str">
        <f>VLOOKUP(A807, EmployeeMaster!$A:$D, 3, FALSE)</f>
        <v>Sales</v>
      </c>
      <c r="C807" s="8">
        <v>5593</v>
      </c>
      <c r="D807" s="8">
        <f t="shared" si="72"/>
        <v>1118.6000000000001</v>
      </c>
      <c r="E807" s="8">
        <f t="shared" si="73"/>
        <v>671.16</v>
      </c>
      <c r="F807" s="8">
        <f t="shared" si="74"/>
        <v>559.30000000000007</v>
      </c>
      <c r="G807" s="8">
        <f t="shared" si="75"/>
        <v>6711.6</v>
      </c>
      <c r="H807" s="8">
        <f t="shared" si="76"/>
        <v>1230.46</v>
      </c>
      <c r="I807" s="10">
        <f t="shared" si="77"/>
        <v>5481.14</v>
      </c>
    </row>
    <row r="808" spans="1:9" x14ac:dyDescent="0.25">
      <c r="A808" s="6">
        <v>1118</v>
      </c>
      <c r="B808" s="5" t="str">
        <f>VLOOKUP(A808, EmployeeMaster!$A:$D, 3, FALSE)</f>
        <v>Research &amp; Development</v>
      </c>
      <c r="C808" s="8">
        <v>10445</v>
      </c>
      <c r="D808" s="8">
        <f t="shared" si="72"/>
        <v>2089</v>
      </c>
      <c r="E808" s="8">
        <f t="shared" si="73"/>
        <v>1253.3999999999999</v>
      </c>
      <c r="F808" s="8">
        <f t="shared" si="74"/>
        <v>1044.5</v>
      </c>
      <c r="G808" s="8">
        <f t="shared" si="75"/>
        <v>12534</v>
      </c>
      <c r="H808" s="8">
        <f t="shared" si="76"/>
        <v>2297.8999999999996</v>
      </c>
      <c r="I808" s="10">
        <f t="shared" si="77"/>
        <v>10236.1</v>
      </c>
    </row>
    <row r="809" spans="1:9" x14ac:dyDescent="0.25">
      <c r="A809" s="6">
        <v>1119</v>
      </c>
      <c r="B809" s="5" t="str">
        <f>VLOOKUP(A809, EmployeeMaster!$A:$D, 3, FALSE)</f>
        <v>Sales</v>
      </c>
      <c r="C809" s="8">
        <v>8740</v>
      </c>
      <c r="D809" s="8">
        <f t="shared" si="72"/>
        <v>1748</v>
      </c>
      <c r="E809" s="8">
        <f t="shared" si="73"/>
        <v>1048.8</v>
      </c>
      <c r="F809" s="8">
        <f t="shared" si="74"/>
        <v>874</v>
      </c>
      <c r="G809" s="8">
        <f t="shared" si="75"/>
        <v>10488</v>
      </c>
      <c r="H809" s="8">
        <f t="shared" si="76"/>
        <v>1922.8</v>
      </c>
      <c r="I809" s="10">
        <f t="shared" si="77"/>
        <v>8565.2000000000007</v>
      </c>
    </row>
    <row r="810" spans="1:9" x14ac:dyDescent="0.25">
      <c r="A810" s="6">
        <v>1120</v>
      </c>
      <c r="B810" s="5" t="str">
        <f>VLOOKUP(A810, EmployeeMaster!$A:$D, 3, FALSE)</f>
        <v>Research &amp; Development</v>
      </c>
      <c r="C810" s="8">
        <v>2514</v>
      </c>
      <c r="D810" s="8">
        <f t="shared" si="72"/>
        <v>502.8</v>
      </c>
      <c r="E810" s="8">
        <f t="shared" si="73"/>
        <v>301.68</v>
      </c>
      <c r="F810" s="8">
        <f t="shared" si="74"/>
        <v>251.4</v>
      </c>
      <c r="G810" s="8">
        <f t="shared" si="75"/>
        <v>3016.8</v>
      </c>
      <c r="H810" s="8">
        <f t="shared" si="76"/>
        <v>553.08000000000004</v>
      </c>
      <c r="I810" s="10">
        <f t="shared" si="77"/>
        <v>2463.7200000000003</v>
      </c>
    </row>
    <row r="811" spans="1:9" x14ac:dyDescent="0.25">
      <c r="A811" s="6">
        <v>1121</v>
      </c>
      <c r="B811" s="5" t="str">
        <f>VLOOKUP(A811, EmployeeMaster!$A:$D, 3, FALSE)</f>
        <v>Research &amp; Development</v>
      </c>
      <c r="C811" s="8">
        <v>7655</v>
      </c>
      <c r="D811" s="8">
        <f t="shared" si="72"/>
        <v>1531</v>
      </c>
      <c r="E811" s="8">
        <f t="shared" si="73"/>
        <v>918.6</v>
      </c>
      <c r="F811" s="8">
        <f t="shared" si="74"/>
        <v>765.5</v>
      </c>
      <c r="G811" s="8">
        <f t="shared" si="75"/>
        <v>9186</v>
      </c>
      <c r="H811" s="8">
        <f t="shared" si="76"/>
        <v>1684.1</v>
      </c>
      <c r="I811" s="10">
        <f t="shared" si="77"/>
        <v>7501.9</v>
      </c>
    </row>
    <row r="812" spans="1:9" x14ac:dyDescent="0.25">
      <c r="A812" s="6">
        <v>1124</v>
      </c>
      <c r="B812" s="5" t="str">
        <f>VLOOKUP(A812, EmployeeMaster!$A:$D, 3, FALSE)</f>
        <v>Sales</v>
      </c>
      <c r="C812" s="8">
        <v>17465</v>
      </c>
      <c r="D812" s="8">
        <f t="shared" si="72"/>
        <v>3493</v>
      </c>
      <c r="E812" s="8">
        <f t="shared" si="73"/>
        <v>2095.7999999999997</v>
      </c>
      <c r="F812" s="8">
        <f t="shared" si="74"/>
        <v>1746.5</v>
      </c>
      <c r="G812" s="8">
        <f t="shared" si="75"/>
        <v>20958</v>
      </c>
      <c r="H812" s="8">
        <f t="shared" si="76"/>
        <v>3842.2999999999997</v>
      </c>
      <c r="I812" s="10">
        <f t="shared" si="77"/>
        <v>17115.7</v>
      </c>
    </row>
    <row r="813" spans="1:9" x14ac:dyDescent="0.25">
      <c r="A813" s="6">
        <v>1125</v>
      </c>
      <c r="B813" s="5" t="str">
        <f>VLOOKUP(A813, EmployeeMaster!$A:$D, 3, FALSE)</f>
        <v>Sales</v>
      </c>
      <c r="C813" s="8">
        <v>7351</v>
      </c>
      <c r="D813" s="8">
        <f t="shared" si="72"/>
        <v>1470.2</v>
      </c>
      <c r="E813" s="8">
        <f t="shared" si="73"/>
        <v>882.12</v>
      </c>
      <c r="F813" s="8">
        <f t="shared" si="74"/>
        <v>735.1</v>
      </c>
      <c r="G813" s="8">
        <f t="shared" si="75"/>
        <v>8821.2000000000007</v>
      </c>
      <c r="H813" s="8">
        <f t="shared" si="76"/>
        <v>1617.22</v>
      </c>
      <c r="I813" s="10">
        <f t="shared" si="77"/>
        <v>7203.9800000000005</v>
      </c>
    </row>
    <row r="814" spans="1:9" x14ac:dyDescent="0.25">
      <c r="A814" s="6">
        <v>1126</v>
      </c>
      <c r="B814" s="5" t="str">
        <f>VLOOKUP(A814, EmployeeMaster!$A:$D, 3, FALSE)</f>
        <v>Research &amp; Development</v>
      </c>
      <c r="C814" s="8">
        <v>10820</v>
      </c>
      <c r="D814" s="8">
        <f t="shared" si="72"/>
        <v>2164</v>
      </c>
      <c r="E814" s="8">
        <f t="shared" si="73"/>
        <v>1298.3999999999999</v>
      </c>
      <c r="F814" s="8">
        <f t="shared" si="74"/>
        <v>1082</v>
      </c>
      <c r="G814" s="8">
        <f t="shared" si="75"/>
        <v>12984</v>
      </c>
      <c r="H814" s="8">
        <f t="shared" si="76"/>
        <v>2380.3999999999996</v>
      </c>
      <c r="I814" s="10">
        <f t="shared" si="77"/>
        <v>10603.6</v>
      </c>
    </row>
    <row r="815" spans="1:9" x14ac:dyDescent="0.25">
      <c r="A815" s="6">
        <v>1127</v>
      </c>
      <c r="B815" s="5" t="str">
        <f>VLOOKUP(A815, EmployeeMaster!$A:$D, 3, FALSE)</f>
        <v>Research &amp; Development</v>
      </c>
      <c r="C815" s="8">
        <v>12169</v>
      </c>
      <c r="D815" s="8">
        <f t="shared" si="72"/>
        <v>2433.8000000000002</v>
      </c>
      <c r="E815" s="8">
        <f t="shared" si="73"/>
        <v>1460.28</v>
      </c>
      <c r="F815" s="8">
        <f t="shared" si="74"/>
        <v>1216.9000000000001</v>
      </c>
      <c r="G815" s="8">
        <f t="shared" si="75"/>
        <v>14602.8</v>
      </c>
      <c r="H815" s="8">
        <f t="shared" si="76"/>
        <v>2677.1800000000003</v>
      </c>
      <c r="I815" s="10">
        <f t="shared" si="77"/>
        <v>11925.619999999999</v>
      </c>
    </row>
    <row r="816" spans="1:9" x14ac:dyDescent="0.25">
      <c r="A816" s="6">
        <v>1128</v>
      </c>
      <c r="B816" s="5" t="str">
        <f>VLOOKUP(A816, EmployeeMaster!$A:$D, 3, FALSE)</f>
        <v>Research &amp; Development</v>
      </c>
      <c r="C816" s="8">
        <v>19626</v>
      </c>
      <c r="D816" s="8">
        <f t="shared" si="72"/>
        <v>3925.2000000000003</v>
      </c>
      <c r="E816" s="8">
        <f t="shared" si="73"/>
        <v>2355.12</v>
      </c>
      <c r="F816" s="8">
        <f t="shared" si="74"/>
        <v>1962.6000000000001</v>
      </c>
      <c r="G816" s="8">
        <f t="shared" si="75"/>
        <v>23551.200000000001</v>
      </c>
      <c r="H816" s="8">
        <f t="shared" si="76"/>
        <v>4317.72</v>
      </c>
      <c r="I816" s="10">
        <f t="shared" si="77"/>
        <v>19233.48</v>
      </c>
    </row>
    <row r="817" spans="1:9" x14ac:dyDescent="0.25">
      <c r="A817" s="6">
        <v>1131</v>
      </c>
      <c r="B817" s="5" t="str">
        <f>VLOOKUP(A817, EmployeeMaster!$A:$D, 3, FALSE)</f>
        <v>Research &amp; Development</v>
      </c>
      <c r="C817" s="8">
        <v>2070</v>
      </c>
      <c r="D817" s="8">
        <f t="shared" si="72"/>
        <v>414</v>
      </c>
      <c r="E817" s="8">
        <f t="shared" si="73"/>
        <v>248.39999999999998</v>
      </c>
      <c r="F817" s="8">
        <f t="shared" si="74"/>
        <v>207</v>
      </c>
      <c r="G817" s="8">
        <f t="shared" si="75"/>
        <v>2484</v>
      </c>
      <c r="H817" s="8">
        <f t="shared" si="76"/>
        <v>455.4</v>
      </c>
      <c r="I817" s="10">
        <f t="shared" si="77"/>
        <v>2028.6</v>
      </c>
    </row>
    <row r="818" spans="1:9" x14ac:dyDescent="0.25">
      <c r="A818" s="6">
        <v>1132</v>
      </c>
      <c r="B818" s="5" t="str">
        <f>VLOOKUP(A818, EmployeeMaster!$A:$D, 3, FALSE)</f>
        <v>Research &amp; Development</v>
      </c>
      <c r="C818" s="8">
        <v>6782</v>
      </c>
      <c r="D818" s="8">
        <f t="shared" si="72"/>
        <v>1356.4</v>
      </c>
      <c r="E818" s="8">
        <f t="shared" si="73"/>
        <v>813.83999999999992</v>
      </c>
      <c r="F818" s="8">
        <f t="shared" si="74"/>
        <v>678.2</v>
      </c>
      <c r="G818" s="8">
        <f t="shared" si="75"/>
        <v>8138.4</v>
      </c>
      <c r="H818" s="8">
        <f t="shared" si="76"/>
        <v>1492.04</v>
      </c>
      <c r="I818" s="10">
        <f t="shared" si="77"/>
        <v>6646.36</v>
      </c>
    </row>
    <row r="819" spans="1:9" x14ac:dyDescent="0.25">
      <c r="A819" s="6">
        <v>1133</v>
      </c>
      <c r="B819" s="5" t="str">
        <f>VLOOKUP(A819, EmployeeMaster!$A:$D, 3, FALSE)</f>
        <v>Research &amp; Development</v>
      </c>
      <c r="C819" s="8">
        <v>7779</v>
      </c>
      <c r="D819" s="8">
        <f t="shared" si="72"/>
        <v>1555.8000000000002</v>
      </c>
      <c r="E819" s="8">
        <f t="shared" si="73"/>
        <v>933.48</v>
      </c>
      <c r="F819" s="8">
        <f t="shared" si="74"/>
        <v>777.90000000000009</v>
      </c>
      <c r="G819" s="8">
        <f t="shared" si="75"/>
        <v>9334.7999999999993</v>
      </c>
      <c r="H819" s="8">
        <f t="shared" si="76"/>
        <v>1711.38</v>
      </c>
      <c r="I819" s="10">
        <f t="shared" si="77"/>
        <v>7623.4199999999992</v>
      </c>
    </row>
    <row r="820" spans="1:9" x14ac:dyDescent="0.25">
      <c r="A820" s="6">
        <v>1135</v>
      </c>
      <c r="B820" s="5" t="str">
        <f>VLOOKUP(A820, EmployeeMaster!$A:$D, 3, FALSE)</f>
        <v>Sales</v>
      </c>
      <c r="C820" s="8">
        <v>2791</v>
      </c>
      <c r="D820" s="8">
        <f t="shared" si="72"/>
        <v>558.20000000000005</v>
      </c>
      <c r="E820" s="8">
        <f t="shared" si="73"/>
        <v>334.92</v>
      </c>
      <c r="F820" s="8">
        <f t="shared" si="74"/>
        <v>279.10000000000002</v>
      </c>
      <c r="G820" s="8">
        <f t="shared" si="75"/>
        <v>3349.2</v>
      </c>
      <c r="H820" s="8">
        <f t="shared" si="76"/>
        <v>614.02</v>
      </c>
      <c r="I820" s="10">
        <f t="shared" si="77"/>
        <v>2735.18</v>
      </c>
    </row>
    <row r="821" spans="1:9" x14ac:dyDescent="0.25">
      <c r="A821" s="6">
        <v>1136</v>
      </c>
      <c r="B821" s="5" t="str">
        <f>VLOOKUP(A821, EmployeeMaster!$A:$D, 3, FALSE)</f>
        <v>Research &amp; Development</v>
      </c>
      <c r="C821" s="8">
        <v>3201</v>
      </c>
      <c r="D821" s="8">
        <f t="shared" si="72"/>
        <v>640.20000000000005</v>
      </c>
      <c r="E821" s="8">
        <f t="shared" si="73"/>
        <v>384.12</v>
      </c>
      <c r="F821" s="8">
        <f t="shared" si="74"/>
        <v>320.10000000000002</v>
      </c>
      <c r="G821" s="8">
        <f t="shared" si="75"/>
        <v>3841.2</v>
      </c>
      <c r="H821" s="8">
        <f t="shared" si="76"/>
        <v>704.22</v>
      </c>
      <c r="I821" s="10">
        <f t="shared" si="77"/>
        <v>3136.9799999999996</v>
      </c>
    </row>
    <row r="822" spans="1:9" x14ac:dyDescent="0.25">
      <c r="A822" s="6">
        <v>1137</v>
      </c>
      <c r="B822" s="5" t="str">
        <f>VLOOKUP(A822, EmployeeMaster!$A:$D, 3, FALSE)</f>
        <v>Sales</v>
      </c>
      <c r="C822" s="8">
        <v>4968</v>
      </c>
      <c r="D822" s="8">
        <f t="shared" si="72"/>
        <v>993.6</v>
      </c>
      <c r="E822" s="8">
        <f t="shared" si="73"/>
        <v>596.16</v>
      </c>
      <c r="F822" s="8">
        <f t="shared" si="74"/>
        <v>496.8</v>
      </c>
      <c r="G822" s="8">
        <f t="shared" si="75"/>
        <v>5961.6</v>
      </c>
      <c r="H822" s="8">
        <f t="shared" si="76"/>
        <v>1092.96</v>
      </c>
      <c r="I822" s="10">
        <f t="shared" si="77"/>
        <v>4868.6400000000003</v>
      </c>
    </row>
    <row r="823" spans="1:9" x14ac:dyDescent="0.25">
      <c r="A823" s="6">
        <v>1138</v>
      </c>
      <c r="B823" s="5" t="str">
        <f>VLOOKUP(A823, EmployeeMaster!$A:$D, 3, FALSE)</f>
        <v>Sales</v>
      </c>
      <c r="C823" s="8">
        <v>13120</v>
      </c>
      <c r="D823" s="8">
        <f t="shared" si="72"/>
        <v>2624</v>
      </c>
      <c r="E823" s="8">
        <f t="shared" si="73"/>
        <v>1574.3999999999999</v>
      </c>
      <c r="F823" s="8">
        <f t="shared" si="74"/>
        <v>1312</v>
      </c>
      <c r="G823" s="8">
        <f t="shared" si="75"/>
        <v>15744</v>
      </c>
      <c r="H823" s="8">
        <f t="shared" si="76"/>
        <v>2886.3999999999996</v>
      </c>
      <c r="I823" s="10">
        <f t="shared" si="77"/>
        <v>12857.6</v>
      </c>
    </row>
    <row r="824" spans="1:9" x14ac:dyDescent="0.25">
      <c r="A824" s="6">
        <v>1140</v>
      </c>
      <c r="B824" s="5" t="str">
        <f>VLOOKUP(A824, EmployeeMaster!$A:$D, 3, FALSE)</f>
        <v>Research &amp; Development</v>
      </c>
      <c r="C824" s="8">
        <v>4033</v>
      </c>
      <c r="D824" s="8">
        <f t="shared" si="72"/>
        <v>806.6</v>
      </c>
      <c r="E824" s="8">
        <f t="shared" si="73"/>
        <v>483.96</v>
      </c>
      <c r="F824" s="8">
        <f t="shared" si="74"/>
        <v>403.3</v>
      </c>
      <c r="G824" s="8">
        <f t="shared" si="75"/>
        <v>4839.6000000000004</v>
      </c>
      <c r="H824" s="8">
        <f t="shared" si="76"/>
        <v>887.26</v>
      </c>
      <c r="I824" s="10">
        <f t="shared" si="77"/>
        <v>3952.34</v>
      </c>
    </row>
    <row r="825" spans="1:9" x14ac:dyDescent="0.25">
      <c r="A825" s="6">
        <v>1143</v>
      </c>
      <c r="B825" s="5" t="str">
        <f>VLOOKUP(A825, EmployeeMaster!$A:$D, 3, FALSE)</f>
        <v>Research &amp; Development</v>
      </c>
      <c r="C825" s="8">
        <v>3291</v>
      </c>
      <c r="D825" s="8">
        <f t="shared" si="72"/>
        <v>658.2</v>
      </c>
      <c r="E825" s="8">
        <f t="shared" si="73"/>
        <v>394.91999999999996</v>
      </c>
      <c r="F825" s="8">
        <f t="shared" si="74"/>
        <v>329.1</v>
      </c>
      <c r="G825" s="8">
        <f t="shared" si="75"/>
        <v>3949.2</v>
      </c>
      <c r="H825" s="8">
        <f t="shared" si="76"/>
        <v>724.02</v>
      </c>
      <c r="I825" s="10">
        <f t="shared" si="77"/>
        <v>3225.18</v>
      </c>
    </row>
    <row r="826" spans="1:9" x14ac:dyDescent="0.25">
      <c r="A826" s="6">
        <v>1148</v>
      </c>
      <c r="B826" s="5" t="str">
        <f>VLOOKUP(A826, EmployeeMaster!$A:$D, 3, FALSE)</f>
        <v>Research &amp; Development</v>
      </c>
      <c r="C826" s="8">
        <v>4272</v>
      </c>
      <c r="D826" s="8">
        <f t="shared" si="72"/>
        <v>854.40000000000009</v>
      </c>
      <c r="E826" s="8">
        <f t="shared" si="73"/>
        <v>512.64</v>
      </c>
      <c r="F826" s="8">
        <f t="shared" si="74"/>
        <v>427.20000000000005</v>
      </c>
      <c r="G826" s="8">
        <f t="shared" si="75"/>
        <v>5126.3999999999996</v>
      </c>
      <c r="H826" s="8">
        <f t="shared" si="76"/>
        <v>939.84</v>
      </c>
      <c r="I826" s="10">
        <f t="shared" si="77"/>
        <v>4186.5599999999995</v>
      </c>
    </row>
    <row r="827" spans="1:9" x14ac:dyDescent="0.25">
      <c r="A827" s="6">
        <v>1150</v>
      </c>
      <c r="B827" s="5" t="str">
        <f>VLOOKUP(A827, EmployeeMaster!$A:$D, 3, FALSE)</f>
        <v>Research &amp; Development</v>
      </c>
      <c r="C827" s="8">
        <v>5056</v>
      </c>
      <c r="D827" s="8">
        <f t="shared" si="72"/>
        <v>1011.2</v>
      </c>
      <c r="E827" s="8">
        <f t="shared" si="73"/>
        <v>606.72</v>
      </c>
      <c r="F827" s="8">
        <f t="shared" si="74"/>
        <v>505.6</v>
      </c>
      <c r="G827" s="8">
        <f t="shared" si="75"/>
        <v>6067.2</v>
      </c>
      <c r="H827" s="8">
        <f t="shared" si="76"/>
        <v>1112.3200000000002</v>
      </c>
      <c r="I827" s="10">
        <f t="shared" si="77"/>
        <v>4954.8799999999992</v>
      </c>
    </row>
    <row r="828" spans="1:9" x14ac:dyDescent="0.25">
      <c r="A828" s="6">
        <v>1152</v>
      </c>
      <c r="B828" s="5" t="str">
        <f>VLOOKUP(A828, EmployeeMaster!$A:$D, 3, FALSE)</f>
        <v>Human Resources</v>
      </c>
      <c r="C828" s="8">
        <v>2844</v>
      </c>
      <c r="D828" s="8">
        <f t="shared" si="72"/>
        <v>568.80000000000007</v>
      </c>
      <c r="E828" s="8">
        <f t="shared" si="73"/>
        <v>341.28</v>
      </c>
      <c r="F828" s="8">
        <f t="shared" si="74"/>
        <v>284.40000000000003</v>
      </c>
      <c r="G828" s="8">
        <f t="shared" si="75"/>
        <v>3412.8</v>
      </c>
      <c r="H828" s="8">
        <f t="shared" si="76"/>
        <v>625.68000000000006</v>
      </c>
      <c r="I828" s="10">
        <f t="shared" si="77"/>
        <v>2787.12</v>
      </c>
    </row>
    <row r="829" spans="1:9" x14ac:dyDescent="0.25">
      <c r="A829" s="6">
        <v>1154</v>
      </c>
      <c r="B829" s="5" t="str">
        <f>VLOOKUP(A829, EmployeeMaster!$A:$D, 3, FALSE)</f>
        <v>Research &amp; Development</v>
      </c>
      <c r="C829" s="8">
        <v>2703</v>
      </c>
      <c r="D829" s="8">
        <f t="shared" si="72"/>
        <v>540.6</v>
      </c>
      <c r="E829" s="8">
        <f t="shared" si="73"/>
        <v>324.36</v>
      </c>
      <c r="F829" s="8">
        <f t="shared" si="74"/>
        <v>270.3</v>
      </c>
      <c r="G829" s="8">
        <f t="shared" si="75"/>
        <v>3243.6</v>
      </c>
      <c r="H829" s="8">
        <f t="shared" si="76"/>
        <v>594.66000000000008</v>
      </c>
      <c r="I829" s="10">
        <f t="shared" si="77"/>
        <v>2648.9399999999996</v>
      </c>
    </row>
    <row r="830" spans="1:9" x14ac:dyDescent="0.25">
      <c r="A830" s="6">
        <v>1156</v>
      </c>
      <c r="B830" s="5" t="str">
        <f>VLOOKUP(A830, EmployeeMaster!$A:$D, 3, FALSE)</f>
        <v>Research &amp; Development</v>
      </c>
      <c r="C830" s="8">
        <v>1904</v>
      </c>
      <c r="D830" s="8">
        <f t="shared" si="72"/>
        <v>380.8</v>
      </c>
      <c r="E830" s="8">
        <f t="shared" si="73"/>
        <v>228.48</v>
      </c>
      <c r="F830" s="8">
        <f t="shared" si="74"/>
        <v>190.4</v>
      </c>
      <c r="G830" s="8">
        <f t="shared" si="75"/>
        <v>2284.8000000000002</v>
      </c>
      <c r="H830" s="8">
        <f t="shared" si="76"/>
        <v>418.88</v>
      </c>
      <c r="I830" s="10">
        <f t="shared" si="77"/>
        <v>1865.92</v>
      </c>
    </row>
    <row r="831" spans="1:9" x14ac:dyDescent="0.25">
      <c r="A831" s="6">
        <v>1157</v>
      </c>
      <c r="B831" s="5" t="str">
        <f>VLOOKUP(A831, EmployeeMaster!$A:$D, 3, FALSE)</f>
        <v>Sales</v>
      </c>
      <c r="C831" s="8">
        <v>8224</v>
      </c>
      <c r="D831" s="8">
        <f t="shared" si="72"/>
        <v>1644.8000000000002</v>
      </c>
      <c r="E831" s="8">
        <f t="shared" si="73"/>
        <v>986.88</v>
      </c>
      <c r="F831" s="8">
        <f t="shared" si="74"/>
        <v>822.40000000000009</v>
      </c>
      <c r="G831" s="8">
        <f t="shared" si="75"/>
        <v>9868.7999999999993</v>
      </c>
      <c r="H831" s="8">
        <f t="shared" si="76"/>
        <v>1809.2800000000002</v>
      </c>
      <c r="I831" s="10">
        <f t="shared" si="77"/>
        <v>8059.5199999999986</v>
      </c>
    </row>
    <row r="832" spans="1:9" x14ac:dyDescent="0.25">
      <c r="A832" s="6">
        <v>1158</v>
      </c>
      <c r="B832" s="5" t="str">
        <f>VLOOKUP(A832, EmployeeMaster!$A:$D, 3, FALSE)</f>
        <v>Research &amp; Development</v>
      </c>
      <c r="C832" s="8">
        <v>4766</v>
      </c>
      <c r="D832" s="8">
        <f t="shared" si="72"/>
        <v>953.2</v>
      </c>
      <c r="E832" s="8">
        <f t="shared" si="73"/>
        <v>571.91999999999996</v>
      </c>
      <c r="F832" s="8">
        <f t="shared" si="74"/>
        <v>476.6</v>
      </c>
      <c r="G832" s="8">
        <f t="shared" si="75"/>
        <v>5719.2</v>
      </c>
      <c r="H832" s="8">
        <f t="shared" si="76"/>
        <v>1048.52</v>
      </c>
      <c r="I832" s="10">
        <f t="shared" si="77"/>
        <v>4670.68</v>
      </c>
    </row>
    <row r="833" spans="1:9" x14ac:dyDescent="0.25">
      <c r="A833" s="6">
        <v>1160</v>
      </c>
      <c r="B833" s="5" t="str">
        <f>VLOOKUP(A833, EmployeeMaster!$A:$D, 3, FALSE)</f>
        <v>Research &amp; Development</v>
      </c>
      <c r="C833" s="8">
        <v>2610</v>
      </c>
      <c r="D833" s="8">
        <f t="shared" si="72"/>
        <v>522</v>
      </c>
      <c r="E833" s="8">
        <f t="shared" si="73"/>
        <v>313.2</v>
      </c>
      <c r="F833" s="8">
        <f t="shared" si="74"/>
        <v>261</v>
      </c>
      <c r="G833" s="8">
        <f t="shared" si="75"/>
        <v>3132</v>
      </c>
      <c r="H833" s="8">
        <f t="shared" si="76"/>
        <v>574.20000000000005</v>
      </c>
      <c r="I833" s="10">
        <f t="shared" si="77"/>
        <v>2557.8000000000002</v>
      </c>
    </row>
    <row r="834" spans="1:9" x14ac:dyDescent="0.25">
      <c r="A834" s="6">
        <v>1161</v>
      </c>
      <c r="B834" s="5" t="str">
        <f>VLOOKUP(A834, EmployeeMaster!$A:$D, 3, FALSE)</f>
        <v>Research &amp; Development</v>
      </c>
      <c r="C834" s="8">
        <v>5731</v>
      </c>
      <c r="D834" s="8">
        <f t="shared" si="72"/>
        <v>1146.2</v>
      </c>
      <c r="E834" s="8">
        <f t="shared" si="73"/>
        <v>687.72</v>
      </c>
      <c r="F834" s="8">
        <f t="shared" si="74"/>
        <v>573.1</v>
      </c>
      <c r="G834" s="8">
        <f t="shared" si="75"/>
        <v>6877.2</v>
      </c>
      <c r="H834" s="8">
        <f t="shared" si="76"/>
        <v>1260.8200000000002</v>
      </c>
      <c r="I834" s="10">
        <f t="shared" si="77"/>
        <v>5616.3799999999992</v>
      </c>
    </row>
    <row r="835" spans="1:9" x14ac:dyDescent="0.25">
      <c r="A835" s="6">
        <v>1162</v>
      </c>
      <c r="B835" s="5" t="str">
        <f>VLOOKUP(A835, EmployeeMaster!$A:$D, 3, FALSE)</f>
        <v>Research &amp; Development</v>
      </c>
      <c r="C835" s="8">
        <v>2539</v>
      </c>
      <c r="D835" s="8">
        <f t="shared" ref="D835:D898" si="78">C835*20%</f>
        <v>507.8</v>
      </c>
      <c r="E835" s="8">
        <f t="shared" ref="E835:E898" si="79">C835*12%</f>
        <v>304.68</v>
      </c>
      <c r="F835" s="8">
        <f t="shared" ref="F835:F898" si="80">C835*10%</f>
        <v>253.9</v>
      </c>
      <c r="G835" s="8">
        <f t="shared" ref="G835:G898" si="81">C835+D835</f>
        <v>3046.8</v>
      </c>
      <c r="H835" s="8">
        <f t="shared" ref="H835:H898" si="82">E835+F835</f>
        <v>558.58000000000004</v>
      </c>
      <c r="I835" s="10">
        <f t="shared" ref="I835:I898" si="83">G835-H835</f>
        <v>2488.2200000000003</v>
      </c>
    </row>
    <row r="836" spans="1:9" x14ac:dyDescent="0.25">
      <c r="A836" s="6">
        <v>1163</v>
      </c>
      <c r="B836" s="5" t="str">
        <f>VLOOKUP(A836, EmployeeMaster!$A:$D, 3, FALSE)</f>
        <v>Sales</v>
      </c>
      <c r="C836" s="8">
        <v>5714</v>
      </c>
      <c r="D836" s="8">
        <f t="shared" si="78"/>
        <v>1142.8</v>
      </c>
      <c r="E836" s="8">
        <f t="shared" si="79"/>
        <v>685.68</v>
      </c>
      <c r="F836" s="8">
        <f t="shared" si="80"/>
        <v>571.4</v>
      </c>
      <c r="G836" s="8">
        <f t="shared" si="81"/>
        <v>6856.8</v>
      </c>
      <c r="H836" s="8">
        <f t="shared" si="82"/>
        <v>1257.08</v>
      </c>
      <c r="I836" s="10">
        <f t="shared" si="83"/>
        <v>5599.72</v>
      </c>
    </row>
    <row r="837" spans="1:9" x14ac:dyDescent="0.25">
      <c r="A837" s="6">
        <v>1164</v>
      </c>
      <c r="B837" s="5" t="str">
        <f>VLOOKUP(A837, EmployeeMaster!$A:$D, 3, FALSE)</f>
        <v>Human Resources</v>
      </c>
      <c r="C837" s="8">
        <v>4323</v>
      </c>
      <c r="D837" s="8">
        <f t="shared" si="78"/>
        <v>864.6</v>
      </c>
      <c r="E837" s="8">
        <f t="shared" si="79"/>
        <v>518.76</v>
      </c>
      <c r="F837" s="8">
        <f t="shared" si="80"/>
        <v>432.3</v>
      </c>
      <c r="G837" s="8">
        <f t="shared" si="81"/>
        <v>5187.6000000000004</v>
      </c>
      <c r="H837" s="8">
        <f t="shared" si="82"/>
        <v>951.06</v>
      </c>
      <c r="I837" s="10">
        <f t="shared" si="83"/>
        <v>4236.5400000000009</v>
      </c>
    </row>
    <row r="838" spans="1:9" x14ac:dyDescent="0.25">
      <c r="A838" s="6">
        <v>1165</v>
      </c>
      <c r="B838" s="5" t="str">
        <f>VLOOKUP(A838, EmployeeMaster!$A:$D, 3, FALSE)</f>
        <v>Sales</v>
      </c>
      <c r="C838" s="8">
        <v>7336</v>
      </c>
      <c r="D838" s="8">
        <f t="shared" si="78"/>
        <v>1467.2</v>
      </c>
      <c r="E838" s="8">
        <f t="shared" si="79"/>
        <v>880.31999999999994</v>
      </c>
      <c r="F838" s="8">
        <f t="shared" si="80"/>
        <v>733.6</v>
      </c>
      <c r="G838" s="8">
        <f t="shared" si="81"/>
        <v>8803.2000000000007</v>
      </c>
      <c r="H838" s="8">
        <f t="shared" si="82"/>
        <v>1613.92</v>
      </c>
      <c r="I838" s="10">
        <f t="shared" si="83"/>
        <v>7189.2800000000007</v>
      </c>
    </row>
    <row r="839" spans="1:9" x14ac:dyDescent="0.25">
      <c r="A839" s="6">
        <v>1166</v>
      </c>
      <c r="B839" s="5" t="str">
        <f>VLOOKUP(A839, EmployeeMaster!$A:$D, 3, FALSE)</f>
        <v>Research &amp; Development</v>
      </c>
      <c r="C839" s="8">
        <v>13499</v>
      </c>
      <c r="D839" s="8">
        <f t="shared" si="78"/>
        <v>2699.8</v>
      </c>
      <c r="E839" s="8">
        <f t="shared" si="79"/>
        <v>1619.8799999999999</v>
      </c>
      <c r="F839" s="8">
        <f t="shared" si="80"/>
        <v>1349.9</v>
      </c>
      <c r="G839" s="8">
        <f t="shared" si="81"/>
        <v>16198.8</v>
      </c>
      <c r="H839" s="8">
        <f t="shared" si="82"/>
        <v>2969.7799999999997</v>
      </c>
      <c r="I839" s="10">
        <f t="shared" si="83"/>
        <v>13229.02</v>
      </c>
    </row>
    <row r="840" spans="1:9" x14ac:dyDescent="0.25">
      <c r="A840" s="6">
        <v>1167</v>
      </c>
      <c r="B840" s="5" t="str">
        <f>VLOOKUP(A840, EmployeeMaster!$A:$D, 3, FALSE)</f>
        <v>Sales</v>
      </c>
      <c r="C840" s="8">
        <v>13758</v>
      </c>
      <c r="D840" s="8">
        <f t="shared" si="78"/>
        <v>2751.6000000000004</v>
      </c>
      <c r="E840" s="8">
        <f t="shared" si="79"/>
        <v>1650.96</v>
      </c>
      <c r="F840" s="8">
        <f t="shared" si="80"/>
        <v>1375.8000000000002</v>
      </c>
      <c r="G840" s="8">
        <f t="shared" si="81"/>
        <v>16509.599999999999</v>
      </c>
      <c r="H840" s="8">
        <f t="shared" si="82"/>
        <v>3026.76</v>
      </c>
      <c r="I840" s="10">
        <f t="shared" si="83"/>
        <v>13482.839999999998</v>
      </c>
    </row>
    <row r="841" spans="1:9" x14ac:dyDescent="0.25">
      <c r="A841" s="6">
        <v>1171</v>
      </c>
      <c r="B841" s="5" t="str">
        <f>VLOOKUP(A841, EmployeeMaster!$A:$D, 3, FALSE)</f>
        <v>Sales</v>
      </c>
      <c r="C841" s="8">
        <v>5155</v>
      </c>
      <c r="D841" s="8">
        <f t="shared" si="78"/>
        <v>1031</v>
      </c>
      <c r="E841" s="8">
        <f t="shared" si="79"/>
        <v>618.6</v>
      </c>
      <c r="F841" s="8">
        <f t="shared" si="80"/>
        <v>515.5</v>
      </c>
      <c r="G841" s="8">
        <f t="shared" si="81"/>
        <v>6186</v>
      </c>
      <c r="H841" s="8">
        <f t="shared" si="82"/>
        <v>1134.0999999999999</v>
      </c>
      <c r="I841" s="10">
        <f t="shared" si="83"/>
        <v>5051.8999999999996</v>
      </c>
    </row>
    <row r="842" spans="1:9" x14ac:dyDescent="0.25">
      <c r="A842" s="6">
        <v>1172</v>
      </c>
      <c r="B842" s="5" t="str">
        <f>VLOOKUP(A842, EmployeeMaster!$A:$D, 3, FALSE)</f>
        <v>Research &amp; Development</v>
      </c>
      <c r="C842" s="8">
        <v>2258</v>
      </c>
      <c r="D842" s="8">
        <f t="shared" si="78"/>
        <v>451.6</v>
      </c>
      <c r="E842" s="8">
        <f t="shared" si="79"/>
        <v>270.95999999999998</v>
      </c>
      <c r="F842" s="8">
        <f t="shared" si="80"/>
        <v>225.8</v>
      </c>
      <c r="G842" s="8">
        <f t="shared" si="81"/>
        <v>2709.6</v>
      </c>
      <c r="H842" s="8">
        <f t="shared" si="82"/>
        <v>496.76</v>
      </c>
      <c r="I842" s="10">
        <f t="shared" si="83"/>
        <v>2212.84</v>
      </c>
    </row>
    <row r="843" spans="1:9" x14ac:dyDescent="0.25">
      <c r="A843" s="6">
        <v>1173</v>
      </c>
      <c r="B843" s="5" t="str">
        <f>VLOOKUP(A843, EmployeeMaster!$A:$D, 3, FALSE)</f>
        <v>Research &amp; Development</v>
      </c>
      <c r="C843" s="8">
        <v>3597</v>
      </c>
      <c r="D843" s="8">
        <f t="shared" si="78"/>
        <v>719.40000000000009</v>
      </c>
      <c r="E843" s="8">
        <f t="shared" si="79"/>
        <v>431.64</v>
      </c>
      <c r="F843" s="8">
        <f t="shared" si="80"/>
        <v>359.70000000000005</v>
      </c>
      <c r="G843" s="8">
        <f t="shared" si="81"/>
        <v>4316.3999999999996</v>
      </c>
      <c r="H843" s="8">
        <f t="shared" si="82"/>
        <v>791.34</v>
      </c>
      <c r="I843" s="10">
        <f t="shared" si="83"/>
        <v>3525.0599999999995</v>
      </c>
    </row>
    <row r="844" spans="1:9" x14ac:dyDescent="0.25">
      <c r="A844" s="6">
        <v>1175</v>
      </c>
      <c r="B844" s="5" t="str">
        <f>VLOOKUP(A844, EmployeeMaster!$A:$D, 3, FALSE)</f>
        <v>Research &amp; Development</v>
      </c>
      <c r="C844" s="8">
        <v>2515</v>
      </c>
      <c r="D844" s="8">
        <f t="shared" si="78"/>
        <v>503</v>
      </c>
      <c r="E844" s="8">
        <f t="shared" si="79"/>
        <v>301.8</v>
      </c>
      <c r="F844" s="8">
        <f t="shared" si="80"/>
        <v>251.5</v>
      </c>
      <c r="G844" s="8">
        <f t="shared" si="81"/>
        <v>3018</v>
      </c>
      <c r="H844" s="8">
        <f t="shared" si="82"/>
        <v>553.29999999999995</v>
      </c>
      <c r="I844" s="10">
        <f t="shared" si="83"/>
        <v>2464.6999999999998</v>
      </c>
    </row>
    <row r="845" spans="1:9" x14ac:dyDescent="0.25">
      <c r="A845" s="6">
        <v>1177</v>
      </c>
      <c r="B845" s="5" t="str">
        <f>VLOOKUP(A845, EmployeeMaster!$A:$D, 3, FALSE)</f>
        <v>Research &amp; Development</v>
      </c>
      <c r="C845" s="8">
        <v>4420</v>
      </c>
      <c r="D845" s="8">
        <f t="shared" si="78"/>
        <v>884</v>
      </c>
      <c r="E845" s="8">
        <f t="shared" si="79"/>
        <v>530.4</v>
      </c>
      <c r="F845" s="8">
        <f t="shared" si="80"/>
        <v>442</v>
      </c>
      <c r="G845" s="8">
        <f t="shared" si="81"/>
        <v>5304</v>
      </c>
      <c r="H845" s="8">
        <f t="shared" si="82"/>
        <v>972.4</v>
      </c>
      <c r="I845" s="10">
        <f t="shared" si="83"/>
        <v>4331.6000000000004</v>
      </c>
    </row>
    <row r="846" spans="1:9" x14ac:dyDescent="0.25">
      <c r="A846" s="6">
        <v>1179</v>
      </c>
      <c r="B846" s="5" t="str">
        <f>VLOOKUP(A846, EmployeeMaster!$A:$D, 3, FALSE)</f>
        <v>Sales</v>
      </c>
      <c r="C846" s="8">
        <v>6578</v>
      </c>
      <c r="D846" s="8">
        <f t="shared" si="78"/>
        <v>1315.6000000000001</v>
      </c>
      <c r="E846" s="8">
        <f t="shared" si="79"/>
        <v>789.36</v>
      </c>
      <c r="F846" s="8">
        <f t="shared" si="80"/>
        <v>657.80000000000007</v>
      </c>
      <c r="G846" s="8">
        <f t="shared" si="81"/>
        <v>7893.6</v>
      </c>
      <c r="H846" s="8">
        <f t="shared" si="82"/>
        <v>1447.16</v>
      </c>
      <c r="I846" s="10">
        <f t="shared" si="83"/>
        <v>6446.4400000000005</v>
      </c>
    </row>
    <row r="847" spans="1:9" x14ac:dyDescent="0.25">
      <c r="A847" s="6">
        <v>1180</v>
      </c>
      <c r="B847" s="5" t="str">
        <f>VLOOKUP(A847, EmployeeMaster!$A:$D, 3, FALSE)</f>
        <v>Research &amp; Development</v>
      </c>
      <c r="C847" s="8">
        <v>4422</v>
      </c>
      <c r="D847" s="8">
        <f t="shared" si="78"/>
        <v>884.40000000000009</v>
      </c>
      <c r="E847" s="8">
        <f t="shared" si="79"/>
        <v>530.64</v>
      </c>
      <c r="F847" s="8">
        <f t="shared" si="80"/>
        <v>442.20000000000005</v>
      </c>
      <c r="G847" s="8">
        <f t="shared" si="81"/>
        <v>5306.4</v>
      </c>
      <c r="H847" s="8">
        <f t="shared" si="82"/>
        <v>972.84</v>
      </c>
      <c r="I847" s="10">
        <f t="shared" si="83"/>
        <v>4333.5599999999995</v>
      </c>
    </row>
    <row r="848" spans="1:9" x14ac:dyDescent="0.25">
      <c r="A848" s="6">
        <v>1182</v>
      </c>
      <c r="B848" s="5" t="str">
        <f>VLOOKUP(A848, EmployeeMaster!$A:$D, 3, FALSE)</f>
        <v>Research &amp; Development</v>
      </c>
      <c r="C848" s="8">
        <v>10274</v>
      </c>
      <c r="D848" s="8">
        <f t="shared" si="78"/>
        <v>2054.8000000000002</v>
      </c>
      <c r="E848" s="8">
        <f t="shared" si="79"/>
        <v>1232.8799999999999</v>
      </c>
      <c r="F848" s="8">
        <f t="shared" si="80"/>
        <v>1027.4000000000001</v>
      </c>
      <c r="G848" s="8">
        <f t="shared" si="81"/>
        <v>12328.8</v>
      </c>
      <c r="H848" s="8">
        <f t="shared" si="82"/>
        <v>2260.2799999999997</v>
      </c>
      <c r="I848" s="10">
        <f t="shared" si="83"/>
        <v>10068.52</v>
      </c>
    </row>
    <row r="849" spans="1:9" x14ac:dyDescent="0.25">
      <c r="A849" s="6">
        <v>1184</v>
      </c>
      <c r="B849" s="5" t="str">
        <f>VLOOKUP(A849, EmployeeMaster!$A:$D, 3, FALSE)</f>
        <v>Research &amp; Development</v>
      </c>
      <c r="C849" s="8">
        <v>5343</v>
      </c>
      <c r="D849" s="8">
        <f t="shared" si="78"/>
        <v>1068.6000000000001</v>
      </c>
      <c r="E849" s="8">
        <f t="shared" si="79"/>
        <v>641.16</v>
      </c>
      <c r="F849" s="8">
        <f t="shared" si="80"/>
        <v>534.30000000000007</v>
      </c>
      <c r="G849" s="8">
        <f t="shared" si="81"/>
        <v>6411.6</v>
      </c>
      <c r="H849" s="8">
        <f t="shared" si="82"/>
        <v>1175.46</v>
      </c>
      <c r="I849" s="10">
        <f t="shared" si="83"/>
        <v>5236.1400000000003</v>
      </c>
    </row>
    <row r="850" spans="1:9" x14ac:dyDescent="0.25">
      <c r="A850" s="6">
        <v>1185</v>
      </c>
      <c r="B850" s="5" t="str">
        <f>VLOOKUP(A850, EmployeeMaster!$A:$D, 3, FALSE)</f>
        <v>Research &amp; Development</v>
      </c>
      <c r="C850" s="8">
        <v>2376</v>
      </c>
      <c r="D850" s="8">
        <f t="shared" si="78"/>
        <v>475.20000000000005</v>
      </c>
      <c r="E850" s="8">
        <f t="shared" si="79"/>
        <v>285.12</v>
      </c>
      <c r="F850" s="8">
        <f t="shared" si="80"/>
        <v>237.60000000000002</v>
      </c>
      <c r="G850" s="8">
        <f t="shared" si="81"/>
        <v>2851.2</v>
      </c>
      <c r="H850" s="8">
        <f t="shared" si="82"/>
        <v>522.72</v>
      </c>
      <c r="I850" s="10">
        <f t="shared" si="83"/>
        <v>2328.4799999999996</v>
      </c>
    </row>
    <row r="851" spans="1:9" x14ac:dyDescent="0.25">
      <c r="A851" s="6">
        <v>1188</v>
      </c>
      <c r="B851" s="5" t="str">
        <f>VLOOKUP(A851, EmployeeMaster!$A:$D, 3, FALSE)</f>
        <v>Sales</v>
      </c>
      <c r="C851" s="8">
        <v>5346</v>
      </c>
      <c r="D851" s="8">
        <f t="shared" si="78"/>
        <v>1069.2</v>
      </c>
      <c r="E851" s="8">
        <f t="shared" si="79"/>
        <v>641.52</v>
      </c>
      <c r="F851" s="8">
        <f t="shared" si="80"/>
        <v>534.6</v>
      </c>
      <c r="G851" s="8">
        <f t="shared" si="81"/>
        <v>6415.2</v>
      </c>
      <c r="H851" s="8">
        <f t="shared" si="82"/>
        <v>1176.1199999999999</v>
      </c>
      <c r="I851" s="10">
        <f t="shared" si="83"/>
        <v>5239.08</v>
      </c>
    </row>
    <row r="852" spans="1:9" x14ac:dyDescent="0.25">
      <c r="A852" s="6">
        <v>1190</v>
      </c>
      <c r="B852" s="5" t="str">
        <f>VLOOKUP(A852, EmployeeMaster!$A:$D, 3, FALSE)</f>
        <v>Sales</v>
      </c>
      <c r="C852" s="8">
        <v>2827</v>
      </c>
      <c r="D852" s="8">
        <f t="shared" si="78"/>
        <v>565.4</v>
      </c>
      <c r="E852" s="8">
        <f t="shared" si="79"/>
        <v>339.24</v>
      </c>
      <c r="F852" s="8">
        <f t="shared" si="80"/>
        <v>282.7</v>
      </c>
      <c r="G852" s="8">
        <f t="shared" si="81"/>
        <v>3392.4</v>
      </c>
      <c r="H852" s="8">
        <f t="shared" si="82"/>
        <v>621.94000000000005</v>
      </c>
      <c r="I852" s="10">
        <f t="shared" si="83"/>
        <v>2770.46</v>
      </c>
    </row>
    <row r="853" spans="1:9" x14ac:dyDescent="0.25">
      <c r="A853" s="6">
        <v>1191</v>
      </c>
      <c r="B853" s="5" t="str">
        <f>VLOOKUP(A853, EmployeeMaster!$A:$D, 3, FALSE)</f>
        <v>Research &amp; Development</v>
      </c>
      <c r="C853" s="8">
        <v>19943</v>
      </c>
      <c r="D853" s="8">
        <f t="shared" si="78"/>
        <v>3988.6000000000004</v>
      </c>
      <c r="E853" s="8">
        <f t="shared" si="79"/>
        <v>2393.16</v>
      </c>
      <c r="F853" s="8">
        <f t="shared" si="80"/>
        <v>1994.3000000000002</v>
      </c>
      <c r="G853" s="8">
        <f t="shared" si="81"/>
        <v>23931.599999999999</v>
      </c>
      <c r="H853" s="8">
        <f t="shared" si="82"/>
        <v>4387.46</v>
      </c>
      <c r="I853" s="10">
        <f t="shared" si="83"/>
        <v>19544.14</v>
      </c>
    </row>
    <row r="854" spans="1:9" x14ac:dyDescent="0.25">
      <c r="A854" s="6">
        <v>1192</v>
      </c>
      <c r="B854" s="5" t="str">
        <f>VLOOKUP(A854, EmployeeMaster!$A:$D, 3, FALSE)</f>
        <v>Research &amp; Development</v>
      </c>
      <c r="C854" s="8">
        <v>3131</v>
      </c>
      <c r="D854" s="8">
        <f t="shared" si="78"/>
        <v>626.20000000000005</v>
      </c>
      <c r="E854" s="8">
        <f t="shared" si="79"/>
        <v>375.71999999999997</v>
      </c>
      <c r="F854" s="8">
        <f t="shared" si="80"/>
        <v>313.10000000000002</v>
      </c>
      <c r="G854" s="8">
        <f t="shared" si="81"/>
        <v>3757.2</v>
      </c>
      <c r="H854" s="8">
        <f t="shared" si="82"/>
        <v>688.81999999999994</v>
      </c>
      <c r="I854" s="10">
        <f t="shared" si="83"/>
        <v>3068.38</v>
      </c>
    </row>
    <row r="855" spans="1:9" x14ac:dyDescent="0.25">
      <c r="A855" s="6">
        <v>1193</v>
      </c>
      <c r="B855" s="5" t="str">
        <f>VLOOKUP(A855, EmployeeMaster!$A:$D, 3, FALSE)</f>
        <v>Research &amp; Development</v>
      </c>
      <c r="C855" s="8">
        <v>2552</v>
      </c>
      <c r="D855" s="8">
        <f t="shared" si="78"/>
        <v>510.40000000000003</v>
      </c>
      <c r="E855" s="8">
        <f t="shared" si="79"/>
        <v>306.24</v>
      </c>
      <c r="F855" s="8">
        <f t="shared" si="80"/>
        <v>255.20000000000002</v>
      </c>
      <c r="G855" s="8">
        <f t="shared" si="81"/>
        <v>3062.4</v>
      </c>
      <c r="H855" s="8">
        <f t="shared" si="82"/>
        <v>561.44000000000005</v>
      </c>
      <c r="I855" s="10">
        <f t="shared" si="83"/>
        <v>2500.96</v>
      </c>
    </row>
    <row r="856" spans="1:9" x14ac:dyDescent="0.25">
      <c r="A856" s="6">
        <v>1195</v>
      </c>
      <c r="B856" s="5" t="str">
        <f>VLOOKUP(A856, EmployeeMaster!$A:$D, 3, FALSE)</f>
        <v>Research &amp; Development</v>
      </c>
      <c r="C856" s="8">
        <v>4477</v>
      </c>
      <c r="D856" s="8">
        <f t="shared" si="78"/>
        <v>895.40000000000009</v>
      </c>
      <c r="E856" s="8">
        <f t="shared" si="79"/>
        <v>537.24</v>
      </c>
      <c r="F856" s="8">
        <f t="shared" si="80"/>
        <v>447.70000000000005</v>
      </c>
      <c r="G856" s="8">
        <f t="shared" si="81"/>
        <v>5372.4</v>
      </c>
      <c r="H856" s="8">
        <f t="shared" si="82"/>
        <v>984.94</v>
      </c>
      <c r="I856" s="10">
        <f t="shared" si="83"/>
        <v>4387.4599999999991</v>
      </c>
    </row>
    <row r="857" spans="1:9" x14ac:dyDescent="0.25">
      <c r="A857" s="6">
        <v>1196</v>
      </c>
      <c r="B857" s="5" t="str">
        <f>VLOOKUP(A857, EmployeeMaster!$A:$D, 3, FALSE)</f>
        <v>Research &amp; Development</v>
      </c>
      <c r="C857" s="8">
        <v>6474</v>
      </c>
      <c r="D857" s="8">
        <f t="shared" si="78"/>
        <v>1294.8000000000002</v>
      </c>
      <c r="E857" s="8">
        <f t="shared" si="79"/>
        <v>776.88</v>
      </c>
      <c r="F857" s="8">
        <f t="shared" si="80"/>
        <v>647.40000000000009</v>
      </c>
      <c r="G857" s="8">
        <f t="shared" si="81"/>
        <v>7768.8</v>
      </c>
      <c r="H857" s="8">
        <f t="shared" si="82"/>
        <v>1424.2800000000002</v>
      </c>
      <c r="I857" s="10">
        <f t="shared" si="83"/>
        <v>6344.52</v>
      </c>
    </row>
    <row r="858" spans="1:9" x14ac:dyDescent="0.25">
      <c r="A858" s="6">
        <v>1198</v>
      </c>
      <c r="B858" s="5" t="str">
        <f>VLOOKUP(A858, EmployeeMaster!$A:$D, 3, FALSE)</f>
        <v>Research &amp; Development</v>
      </c>
      <c r="C858" s="8">
        <v>3033</v>
      </c>
      <c r="D858" s="8">
        <f t="shared" si="78"/>
        <v>606.6</v>
      </c>
      <c r="E858" s="8">
        <f t="shared" si="79"/>
        <v>363.96</v>
      </c>
      <c r="F858" s="8">
        <f t="shared" si="80"/>
        <v>303.3</v>
      </c>
      <c r="G858" s="8">
        <f t="shared" si="81"/>
        <v>3639.6</v>
      </c>
      <c r="H858" s="8">
        <f t="shared" si="82"/>
        <v>667.26</v>
      </c>
      <c r="I858" s="10">
        <f t="shared" si="83"/>
        <v>2972.34</v>
      </c>
    </row>
    <row r="859" spans="1:9" x14ac:dyDescent="0.25">
      <c r="A859" s="6">
        <v>1200</v>
      </c>
      <c r="B859" s="5" t="str">
        <f>VLOOKUP(A859, EmployeeMaster!$A:$D, 3, FALSE)</f>
        <v>Research &amp; Development</v>
      </c>
      <c r="C859" s="8">
        <v>2936</v>
      </c>
      <c r="D859" s="8">
        <f t="shared" si="78"/>
        <v>587.20000000000005</v>
      </c>
      <c r="E859" s="8">
        <f t="shared" si="79"/>
        <v>352.32</v>
      </c>
      <c r="F859" s="8">
        <f t="shared" si="80"/>
        <v>293.60000000000002</v>
      </c>
      <c r="G859" s="8">
        <f t="shared" si="81"/>
        <v>3523.2</v>
      </c>
      <c r="H859" s="8">
        <f t="shared" si="82"/>
        <v>645.92000000000007</v>
      </c>
      <c r="I859" s="10">
        <f t="shared" si="83"/>
        <v>2877.2799999999997</v>
      </c>
    </row>
    <row r="860" spans="1:9" x14ac:dyDescent="0.25">
      <c r="A860" s="6">
        <v>1201</v>
      </c>
      <c r="B860" s="5" t="str">
        <f>VLOOKUP(A860, EmployeeMaster!$A:$D, 3, FALSE)</f>
        <v>Research &amp; Development</v>
      </c>
      <c r="C860" s="8">
        <v>18606</v>
      </c>
      <c r="D860" s="8">
        <f t="shared" si="78"/>
        <v>3721.2000000000003</v>
      </c>
      <c r="E860" s="8">
        <f t="shared" si="79"/>
        <v>2232.7199999999998</v>
      </c>
      <c r="F860" s="8">
        <f t="shared" si="80"/>
        <v>1860.6000000000001</v>
      </c>
      <c r="G860" s="8">
        <f t="shared" si="81"/>
        <v>22327.200000000001</v>
      </c>
      <c r="H860" s="8">
        <f t="shared" si="82"/>
        <v>4093.3199999999997</v>
      </c>
      <c r="I860" s="10">
        <f t="shared" si="83"/>
        <v>18233.88</v>
      </c>
    </row>
    <row r="861" spans="1:9" x14ac:dyDescent="0.25">
      <c r="A861" s="6">
        <v>1202</v>
      </c>
      <c r="B861" s="5" t="str">
        <f>VLOOKUP(A861, EmployeeMaster!$A:$D, 3, FALSE)</f>
        <v>Research &amp; Development</v>
      </c>
      <c r="C861" s="8">
        <v>2168</v>
      </c>
      <c r="D861" s="8">
        <f t="shared" si="78"/>
        <v>433.6</v>
      </c>
      <c r="E861" s="8">
        <f t="shared" si="79"/>
        <v>260.15999999999997</v>
      </c>
      <c r="F861" s="8">
        <f t="shared" si="80"/>
        <v>216.8</v>
      </c>
      <c r="G861" s="8">
        <f t="shared" si="81"/>
        <v>2601.6</v>
      </c>
      <c r="H861" s="8">
        <f t="shared" si="82"/>
        <v>476.96</v>
      </c>
      <c r="I861" s="10">
        <f t="shared" si="83"/>
        <v>2124.64</v>
      </c>
    </row>
    <row r="862" spans="1:9" x14ac:dyDescent="0.25">
      <c r="A862" s="6">
        <v>1203</v>
      </c>
      <c r="B862" s="5" t="str">
        <f>VLOOKUP(A862, EmployeeMaster!$A:$D, 3, FALSE)</f>
        <v>Research &amp; Development</v>
      </c>
      <c r="C862" s="8">
        <v>2853</v>
      </c>
      <c r="D862" s="8">
        <f t="shared" si="78"/>
        <v>570.6</v>
      </c>
      <c r="E862" s="8">
        <f t="shared" si="79"/>
        <v>342.36</v>
      </c>
      <c r="F862" s="8">
        <f t="shared" si="80"/>
        <v>285.3</v>
      </c>
      <c r="G862" s="8">
        <f t="shared" si="81"/>
        <v>3423.6</v>
      </c>
      <c r="H862" s="8">
        <f t="shared" si="82"/>
        <v>627.66000000000008</v>
      </c>
      <c r="I862" s="10">
        <f t="shared" si="83"/>
        <v>2795.9399999999996</v>
      </c>
    </row>
    <row r="863" spans="1:9" x14ac:dyDescent="0.25">
      <c r="A863" s="6">
        <v>1204</v>
      </c>
      <c r="B863" s="5" t="str">
        <f>VLOOKUP(A863, EmployeeMaster!$A:$D, 3, FALSE)</f>
        <v>Sales</v>
      </c>
      <c r="C863" s="8">
        <v>17048</v>
      </c>
      <c r="D863" s="8">
        <f t="shared" si="78"/>
        <v>3409.6000000000004</v>
      </c>
      <c r="E863" s="8">
        <f t="shared" si="79"/>
        <v>2045.76</v>
      </c>
      <c r="F863" s="8">
        <f t="shared" si="80"/>
        <v>1704.8000000000002</v>
      </c>
      <c r="G863" s="8">
        <f t="shared" si="81"/>
        <v>20457.599999999999</v>
      </c>
      <c r="H863" s="8">
        <f t="shared" si="82"/>
        <v>3750.5600000000004</v>
      </c>
      <c r="I863" s="10">
        <f t="shared" si="83"/>
        <v>16707.039999999997</v>
      </c>
    </row>
    <row r="864" spans="1:9" x14ac:dyDescent="0.25">
      <c r="A864" s="6">
        <v>1206</v>
      </c>
      <c r="B864" s="5" t="str">
        <f>VLOOKUP(A864, EmployeeMaster!$A:$D, 3, FALSE)</f>
        <v>Research &amp; Development</v>
      </c>
      <c r="C864" s="8">
        <v>2290</v>
      </c>
      <c r="D864" s="8">
        <f t="shared" si="78"/>
        <v>458</v>
      </c>
      <c r="E864" s="8">
        <f t="shared" si="79"/>
        <v>274.8</v>
      </c>
      <c r="F864" s="8">
        <f t="shared" si="80"/>
        <v>229</v>
      </c>
      <c r="G864" s="8">
        <f t="shared" si="81"/>
        <v>2748</v>
      </c>
      <c r="H864" s="8">
        <f t="shared" si="82"/>
        <v>503.8</v>
      </c>
      <c r="I864" s="10">
        <f t="shared" si="83"/>
        <v>2244.1999999999998</v>
      </c>
    </row>
    <row r="865" spans="1:9" x14ac:dyDescent="0.25">
      <c r="A865" s="6">
        <v>1207</v>
      </c>
      <c r="B865" s="5" t="str">
        <f>VLOOKUP(A865, EmployeeMaster!$A:$D, 3, FALSE)</f>
        <v>Human Resources</v>
      </c>
      <c r="C865" s="8">
        <v>3600</v>
      </c>
      <c r="D865" s="8">
        <f t="shared" si="78"/>
        <v>720</v>
      </c>
      <c r="E865" s="8">
        <f t="shared" si="79"/>
        <v>432</v>
      </c>
      <c r="F865" s="8">
        <f t="shared" si="80"/>
        <v>360</v>
      </c>
      <c r="G865" s="8">
        <f t="shared" si="81"/>
        <v>4320</v>
      </c>
      <c r="H865" s="8">
        <f t="shared" si="82"/>
        <v>792</v>
      </c>
      <c r="I865" s="10">
        <f t="shared" si="83"/>
        <v>3528</v>
      </c>
    </row>
    <row r="866" spans="1:9" x14ac:dyDescent="0.25">
      <c r="A866" s="6">
        <v>1210</v>
      </c>
      <c r="B866" s="5" t="str">
        <f>VLOOKUP(A866, EmployeeMaster!$A:$D, 3, FALSE)</f>
        <v>Research &amp; Development</v>
      </c>
      <c r="C866" s="8">
        <v>2107</v>
      </c>
      <c r="D866" s="8">
        <f t="shared" si="78"/>
        <v>421.40000000000003</v>
      </c>
      <c r="E866" s="8">
        <f t="shared" si="79"/>
        <v>252.84</v>
      </c>
      <c r="F866" s="8">
        <f t="shared" si="80"/>
        <v>210.70000000000002</v>
      </c>
      <c r="G866" s="8">
        <f t="shared" si="81"/>
        <v>2528.4</v>
      </c>
      <c r="H866" s="8">
        <f t="shared" si="82"/>
        <v>463.54</v>
      </c>
      <c r="I866" s="10">
        <f t="shared" si="83"/>
        <v>2064.86</v>
      </c>
    </row>
    <row r="867" spans="1:9" x14ac:dyDescent="0.25">
      <c r="A867" s="6">
        <v>1211</v>
      </c>
      <c r="B867" s="5" t="str">
        <f>VLOOKUP(A867, EmployeeMaster!$A:$D, 3, FALSE)</f>
        <v>Sales</v>
      </c>
      <c r="C867" s="8">
        <v>4115</v>
      </c>
      <c r="D867" s="8">
        <f t="shared" si="78"/>
        <v>823</v>
      </c>
      <c r="E867" s="8">
        <f t="shared" si="79"/>
        <v>493.79999999999995</v>
      </c>
      <c r="F867" s="8">
        <f t="shared" si="80"/>
        <v>411.5</v>
      </c>
      <c r="G867" s="8">
        <f t="shared" si="81"/>
        <v>4938</v>
      </c>
      <c r="H867" s="8">
        <f t="shared" si="82"/>
        <v>905.3</v>
      </c>
      <c r="I867" s="10">
        <f t="shared" si="83"/>
        <v>4032.7</v>
      </c>
    </row>
    <row r="868" spans="1:9" x14ac:dyDescent="0.25">
      <c r="A868" s="6">
        <v>1212</v>
      </c>
      <c r="B868" s="5" t="str">
        <f>VLOOKUP(A868, EmployeeMaster!$A:$D, 3, FALSE)</f>
        <v>Sales</v>
      </c>
      <c r="C868" s="8">
        <v>4327</v>
      </c>
      <c r="D868" s="8">
        <f t="shared" si="78"/>
        <v>865.40000000000009</v>
      </c>
      <c r="E868" s="8">
        <f t="shared" si="79"/>
        <v>519.24</v>
      </c>
      <c r="F868" s="8">
        <f t="shared" si="80"/>
        <v>432.70000000000005</v>
      </c>
      <c r="G868" s="8">
        <f t="shared" si="81"/>
        <v>5192.3999999999996</v>
      </c>
      <c r="H868" s="8">
        <f t="shared" si="82"/>
        <v>951.94</v>
      </c>
      <c r="I868" s="10">
        <f t="shared" si="83"/>
        <v>4240.4599999999991</v>
      </c>
    </row>
    <row r="869" spans="1:9" x14ac:dyDescent="0.25">
      <c r="A869" s="6">
        <v>1215</v>
      </c>
      <c r="B869" s="5" t="str">
        <f>VLOOKUP(A869, EmployeeMaster!$A:$D, 3, FALSE)</f>
        <v>Research &amp; Development</v>
      </c>
      <c r="C869" s="8">
        <v>17856</v>
      </c>
      <c r="D869" s="8">
        <f t="shared" si="78"/>
        <v>3571.2000000000003</v>
      </c>
      <c r="E869" s="8">
        <f t="shared" si="79"/>
        <v>2142.7199999999998</v>
      </c>
      <c r="F869" s="8">
        <f t="shared" si="80"/>
        <v>1785.6000000000001</v>
      </c>
      <c r="G869" s="8">
        <f t="shared" si="81"/>
        <v>21427.200000000001</v>
      </c>
      <c r="H869" s="8">
        <f t="shared" si="82"/>
        <v>3928.3199999999997</v>
      </c>
      <c r="I869" s="10">
        <f t="shared" si="83"/>
        <v>17498.88</v>
      </c>
    </row>
    <row r="870" spans="1:9" x14ac:dyDescent="0.25">
      <c r="A870" s="6">
        <v>1216</v>
      </c>
      <c r="B870" s="5" t="str">
        <f>VLOOKUP(A870, EmployeeMaster!$A:$D, 3, FALSE)</f>
        <v>Research &amp; Development</v>
      </c>
      <c r="C870" s="8">
        <v>3196</v>
      </c>
      <c r="D870" s="8">
        <f t="shared" si="78"/>
        <v>639.20000000000005</v>
      </c>
      <c r="E870" s="8">
        <f t="shared" si="79"/>
        <v>383.52</v>
      </c>
      <c r="F870" s="8">
        <f t="shared" si="80"/>
        <v>319.60000000000002</v>
      </c>
      <c r="G870" s="8">
        <f t="shared" si="81"/>
        <v>3835.2</v>
      </c>
      <c r="H870" s="8">
        <f t="shared" si="82"/>
        <v>703.12</v>
      </c>
      <c r="I870" s="10">
        <f t="shared" si="83"/>
        <v>3132.08</v>
      </c>
    </row>
    <row r="871" spans="1:9" x14ac:dyDescent="0.25">
      <c r="A871" s="6">
        <v>1217</v>
      </c>
      <c r="B871" s="5" t="str">
        <f>VLOOKUP(A871, EmployeeMaster!$A:$D, 3, FALSE)</f>
        <v>Research &amp; Development</v>
      </c>
      <c r="C871" s="8">
        <v>19081</v>
      </c>
      <c r="D871" s="8">
        <f t="shared" si="78"/>
        <v>3816.2000000000003</v>
      </c>
      <c r="E871" s="8">
        <f t="shared" si="79"/>
        <v>2289.7199999999998</v>
      </c>
      <c r="F871" s="8">
        <f t="shared" si="80"/>
        <v>1908.1000000000001</v>
      </c>
      <c r="G871" s="8">
        <f t="shared" si="81"/>
        <v>22897.200000000001</v>
      </c>
      <c r="H871" s="8">
        <f t="shared" si="82"/>
        <v>4197.82</v>
      </c>
      <c r="I871" s="10">
        <f t="shared" si="83"/>
        <v>18699.38</v>
      </c>
    </row>
    <row r="872" spans="1:9" x14ac:dyDescent="0.25">
      <c r="A872" s="6">
        <v>1218</v>
      </c>
      <c r="B872" s="5" t="str">
        <f>VLOOKUP(A872, EmployeeMaster!$A:$D, 3, FALSE)</f>
        <v>Sales</v>
      </c>
      <c r="C872" s="8">
        <v>8966</v>
      </c>
      <c r="D872" s="8">
        <f t="shared" si="78"/>
        <v>1793.2</v>
      </c>
      <c r="E872" s="8">
        <f t="shared" si="79"/>
        <v>1075.92</v>
      </c>
      <c r="F872" s="8">
        <f t="shared" si="80"/>
        <v>896.6</v>
      </c>
      <c r="G872" s="8">
        <f t="shared" si="81"/>
        <v>10759.2</v>
      </c>
      <c r="H872" s="8">
        <f t="shared" si="82"/>
        <v>1972.52</v>
      </c>
      <c r="I872" s="10">
        <f t="shared" si="83"/>
        <v>8786.68</v>
      </c>
    </row>
    <row r="873" spans="1:9" x14ac:dyDescent="0.25">
      <c r="A873" s="6">
        <v>1219</v>
      </c>
      <c r="B873" s="5" t="str">
        <f>VLOOKUP(A873, EmployeeMaster!$A:$D, 3, FALSE)</f>
        <v>Research &amp; Development</v>
      </c>
      <c r="C873" s="8">
        <v>2210</v>
      </c>
      <c r="D873" s="8">
        <f t="shared" si="78"/>
        <v>442</v>
      </c>
      <c r="E873" s="8">
        <f t="shared" si="79"/>
        <v>265.2</v>
      </c>
      <c r="F873" s="8">
        <f t="shared" si="80"/>
        <v>221</v>
      </c>
      <c r="G873" s="8">
        <f t="shared" si="81"/>
        <v>2652</v>
      </c>
      <c r="H873" s="8">
        <f t="shared" si="82"/>
        <v>486.2</v>
      </c>
      <c r="I873" s="10">
        <f t="shared" si="83"/>
        <v>2165.8000000000002</v>
      </c>
    </row>
    <row r="874" spans="1:9" x14ac:dyDescent="0.25">
      <c r="A874" s="6">
        <v>1220</v>
      </c>
      <c r="B874" s="5" t="str">
        <f>VLOOKUP(A874, EmployeeMaster!$A:$D, 3, FALSE)</f>
        <v>Sales</v>
      </c>
      <c r="C874" s="8">
        <v>4539</v>
      </c>
      <c r="D874" s="8">
        <f t="shared" si="78"/>
        <v>907.80000000000007</v>
      </c>
      <c r="E874" s="8">
        <f t="shared" si="79"/>
        <v>544.67999999999995</v>
      </c>
      <c r="F874" s="8">
        <f t="shared" si="80"/>
        <v>453.90000000000003</v>
      </c>
      <c r="G874" s="8">
        <f t="shared" si="81"/>
        <v>5446.8</v>
      </c>
      <c r="H874" s="8">
        <f t="shared" si="82"/>
        <v>998.57999999999993</v>
      </c>
      <c r="I874" s="10">
        <f t="shared" si="83"/>
        <v>4448.22</v>
      </c>
    </row>
    <row r="875" spans="1:9" x14ac:dyDescent="0.25">
      <c r="A875" s="6">
        <v>1221</v>
      </c>
      <c r="B875" s="5" t="str">
        <f>VLOOKUP(A875, EmployeeMaster!$A:$D, 3, FALSE)</f>
        <v>Research &amp; Development</v>
      </c>
      <c r="C875" s="8">
        <v>2741</v>
      </c>
      <c r="D875" s="8">
        <f t="shared" si="78"/>
        <v>548.20000000000005</v>
      </c>
      <c r="E875" s="8">
        <f t="shared" si="79"/>
        <v>328.92</v>
      </c>
      <c r="F875" s="8">
        <f t="shared" si="80"/>
        <v>274.10000000000002</v>
      </c>
      <c r="G875" s="8">
        <f t="shared" si="81"/>
        <v>3289.2</v>
      </c>
      <c r="H875" s="8">
        <f t="shared" si="82"/>
        <v>603.02</v>
      </c>
      <c r="I875" s="10">
        <f t="shared" si="83"/>
        <v>2686.18</v>
      </c>
    </row>
    <row r="876" spans="1:9" x14ac:dyDescent="0.25">
      <c r="A876" s="6">
        <v>1224</v>
      </c>
      <c r="B876" s="5" t="str">
        <f>VLOOKUP(A876, EmployeeMaster!$A:$D, 3, FALSE)</f>
        <v>Research &amp; Development</v>
      </c>
      <c r="C876" s="8">
        <v>3491</v>
      </c>
      <c r="D876" s="8">
        <f t="shared" si="78"/>
        <v>698.2</v>
      </c>
      <c r="E876" s="8">
        <f t="shared" si="79"/>
        <v>418.91999999999996</v>
      </c>
      <c r="F876" s="8">
        <f t="shared" si="80"/>
        <v>349.1</v>
      </c>
      <c r="G876" s="8">
        <f t="shared" si="81"/>
        <v>4189.2</v>
      </c>
      <c r="H876" s="8">
        <f t="shared" si="82"/>
        <v>768.02</v>
      </c>
      <c r="I876" s="10">
        <f t="shared" si="83"/>
        <v>3421.18</v>
      </c>
    </row>
    <row r="877" spans="1:9" x14ac:dyDescent="0.25">
      <c r="A877" s="6">
        <v>1225</v>
      </c>
      <c r="B877" s="5" t="str">
        <f>VLOOKUP(A877, EmployeeMaster!$A:$D, 3, FALSE)</f>
        <v>Research &amp; Development</v>
      </c>
      <c r="C877" s="8">
        <v>4541</v>
      </c>
      <c r="D877" s="8">
        <f t="shared" si="78"/>
        <v>908.2</v>
      </c>
      <c r="E877" s="8">
        <f t="shared" si="79"/>
        <v>544.91999999999996</v>
      </c>
      <c r="F877" s="8">
        <f t="shared" si="80"/>
        <v>454.1</v>
      </c>
      <c r="G877" s="8">
        <f t="shared" si="81"/>
        <v>5449.2</v>
      </c>
      <c r="H877" s="8">
        <f t="shared" si="82"/>
        <v>999.02</v>
      </c>
      <c r="I877" s="10">
        <f t="shared" si="83"/>
        <v>4450.18</v>
      </c>
    </row>
    <row r="878" spans="1:9" x14ac:dyDescent="0.25">
      <c r="A878" s="6">
        <v>1226</v>
      </c>
      <c r="B878" s="5" t="str">
        <f>VLOOKUP(A878, EmployeeMaster!$A:$D, 3, FALSE)</f>
        <v>Sales</v>
      </c>
      <c r="C878" s="8">
        <v>2678</v>
      </c>
      <c r="D878" s="8">
        <f t="shared" si="78"/>
        <v>535.6</v>
      </c>
      <c r="E878" s="8">
        <f t="shared" si="79"/>
        <v>321.36</v>
      </c>
      <c r="F878" s="8">
        <f t="shared" si="80"/>
        <v>267.8</v>
      </c>
      <c r="G878" s="8">
        <f t="shared" si="81"/>
        <v>3213.6</v>
      </c>
      <c r="H878" s="8">
        <f t="shared" si="82"/>
        <v>589.16000000000008</v>
      </c>
      <c r="I878" s="10">
        <f t="shared" si="83"/>
        <v>2624.4399999999996</v>
      </c>
    </row>
    <row r="879" spans="1:9" x14ac:dyDescent="0.25">
      <c r="A879" s="6">
        <v>1228</v>
      </c>
      <c r="B879" s="5" t="str">
        <f>VLOOKUP(A879, EmployeeMaster!$A:$D, 3, FALSE)</f>
        <v>Research &amp; Development</v>
      </c>
      <c r="C879" s="8">
        <v>7379</v>
      </c>
      <c r="D879" s="8">
        <f t="shared" si="78"/>
        <v>1475.8000000000002</v>
      </c>
      <c r="E879" s="8">
        <f t="shared" si="79"/>
        <v>885.48</v>
      </c>
      <c r="F879" s="8">
        <f t="shared" si="80"/>
        <v>737.90000000000009</v>
      </c>
      <c r="G879" s="8">
        <f t="shared" si="81"/>
        <v>8854.7999999999993</v>
      </c>
      <c r="H879" s="8">
        <f t="shared" si="82"/>
        <v>1623.38</v>
      </c>
      <c r="I879" s="10">
        <f t="shared" si="83"/>
        <v>7231.4199999999992</v>
      </c>
    </row>
    <row r="880" spans="1:9" x14ac:dyDescent="0.25">
      <c r="A880" s="6">
        <v>1231</v>
      </c>
      <c r="B880" s="5" t="str">
        <f>VLOOKUP(A880, EmployeeMaster!$A:$D, 3, FALSE)</f>
        <v>Human Resources</v>
      </c>
      <c r="C880" s="8">
        <v>6272</v>
      </c>
      <c r="D880" s="8">
        <f t="shared" si="78"/>
        <v>1254.4000000000001</v>
      </c>
      <c r="E880" s="8">
        <f t="shared" si="79"/>
        <v>752.64</v>
      </c>
      <c r="F880" s="8">
        <f t="shared" si="80"/>
        <v>627.20000000000005</v>
      </c>
      <c r="G880" s="8">
        <f t="shared" si="81"/>
        <v>7526.4</v>
      </c>
      <c r="H880" s="8">
        <f t="shared" si="82"/>
        <v>1379.8400000000001</v>
      </c>
      <c r="I880" s="10">
        <f t="shared" si="83"/>
        <v>6146.5599999999995</v>
      </c>
    </row>
    <row r="881" spans="1:9" x14ac:dyDescent="0.25">
      <c r="A881" s="6">
        <v>1233</v>
      </c>
      <c r="B881" s="5" t="str">
        <f>VLOOKUP(A881, EmployeeMaster!$A:$D, 3, FALSE)</f>
        <v>Sales</v>
      </c>
      <c r="C881" s="8">
        <v>5220</v>
      </c>
      <c r="D881" s="8">
        <f t="shared" si="78"/>
        <v>1044</v>
      </c>
      <c r="E881" s="8">
        <f t="shared" si="79"/>
        <v>626.4</v>
      </c>
      <c r="F881" s="8">
        <f t="shared" si="80"/>
        <v>522</v>
      </c>
      <c r="G881" s="8">
        <f t="shared" si="81"/>
        <v>6264</v>
      </c>
      <c r="H881" s="8">
        <f t="shared" si="82"/>
        <v>1148.4000000000001</v>
      </c>
      <c r="I881" s="10">
        <f t="shared" si="83"/>
        <v>5115.6000000000004</v>
      </c>
    </row>
    <row r="882" spans="1:9" x14ac:dyDescent="0.25">
      <c r="A882" s="6">
        <v>1234</v>
      </c>
      <c r="B882" s="5" t="str">
        <f>VLOOKUP(A882, EmployeeMaster!$A:$D, 3, FALSE)</f>
        <v>Research &amp; Development</v>
      </c>
      <c r="C882" s="8">
        <v>2743</v>
      </c>
      <c r="D882" s="8">
        <f t="shared" si="78"/>
        <v>548.6</v>
      </c>
      <c r="E882" s="8">
        <f t="shared" si="79"/>
        <v>329.15999999999997</v>
      </c>
      <c r="F882" s="8">
        <f t="shared" si="80"/>
        <v>274.3</v>
      </c>
      <c r="G882" s="8">
        <f t="shared" si="81"/>
        <v>3291.6</v>
      </c>
      <c r="H882" s="8">
        <f t="shared" si="82"/>
        <v>603.46</v>
      </c>
      <c r="I882" s="10">
        <f t="shared" si="83"/>
        <v>2688.14</v>
      </c>
    </row>
    <row r="883" spans="1:9" x14ac:dyDescent="0.25">
      <c r="A883" s="6">
        <v>1235</v>
      </c>
      <c r="B883" s="5" t="str">
        <f>VLOOKUP(A883, EmployeeMaster!$A:$D, 3, FALSE)</f>
        <v>Research &amp; Development</v>
      </c>
      <c r="C883" s="8">
        <v>4998</v>
      </c>
      <c r="D883" s="8">
        <f t="shared" si="78"/>
        <v>999.6</v>
      </c>
      <c r="E883" s="8">
        <f t="shared" si="79"/>
        <v>599.76</v>
      </c>
      <c r="F883" s="8">
        <f t="shared" si="80"/>
        <v>499.8</v>
      </c>
      <c r="G883" s="8">
        <f t="shared" si="81"/>
        <v>5997.6</v>
      </c>
      <c r="H883" s="8">
        <f t="shared" si="82"/>
        <v>1099.56</v>
      </c>
      <c r="I883" s="10">
        <f t="shared" si="83"/>
        <v>4898.0400000000009</v>
      </c>
    </row>
    <row r="884" spans="1:9" x14ac:dyDescent="0.25">
      <c r="A884" s="6">
        <v>1237</v>
      </c>
      <c r="B884" s="5" t="str">
        <f>VLOOKUP(A884, EmployeeMaster!$A:$D, 3, FALSE)</f>
        <v>Research &amp; Development</v>
      </c>
      <c r="C884" s="8">
        <v>10252</v>
      </c>
      <c r="D884" s="8">
        <f t="shared" si="78"/>
        <v>2050.4</v>
      </c>
      <c r="E884" s="8">
        <f t="shared" si="79"/>
        <v>1230.24</v>
      </c>
      <c r="F884" s="8">
        <f t="shared" si="80"/>
        <v>1025.2</v>
      </c>
      <c r="G884" s="8">
        <f t="shared" si="81"/>
        <v>12302.4</v>
      </c>
      <c r="H884" s="8">
        <f t="shared" si="82"/>
        <v>2255.44</v>
      </c>
      <c r="I884" s="10">
        <f t="shared" si="83"/>
        <v>10046.959999999999</v>
      </c>
    </row>
    <row r="885" spans="1:9" x14ac:dyDescent="0.25">
      <c r="A885" s="6">
        <v>1238</v>
      </c>
      <c r="B885" s="5" t="str">
        <f>VLOOKUP(A885, EmployeeMaster!$A:$D, 3, FALSE)</f>
        <v>Research &amp; Development</v>
      </c>
      <c r="C885" s="8">
        <v>2781</v>
      </c>
      <c r="D885" s="8">
        <f t="shared" si="78"/>
        <v>556.20000000000005</v>
      </c>
      <c r="E885" s="8">
        <f t="shared" si="79"/>
        <v>333.71999999999997</v>
      </c>
      <c r="F885" s="8">
        <f t="shared" si="80"/>
        <v>278.10000000000002</v>
      </c>
      <c r="G885" s="8">
        <f t="shared" si="81"/>
        <v>3337.2</v>
      </c>
      <c r="H885" s="8">
        <f t="shared" si="82"/>
        <v>611.81999999999994</v>
      </c>
      <c r="I885" s="10">
        <f t="shared" si="83"/>
        <v>2725.38</v>
      </c>
    </row>
    <row r="886" spans="1:9" x14ac:dyDescent="0.25">
      <c r="A886" s="6">
        <v>1239</v>
      </c>
      <c r="B886" s="5" t="str">
        <f>VLOOKUP(A886, EmployeeMaster!$A:$D, 3, FALSE)</f>
        <v>Sales</v>
      </c>
      <c r="C886" s="8">
        <v>6852</v>
      </c>
      <c r="D886" s="8">
        <f t="shared" si="78"/>
        <v>1370.4</v>
      </c>
      <c r="E886" s="8">
        <f t="shared" si="79"/>
        <v>822.24</v>
      </c>
      <c r="F886" s="8">
        <f t="shared" si="80"/>
        <v>685.2</v>
      </c>
      <c r="G886" s="8">
        <f t="shared" si="81"/>
        <v>8222.4</v>
      </c>
      <c r="H886" s="8">
        <f t="shared" si="82"/>
        <v>1507.44</v>
      </c>
      <c r="I886" s="10">
        <f t="shared" si="83"/>
        <v>6714.9599999999991</v>
      </c>
    </row>
    <row r="887" spans="1:9" x14ac:dyDescent="0.25">
      <c r="A887" s="6">
        <v>1240</v>
      </c>
      <c r="B887" s="5" t="str">
        <f>VLOOKUP(A887, EmployeeMaster!$A:$D, 3, FALSE)</f>
        <v>Sales</v>
      </c>
      <c r="C887" s="8">
        <v>4950</v>
      </c>
      <c r="D887" s="8">
        <f t="shared" si="78"/>
        <v>990</v>
      </c>
      <c r="E887" s="8">
        <f t="shared" si="79"/>
        <v>594</v>
      </c>
      <c r="F887" s="8">
        <f t="shared" si="80"/>
        <v>495</v>
      </c>
      <c r="G887" s="8">
        <f t="shared" si="81"/>
        <v>5940</v>
      </c>
      <c r="H887" s="8">
        <f t="shared" si="82"/>
        <v>1089</v>
      </c>
      <c r="I887" s="10">
        <f t="shared" si="83"/>
        <v>4851</v>
      </c>
    </row>
    <row r="888" spans="1:9" x14ac:dyDescent="0.25">
      <c r="A888" s="6">
        <v>1241</v>
      </c>
      <c r="B888" s="5" t="str">
        <f>VLOOKUP(A888, EmployeeMaster!$A:$D, 3, FALSE)</f>
        <v>Research &amp; Development</v>
      </c>
      <c r="C888" s="8">
        <v>3579</v>
      </c>
      <c r="D888" s="8">
        <f t="shared" si="78"/>
        <v>715.80000000000007</v>
      </c>
      <c r="E888" s="8">
        <f t="shared" si="79"/>
        <v>429.47999999999996</v>
      </c>
      <c r="F888" s="8">
        <f t="shared" si="80"/>
        <v>357.90000000000003</v>
      </c>
      <c r="G888" s="8">
        <f t="shared" si="81"/>
        <v>4294.8</v>
      </c>
      <c r="H888" s="8">
        <f t="shared" si="82"/>
        <v>787.38</v>
      </c>
      <c r="I888" s="10">
        <f t="shared" si="83"/>
        <v>3507.42</v>
      </c>
    </row>
    <row r="889" spans="1:9" x14ac:dyDescent="0.25">
      <c r="A889" s="6">
        <v>1242</v>
      </c>
      <c r="B889" s="5" t="str">
        <f>VLOOKUP(A889, EmployeeMaster!$A:$D, 3, FALSE)</f>
        <v>Research &amp; Development</v>
      </c>
      <c r="C889" s="8">
        <v>13191</v>
      </c>
      <c r="D889" s="8">
        <f t="shared" si="78"/>
        <v>2638.2000000000003</v>
      </c>
      <c r="E889" s="8">
        <f t="shared" si="79"/>
        <v>1582.9199999999998</v>
      </c>
      <c r="F889" s="8">
        <f t="shared" si="80"/>
        <v>1319.1000000000001</v>
      </c>
      <c r="G889" s="8">
        <f t="shared" si="81"/>
        <v>15829.2</v>
      </c>
      <c r="H889" s="8">
        <f t="shared" si="82"/>
        <v>2902.02</v>
      </c>
      <c r="I889" s="10">
        <f t="shared" si="83"/>
        <v>12927.18</v>
      </c>
    </row>
    <row r="890" spans="1:9" x14ac:dyDescent="0.25">
      <c r="A890" s="6">
        <v>1243</v>
      </c>
      <c r="B890" s="5" t="str">
        <f>VLOOKUP(A890, EmployeeMaster!$A:$D, 3, FALSE)</f>
        <v>Sales</v>
      </c>
      <c r="C890" s="8">
        <v>10377</v>
      </c>
      <c r="D890" s="8">
        <f t="shared" si="78"/>
        <v>2075.4</v>
      </c>
      <c r="E890" s="8">
        <f t="shared" si="79"/>
        <v>1245.24</v>
      </c>
      <c r="F890" s="8">
        <f t="shared" si="80"/>
        <v>1037.7</v>
      </c>
      <c r="G890" s="8">
        <f t="shared" si="81"/>
        <v>12452.4</v>
      </c>
      <c r="H890" s="8">
        <f t="shared" si="82"/>
        <v>2282.94</v>
      </c>
      <c r="I890" s="10">
        <f t="shared" si="83"/>
        <v>10169.459999999999</v>
      </c>
    </row>
    <row r="891" spans="1:9" x14ac:dyDescent="0.25">
      <c r="A891" s="6">
        <v>1244</v>
      </c>
      <c r="B891" s="5" t="str">
        <f>VLOOKUP(A891, EmployeeMaster!$A:$D, 3, FALSE)</f>
        <v>Research &amp; Development</v>
      </c>
      <c r="C891" s="8">
        <v>2235</v>
      </c>
      <c r="D891" s="8">
        <f t="shared" si="78"/>
        <v>447</v>
      </c>
      <c r="E891" s="8">
        <f t="shared" si="79"/>
        <v>268.2</v>
      </c>
      <c r="F891" s="8">
        <f t="shared" si="80"/>
        <v>223.5</v>
      </c>
      <c r="G891" s="8">
        <f t="shared" si="81"/>
        <v>2682</v>
      </c>
      <c r="H891" s="8">
        <f t="shared" si="82"/>
        <v>491.7</v>
      </c>
      <c r="I891" s="10">
        <f t="shared" si="83"/>
        <v>2190.3000000000002</v>
      </c>
    </row>
    <row r="892" spans="1:9" x14ac:dyDescent="0.25">
      <c r="A892" s="6">
        <v>1245</v>
      </c>
      <c r="B892" s="5" t="str">
        <f>VLOOKUP(A892, EmployeeMaster!$A:$D, 3, FALSE)</f>
        <v>Research &amp; Development</v>
      </c>
      <c r="C892" s="8">
        <v>10502</v>
      </c>
      <c r="D892" s="8">
        <f t="shared" si="78"/>
        <v>2100.4</v>
      </c>
      <c r="E892" s="8">
        <f t="shared" si="79"/>
        <v>1260.24</v>
      </c>
      <c r="F892" s="8">
        <f t="shared" si="80"/>
        <v>1050.2</v>
      </c>
      <c r="G892" s="8">
        <f t="shared" si="81"/>
        <v>12602.4</v>
      </c>
      <c r="H892" s="8">
        <f t="shared" si="82"/>
        <v>2310.44</v>
      </c>
      <c r="I892" s="10">
        <f t="shared" si="83"/>
        <v>10291.959999999999</v>
      </c>
    </row>
    <row r="893" spans="1:9" x14ac:dyDescent="0.25">
      <c r="A893" s="6">
        <v>1246</v>
      </c>
      <c r="B893" s="5" t="str">
        <f>VLOOKUP(A893, EmployeeMaster!$A:$D, 3, FALSE)</f>
        <v>Research &amp; Development</v>
      </c>
      <c r="C893" s="8">
        <v>2011</v>
      </c>
      <c r="D893" s="8">
        <f t="shared" si="78"/>
        <v>402.20000000000005</v>
      </c>
      <c r="E893" s="8">
        <f t="shared" si="79"/>
        <v>241.32</v>
      </c>
      <c r="F893" s="8">
        <f t="shared" si="80"/>
        <v>201.10000000000002</v>
      </c>
      <c r="G893" s="8">
        <f t="shared" si="81"/>
        <v>2413.1999999999998</v>
      </c>
      <c r="H893" s="8">
        <f t="shared" si="82"/>
        <v>442.42</v>
      </c>
      <c r="I893" s="10">
        <f t="shared" si="83"/>
        <v>1970.7799999999997</v>
      </c>
    </row>
    <row r="894" spans="1:9" x14ac:dyDescent="0.25">
      <c r="A894" s="6">
        <v>1248</v>
      </c>
      <c r="B894" s="5" t="str">
        <f>VLOOKUP(A894, EmployeeMaster!$A:$D, 3, FALSE)</f>
        <v>Research &amp; Development</v>
      </c>
      <c r="C894" s="8">
        <v>1859</v>
      </c>
      <c r="D894" s="8">
        <f t="shared" si="78"/>
        <v>371.8</v>
      </c>
      <c r="E894" s="8">
        <f t="shared" si="79"/>
        <v>223.07999999999998</v>
      </c>
      <c r="F894" s="8">
        <f t="shared" si="80"/>
        <v>185.9</v>
      </c>
      <c r="G894" s="8">
        <f t="shared" si="81"/>
        <v>2230.8000000000002</v>
      </c>
      <c r="H894" s="8">
        <f t="shared" si="82"/>
        <v>408.98</v>
      </c>
      <c r="I894" s="10">
        <f t="shared" si="83"/>
        <v>1821.8200000000002</v>
      </c>
    </row>
    <row r="895" spans="1:9" x14ac:dyDescent="0.25">
      <c r="A895" s="6">
        <v>1249</v>
      </c>
      <c r="B895" s="5" t="str">
        <f>VLOOKUP(A895, EmployeeMaster!$A:$D, 3, FALSE)</f>
        <v>Research &amp; Development</v>
      </c>
      <c r="C895" s="8">
        <v>3760</v>
      </c>
      <c r="D895" s="8">
        <f t="shared" si="78"/>
        <v>752</v>
      </c>
      <c r="E895" s="8">
        <f t="shared" si="79"/>
        <v>451.2</v>
      </c>
      <c r="F895" s="8">
        <f t="shared" si="80"/>
        <v>376</v>
      </c>
      <c r="G895" s="8">
        <f t="shared" si="81"/>
        <v>4512</v>
      </c>
      <c r="H895" s="8">
        <f t="shared" si="82"/>
        <v>827.2</v>
      </c>
      <c r="I895" s="10">
        <f t="shared" si="83"/>
        <v>3684.8</v>
      </c>
    </row>
    <row r="896" spans="1:9" x14ac:dyDescent="0.25">
      <c r="A896" s="6">
        <v>1250</v>
      </c>
      <c r="B896" s="5" t="str">
        <f>VLOOKUP(A896, EmployeeMaster!$A:$D, 3, FALSE)</f>
        <v>Research &amp; Development</v>
      </c>
      <c r="C896" s="8">
        <v>17779</v>
      </c>
      <c r="D896" s="8">
        <f t="shared" si="78"/>
        <v>3555.8</v>
      </c>
      <c r="E896" s="8">
        <f t="shared" si="79"/>
        <v>2133.48</v>
      </c>
      <c r="F896" s="8">
        <f t="shared" si="80"/>
        <v>1777.9</v>
      </c>
      <c r="G896" s="8">
        <f t="shared" si="81"/>
        <v>21334.799999999999</v>
      </c>
      <c r="H896" s="8">
        <f t="shared" si="82"/>
        <v>3911.38</v>
      </c>
      <c r="I896" s="10">
        <f t="shared" si="83"/>
        <v>17423.419999999998</v>
      </c>
    </row>
    <row r="897" spans="1:9" x14ac:dyDescent="0.25">
      <c r="A897" s="6">
        <v>1251</v>
      </c>
      <c r="B897" s="5" t="str">
        <f>VLOOKUP(A897, EmployeeMaster!$A:$D, 3, FALSE)</f>
        <v>Research &amp; Development</v>
      </c>
      <c r="C897" s="8">
        <v>6833</v>
      </c>
      <c r="D897" s="8">
        <f t="shared" si="78"/>
        <v>1366.6000000000001</v>
      </c>
      <c r="E897" s="8">
        <f t="shared" si="79"/>
        <v>819.95999999999992</v>
      </c>
      <c r="F897" s="8">
        <f t="shared" si="80"/>
        <v>683.30000000000007</v>
      </c>
      <c r="G897" s="8">
        <f t="shared" si="81"/>
        <v>8199.6</v>
      </c>
      <c r="H897" s="8">
        <f t="shared" si="82"/>
        <v>1503.26</v>
      </c>
      <c r="I897" s="10">
        <f t="shared" si="83"/>
        <v>6696.34</v>
      </c>
    </row>
    <row r="898" spans="1:9" x14ac:dyDescent="0.25">
      <c r="A898" s="6">
        <v>1252</v>
      </c>
      <c r="B898" s="5" t="str">
        <f>VLOOKUP(A898, EmployeeMaster!$A:$D, 3, FALSE)</f>
        <v>Research &amp; Development</v>
      </c>
      <c r="C898" s="8">
        <v>6812</v>
      </c>
      <c r="D898" s="8">
        <f t="shared" si="78"/>
        <v>1362.4</v>
      </c>
      <c r="E898" s="8">
        <f t="shared" si="79"/>
        <v>817.43999999999994</v>
      </c>
      <c r="F898" s="8">
        <f t="shared" si="80"/>
        <v>681.2</v>
      </c>
      <c r="G898" s="8">
        <f t="shared" si="81"/>
        <v>8174.4</v>
      </c>
      <c r="H898" s="8">
        <f t="shared" si="82"/>
        <v>1498.6399999999999</v>
      </c>
      <c r="I898" s="10">
        <f t="shared" si="83"/>
        <v>6675.76</v>
      </c>
    </row>
    <row r="899" spans="1:9" x14ac:dyDescent="0.25">
      <c r="A899" s="6">
        <v>1254</v>
      </c>
      <c r="B899" s="5" t="str">
        <f>VLOOKUP(A899, EmployeeMaster!$A:$D, 3, FALSE)</f>
        <v>Sales</v>
      </c>
      <c r="C899" s="8">
        <v>5171</v>
      </c>
      <c r="D899" s="8">
        <f t="shared" ref="D899:D962" si="84">C899*20%</f>
        <v>1034.2</v>
      </c>
      <c r="E899" s="8">
        <f t="shared" ref="E899:E962" si="85">C899*12%</f>
        <v>620.52</v>
      </c>
      <c r="F899" s="8">
        <f t="shared" ref="F899:F962" si="86">C899*10%</f>
        <v>517.1</v>
      </c>
      <c r="G899" s="8">
        <f t="shared" ref="G899:G962" si="87">C899+D899</f>
        <v>6205.2</v>
      </c>
      <c r="H899" s="8">
        <f t="shared" ref="H899:H962" si="88">E899+F899</f>
        <v>1137.6199999999999</v>
      </c>
      <c r="I899" s="10">
        <f t="shared" ref="I899:I962" si="89">G899-H899</f>
        <v>5067.58</v>
      </c>
    </row>
    <row r="900" spans="1:9" x14ac:dyDescent="0.25">
      <c r="A900" s="6">
        <v>1255</v>
      </c>
      <c r="B900" s="5" t="str">
        <f>VLOOKUP(A900, EmployeeMaster!$A:$D, 3, FALSE)</f>
        <v>Research &amp; Development</v>
      </c>
      <c r="C900" s="8">
        <v>19740</v>
      </c>
      <c r="D900" s="8">
        <f t="shared" si="84"/>
        <v>3948</v>
      </c>
      <c r="E900" s="8">
        <f t="shared" si="85"/>
        <v>2368.7999999999997</v>
      </c>
      <c r="F900" s="8">
        <f t="shared" si="86"/>
        <v>1974</v>
      </c>
      <c r="G900" s="8">
        <f t="shared" si="87"/>
        <v>23688</v>
      </c>
      <c r="H900" s="8">
        <f t="shared" si="88"/>
        <v>4342.7999999999993</v>
      </c>
      <c r="I900" s="10">
        <f t="shared" si="89"/>
        <v>19345.2</v>
      </c>
    </row>
    <row r="901" spans="1:9" x14ac:dyDescent="0.25">
      <c r="A901" s="6">
        <v>1256</v>
      </c>
      <c r="B901" s="5" t="str">
        <f>VLOOKUP(A901, EmployeeMaster!$A:$D, 3, FALSE)</f>
        <v>Research &amp; Development</v>
      </c>
      <c r="C901" s="8">
        <v>18711</v>
      </c>
      <c r="D901" s="8">
        <f t="shared" si="84"/>
        <v>3742.2000000000003</v>
      </c>
      <c r="E901" s="8">
        <f t="shared" si="85"/>
        <v>2245.3199999999997</v>
      </c>
      <c r="F901" s="8">
        <f t="shared" si="86"/>
        <v>1871.1000000000001</v>
      </c>
      <c r="G901" s="8">
        <f t="shared" si="87"/>
        <v>22453.200000000001</v>
      </c>
      <c r="H901" s="8">
        <f t="shared" si="88"/>
        <v>4116.42</v>
      </c>
      <c r="I901" s="10">
        <f t="shared" si="89"/>
        <v>18336.78</v>
      </c>
    </row>
    <row r="902" spans="1:9" x14ac:dyDescent="0.25">
      <c r="A902" s="6">
        <v>1257</v>
      </c>
      <c r="B902" s="5" t="str">
        <f>VLOOKUP(A902, EmployeeMaster!$A:$D, 3, FALSE)</f>
        <v>Research &amp; Development</v>
      </c>
      <c r="C902" s="8">
        <v>3692</v>
      </c>
      <c r="D902" s="8">
        <f t="shared" si="84"/>
        <v>738.40000000000009</v>
      </c>
      <c r="E902" s="8">
        <f t="shared" si="85"/>
        <v>443.03999999999996</v>
      </c>
      <c r="F902" s="8">
        <f t="shared" si="86"/>
        <v>369.20000000000005</v>
      </c>
      <c r="G902" s="8">
        <f t="shared" si="87"/>
        <v>4430.3999999999996</v>
      </c>
      <c r="H902" s="8">
        <f t="shared" si="88"/>
        <v>812.24</v>
      </c>
      <c r="I902" s="10">
        <f t="shared" si="89"/>
        <v>3618.16</v>
      </c>
    </row>
    <row r="903" spans="1:9" x14ac:dyDescent="0.25">
      <c r="A903" s="6">
        <v>1258</v>
      </c>
      <c r="B903" s="5" t="str">
        <f>VLOOKUP(A903, EmployeeMaster!$A:$D, 3, FALSE)</f>
        <v>Research &amp; Development</v>
      </c>
      <c r="C903" s="8">
        <v>2559</v>
      </c>
      <c r="D903" s="8">
        <f t="shared" si="84"/>
        <v>511.8</v>
      </c>
      <c r="E903" s="8">
        <f t="shared" si="85"/>
        <v>307.08</v>
      </c>
      <c r="F903" s="8">
        <f t="shared" si="86"/>
        <v>255.9</v>
      </c>
      <c r="G903" s="8">
        <f t="shared" si="87"/>
        <v>3070.8</v>
      </c>
      <c r="H903" s="8">
        <f t="shared" si="88"/>
        <v>562.98</v>
      </c>
      <c r="I903" s="10">
        <f t="shared" si="89"/>
        <v>2507.8200000000002</v>
      </c>
    </row>
    <row r="904" spans="1:9" x14ac:dyDescent="0.25">
      <c r="A904" s="6">
        <v>1259</v>
      </c>
      <c r="B904" s="5" t="str">
        <f>VLOOKUP(A904, EmployeeMaster!$A:$D, 3, FALSE)</f>
        <v>Research &amp; Development</v>
      </c>
      <c r="C904" s="8">
        <v>2517</v>
      </c>
      <c r="D904" s="8">
        <f t="shared" si="84"/>
        <v>503.40000000000003</v>
      </c>
      <c r="E904" s="8">
        <f t="shared" si="85"/>
        <v>302.03999999999996</v>
      </c>
      <c r="F904" s="8">
        <f t="shared" si="86"/>
        <v>251.70000000000002</v>
      </c>
      <c r="G904" s="8">
        <f t="shared" si="87"/>
        <v>3020.4</v>
      </c>
      <c r="H904" s="8">
        <f t="shared" si="88"/>
        <v>553.74</v>
      </c>
      <c r="I904" s="10">
        <f t="shared" si="89"/>
        <v>2466.66</v>
      </c>
    </row>
    <row r="905" spans="1:9" x14ac:dyDescent="0.25">
      <c r="A905" s="6">
        <v>1260</v>
      </c>
      <c r="B905" s="5" t="str">
        <f>VLOOKUP(A905, EmployeeMaster!$A:$D, 3, FALSE)</f>
        <v>Research &amp; Development</v>
      </c>
      <c r="C905" s="8">
        <v>6623</v>
      </c>
      <c r="D905" s="8">
        <f t="shared" si="84"/>
        <v>1324.6000000000001</v>
      </c>
      <c r="E905" s="8">
        <f t="shared" si="85"/>
        <v>794.76</v>
      </c>
      <c r="F905" s="8">
        <f t="shared" si="86"/>
        <v>662.30000000000007</v>
      </c>
      <c r="G905" s="8">
        <f t="shared" si="87"/>
        <v>7947.6</v>
      </c>
      <c r="H905" s="8">
        <f t="shared" si="88"/>
        <v>1457.06</v>
      </c>
      <c r="I905" s="10">
        <f t="shared" si="89"/>
        <v>6490.5400000000009</v>
      </c>
    </row>
    <row r="906" spans="1:9" x14ac:dyDescent="0.25">
      <c r="A906" s="6">
        <v>1263</v>
      </c>
      <c r="B906" s="5" t="str">
        <f>VLOOKUP(A906, EmployeeMaster!$A:$D, 3, FALSE)</f>
        <v>Research &amp; Development</v>
      </c>
      <c r="C906" s="8">
        <v>18265</v>
      </c>
      <c r="D906" s="8">
        <f t="shared" si="84"/>
        <v>3653</v>
      </c>
      <c r="E906" s="8">
        <f t="shared" si="85"/>
        <v>2191.7999999999997</v>
      </c>
      <c r="F906" s="8">
        <f t="shared" si="86"/>
        <v>1826.5</v>
      </c>
      <c r="G906" s="8">
        <f t="shared" si="87"/>
        <v>21918</v>
      </c>
      <c r="H906" s="8">
        <f t="shared" si="88"/>
        <v>4018.2999999999997</v>
      </c>
      <c r="I906" s="10">
        <f t="shared" si="89"/>
        <v>17899.7</v>
      </c>
    </row>
    <row r="907" spans="1:9" x14ac:dyDescent="0.25">
      <c r="A907" s="6">
        <v>1264</v>
      </c>
      <c r="B907" s="5" t="str">
        <f>VLOOKUP(A907, EmployeeMaster!$A:$D, 3, FALSE)</f>
        <v>Research &amp; Development</v>
      </c>
      <c r="C907" s="8">
        <v>16124</v>
      </c>
      <c r="D907" s="8">
        <f t="shared" si="84"/>
        <v>3224.8</v>
      </c>
      <c r="E907" s="8">
        <f t="shared" si="85"/>
        <v>1934.8799999999999</v>
      </c>
      <c r="F907" s="8">
        <f t="shared" si="86"/>
        <v>1612.4</v>
      </c>
      <c r="G907" s="8">
        <f t="shared" si="87"/>
        <v>19348.8</v>
      </c>
      <c r="H907" s="8">
        <f t="shared" si="88"/>
        <v>3547.2799999999997</v>
      </c>
      <c r="I907" s="10">
        <f t="shared" si="89"/>
        <v>15801.52</v>
      </c>
    </row>
    <row r="908" spans="1:9" x14ac:dyDescent="0.25">
      <c r="A908" s="6">
        <v>1265</v>
      </c>
      <c r="B908" s="5" t="str">
        <f>VLOOKUP(A908, EmployeeMaster!$A:$D, 3, FALSE)</f>
        <v>Research &amp; Development</v>
      </c>
      <c r="C908" s="8">
        <v>2585</v>
      </c>
      <c r="D908" s="8">
        <f t="shared" si="84"/>
        <v>517</v>
      </c>
      <c r="E908" s="8">
        <f t="shared" si="85"/>
        <v>310.2</v>
      </c>
      <c r="F908" s="8">
        <f t="shared" si="86"/>
        <v>258.5</v>
      </c>
      <c r="G908" s="8">
        <f t="shared" si="87"/>
        <v>3102</v>
      </c>
      <c r="H908" s="8">
        <f t="shared" si="88"/>
        <v>568.70000000000005</v>
      </c>
      <c r="I908" s="10">
        <f t="shared" si="89"/>
        <v>2533.3000000000002</v>
      </c>
    </row>
    <row r="909" spans="1:9" x14ac:dyDescent="0.25">
      <c r="A909" s="6">
        <v>1267</v>
      </c>
      <c r="B909" s="5" t="str">
        <f>VLOOKUP(A909, EmployeeMaster!$A:$D, 3, FALSE)</f>
        <v>Sales</v>
      </c>
      <c r="C909" s="8">
        <v>18213</v>
      </c>
      <c r="D909" s="8">
        <f t="shared" si="84"/>
        <v>3642.6000000000004</v>
      </c>
      <c r="E909" s="8">
        <f t="shared" si="85"/>
        <v>2185.56</v>
      </c>
      <c r="F909" s="8">
        <f t="shared" si="86"/>
        <v>1821.3000000000002</v>
      </c>
      <c r="G909" s="8">
        <f t="shared" si="87"/>
        <v>21855.599999999999</v>
      </c>
      <c r="H909" s="8">
        <f t="shared" si="88"/>
        <v>4006.86</v>
      </c>
      <c r="I909" s="10">
        <f t="shared" si="89"/>
        <v>17848.739999999998</v>
      </c>
    </row>
    <row r="910" spans="1:9" x14ac:dyDescent="0.25">
      <c r="A910" s="6">
        <v>1268</v>
      </c>
      <c r="B910" s="5" t="str">
        <f>VLOOKUP(A910, EmployeeMaster!$A:$D, 3, FALSE)</f>
        <v>Sales</v>
      </c>
      <c r="C910" s="8">
        <v>8380</v>
      </c>
      <c r="D910" s="8">
        <f t="shared" si="84"/>
        <v>1676</v>
      </c>
      <c r="E910" s="8">
        <f t="shared" si="85"/>
        <v>1005.5999999999999</v>
      </c>
      <c r="F910" s="8">
        <f t="shared" si="86"/>
        <v>838</v>
      </c>
      <c r="G910" s="8">
        <f t="shared" si="87"/>
        <v>10056</v>
      </c>
      <c r="H910" s="8">
        <f t="shared" si="88"/>
        <v>1843.6</v>
      </c>
      <c r="I910" s="10">
        <f t="shared" si="89"/>
        <v>8212.4</v>
      </c>
    </row>
    <row r="911" spans="1:9" x14ac:dyDescent="0.25">
      <c r="A911" s="6">
        <v>1269</v>
      </c>
      <c r="B911" s="5" t="str">
        <f>VLOOKUP(A911, EmployeeMaster!$A:$D, 3, FALSE)</f>
        <v>Research &amp; Development</v>
      </c>
      <c r="C911" s="8">
        <v>2994</v>
      </c>
      <c r="D911" s="8">
        <f t="shared" si="84"/>
        <v>598.80000000000007</v>
      </c>
      <c r="E911" s="8">
        <f t="shared" si="85"/>
        <v>359.28</v>
      </c>
      <c r="F911" s="8">
        <f t="shared" si="86"/>
        <v>299.40000000000003</v>
      </c>
      <c r="G911" s="8">
        <f t="shared" si="87"/>
        <v>3592.8</v>
      </c>
      <c r="H911" s="8">
        <f t="shared" si="88"/>
        <v>658.68000000000006</v>
      </c>
      <c r="I911" s="10">
        <f t="shared" si="89"/>
        <v>2934.12</v>
      </c>
    </row>
    <row r="912" spans="1:9" x14ac:dyDescent="0.25">
      <c r="A912" s="6">
        <v>1270</v>
      </c>
      <c r="B912" s="5" t="str">
        <f>VLOOKUP(A912, EmployeeMaster!$A:$D, 3, FALSE)</f>
        <v>Research &amp; Development</v>
      </c>
      <c r="C912" s="8">
        <v>1223</v>
      </c>
      <c r="D912" s="8">
        <f t="shared" si="84"/>
        <v>244.60000000000002</v>
      </c>
      <c r="E912" s="8">
        <f t="shared" si="85"/>
        <v>146.76</v>
      </c>
      <c r="F912" s="8">
        <f t="shared" si="86"/>
        <v>122.30000000000001</v>
      </c>
      <c r="G912" s="8">
        <f t="shared" si="87"/>
        <v>1467.6</v>
      </c>
      <c r="H912" s="8">
        <f t="shared" si="88"/>
        <v>269.06</v>
      </c>
      <c r="I912" s="10">
        <f t="shared" si="89"/>
        <v>1198.54</v>
      </c>
    </row>
    <row r="913" spans="1:9" x14ac:dyDescent="0.25">
      <c r="A913" s="6">
        <v>1273</v>
      </c>
      <c r="B913" s="5" t="str">
        <f>VLOOKUP(A913, EmployeeMaster!$A:$D, 3, FALSE)</f>
        <v>Sales</v>
      </c>
      <c r="C913" s="8">
        <v>1118</v>
      </c>
      <c r="D913" s="8">
        <f t="shared" si="84"/>
        <v>223.60000000000002</v>
      </c>
      <c r="E913" s="8">
        <f t="shared" si="85"/>
        <v>134.16</v>
      </c>
      <c r="F913" s="8">
        <f t="shared" si="86"/>
        <v>111.80000000000001</v>
      </c>
      <c r="G913" s="8">
        <f t="shared" si="87"/>
        <v>1341.6</v>
      </c>
      <c r="H913" s="8">
        <f t="shared" si="88"/>
        <v>245.96</v>
      </c>
      <c r="I913" s="10">
        <f t="shared" si="89"/>
        <v>1095.6399999999999</v>
      </c>
    </row>
    <row r="914" spans="1:9" x14ac:dyDescent="0.25">
      <c r="A914" s="6">
        <v>1275</v>
      </c>
      <c r="B914" s="5" t="str">
        <f>VLOOKUP(A914, EmployeeMaster!$A:$D, 3, FALSE)</f>
        <v>Research &amp; Development</v>
      </c>
      <c r="C914" s="8">
        <v>2875</v>
      </c>
      <c r="D914" s="8">
        <f t="shared" si="84"/>
        <v>575</v>
      </c>
      <c r="E914" s="8">
        <f t="shared" si="85"/>
        <v>345</v>
      </c>
      <c r="F914" s="8">
        <f t="shared" si="86"/>
        <v>287.5</v>
      </c>
      <c r="G914" s="8">
        <f t="shared" si="87"/>
        <v>3450</v>
      </c>
      <c r="H914" s="8">
        <f t="shared" si="88"/>
        <v>632.5</v>
      </c>
      <c r="I914" s="10">
        <f t="shared" si="89"/>
        <v>2817.5</v>
      </c>
    </row>
    <row r="915" spans="1:9" x14ac:dyDescent="0.25">
      <c r="A915" s="6">
        <v>1277</v>
      </c>
      <c r="B915" s="5" t="str">
        <f>VLOOKUP(A915, EmployeeMaster!$A:$D, 3, FALSE)</f>
        <v>Sales</v>
      </c>
      <c r="C915" s="8">
        <v>18824</v>
      </c>
      <c r="D915" s="8">
        <f t="shared" si="84"/>
        <v>3764.8</v>
      </c>
      <c r="E915" s="8">
        <f t="shared" si="85"/>
        <v>2258.88</v>
      </c>
      <c r="F915" s="8">
        <f t="shared" si="86"/>
        <v>1882.4</v>
      </c>
      <c r="G915" s="8">
        <f t="shared" si="87"/>
        <v>22588.799999999999</v>
      </c>
      <c r="H915" s="8">
        <f t="shared" si="88"/>
        <v>4141.2800000000007</v>
      </c>
      <c r="I915" s="10">
        <f t="shared" si="89"/>
        <v>18447.519999999997</v>
      </c>
    </row>
    <row r="916" spans="1:9" x14ac:dyDescent="0.25">
      <c r="A916" s="6">
        <v>1278</v>
      </c>
      <c r="B916" s="5" t="str">
        <f>VLOOKUP(A916, EmployeeMaster!$A:$D, 3, FALSE)</f>
        <v>Research &amp; Development</v>
      </c>
      <c r="C916" s="8">
        <v>13577</v>
      </c>
      <c r="D916" s="8">
        <f t="shared" si="84"/>
        <v>2715.4</v>
      </c>
      <c r="E916" s="8">
        <f t="shared" si="85"/>
        <v>1629.24</v>
      </c>
      <c r="F916" s="8">
        <f t="shared" si="86"/>
        <v>1357.7</v>
      </c>
      <c r="G916" s="8">
        <f t="shared" si="87"/>
        <v>16292.4</v>
      </c>
      <c r="H916" s="8">
        <f t="shared" si="88"/>
        <v>2986.94</v>
      </c>
      <c r="I916" s="10">
        <f t="shared" si="89"/>
        <v>13305.46</v>
      </c>
    </row>
    <row r="917" spans="1:9" x14ac:dyDescent="0.25">
      <c r="A917" s="6">
        <v>1279</v>
      </c>
      <c r="B917" s="5" t="str">
        <f>VLOOKUP(A917, EmployeeMaster!$A:$D, 3, FALSE)</f>
        <v>Research &amp; Development</v>
      </c>
      <c r="C917" s="8">
        <v>2625</v>
      </c>
      <c r="D917" s="8">
        <f t="shared" si="84"/>
        <v>525</v>
      </c>
      <c r="E917" s="8">
        <f t="shared" si="85"/>
        <v>315</v>
      </c>
      <c r="F917" s="8">
        <f t="shared" si="86"/>
        <v>262.5</v>
      </c>
      <c r="G917" s="8">
        <f t="shared" si="87"/>
        <v>3150</v>
      </c>
      <c r="H917" s="8">
        <f t="shared" si="88"/>
        <v>577.5</v>
      </c>
      <c r="I917" s="10">
        <f t="shared" si="89"/>
        <v>2572.5</v>
      </c>
    </row>
    <row r="918" spans="1:9" x14ac:dyDescent="0.25">
      <c r="A918" s="6">
        <v>1280</v>
      </c>
      <c r="B918" s="5" t="str">
        <f>VLOOKUP(A918, EmployeeMaster!$A:$D, 3, FALSE)</f>
        <v>Sales</v>
      </c>
      <c r="C918" s="8">
        <v>18789</v>
      </c>
      <c r="D918" s="8">
        <f t="shared" si="84"/>
        <v>3757.8</v>
      </c>
      <c r="E918" s="8">
        <f t="shared" si="85"/>
        <v>2254.6799999999998</v>
      </c>
      <c r="F918" s="8">
        <f t="shared" si="86"/>
        <v>1878.9</v>
      </c>
      <c r="G918" s="8">
        <f t="shared" si="87"/>
        <v>22546.799999999999</v>
      </c>
      <c r="H918" s="8">
        <f t="shared" si="88"/>
        <v>4133.58</v>
      </c>
      <c r="I918" s="10">
        <f t="shared" si="89"/>
        <v>18413.22</v>
      </c>
    </row>
    <row r="919" spans="1:9" x14ac:dyDescent="0.25">
      <c r="A919" s="6">
        <v>1281</v>
      </c>
      <c r="B919" s="5" t="str">
        <f>VLOOKUP(A919, EmployeeMaster!$A:$D, 3, FALSE)</f>
        <v>Sales</v>
      </c>
      <c r="C919" s="8">
        <v>4538</v>
      </c>
      <c r="D919" s="8">
        <f t="shared" si="84"/>
        <v>907.6</v>
      </c>
      <c r="E919" s="8">
        <f t="shared" si="85"/>
        <v>544.55999999999995</v>
      </c>
      <c r="F919" s="8">
        <f t="shared" si="86"/>
        <v>453.8</v>
      </c>
      <c r="G919" s="8">
        <f t="shared" si="87"/>
        <v>5445.6</v>
      </c>
      <c r="H919" s="8">
        <f t="shared" si="88"/>
        <v>998.3599999999999</v>
      </c>
      <c r="I919" s="10">
        <f t="shared" si="89"/>
        <v>4447.2400000000007</v>
      </c>
    </row>
    <row r="920" spans="1:9" x14ac:dyDescent="0.25">
      <c r="A920" s="6">
        <v>1282</v>
      </c>
      <c r="B920" s="5" t="str">
        <f>VLOOKUP(A920, EmployeeMaster!$A:$D, 3, FALSE)</f>
        <v>Sales</v>
      </c>
      <c r="C920" s="8">
        <v>19847</v>
      </c>
      <c r="D920" s="8">
        <f t="shared" si="84"/>
        <v>3969.4</v>
      </c>
      <c r="E920" s="8">
        <f t="shared" si="85"/>
        <v>2381.64</v>
      </c>
      <c r="F920" s="8">
        <f t="shared" si="86"/>
        <v>1984.7</v>
      </c>
      <c r="G920" s="8">
        <f t="shared" si="87"/>
        <v>23816.400000000001</v>
      </c>
      <c r="H920" s="8">
        <f t="shared" si="88"/>
        <v>4366.34</v>
      </c>
      <c r="I920" s="10">
        <f t="shared" si="89"/>
        <v>19450.060000000001</v>
      </c>
    </row>
    <row r="921" spans="1:9" x14ac:dyDescent="0.25">
      <c r="A921" s="6">
        <v>1283</v>
      </c>
      <c r="B921" s="5" t="str">
        <f>VLOOKUP(A921, EmployeeMaster!$A:$D, 3, FALSE)</f>
        <v>Research &amp; Development</v>
      </c>
      <c r="C921" s="8">
        <v>10512</v>
      </c>
      <c r="D921" s="8">
        <f t="shared" si="84"/>
        <v>2102.4</v>
      </c>
      <c r="E921" s="8">
        <f t="shared" si="85"/>
        <v>1261.44</v>
      </c>
      <c r="F921" s="8">
        <f t="shared" si="86"/>
        <v>1051.2</v>
      </c>
      <c r="G921" s="8">
        <f t="shared" si="87"/>
        <v>12614.4</v>
      </c>
      <c r="H921" s="8">
        <f t="shared" si="88"/>
        <v>2312.6400000000003</v>
      </c>
      <c r="I921" s="10">
        <f t="shared" si="89"/>
        <v>10301.759999999998</v>
      </c>
    </row>
    <row r="922" spans="1:9" x14ac:dyDescent="0.25">
      <c r="A922" s="6">
        <v>1285</v>
      </c>
      <c r="B922" s="5" t="str">
        <f>VLOOKUP(A922, EmployeeMaster!$A:$D, 3, FALSE)</f>
        <v>Research &amp; Development</v>
      </c>
      <c r="C922" s="8">
        <v>4444</v>
      </c>
      <c r="D922" s="8">
        <f t="shared" si="84"/>
        <v>888.80000000000007</v>
      </c>
      <c r="E922" s="8">
        <f t="shared" si="85"/>
        <v>533.28</v>
      </c>
      <c r="F922" s="8">
        <f t="shared" si="86"/>
        <v>444.40000000000003</v>
      </c>
      <c r="G922" s="8">
        <f t="shared" si="87"/>
        <v>5332.8</v>
      </c>
      <c r="H922" s="8">
        <f t="shared" si="88"/>
        <v>977.68000000000006</v>
      </c>
      <c r="I922" s="10">
        <f t="shared" si="89"/>
        <v>4355.12</v>
      </c>
    </row>
    <row r="923" spans="1:9" x14ac:dyDescent="0.25">
      <c r="A923" s="6">
        <v>1286</v>
      </c>
      <c r="B923" s="5" t="str">
        <f>VLOOKUP(A923, EmployeeMaster!$A:$D, 3, FALSE)</f>
        <v>Research &amp; Development</v>
      </c>
      <c r="C923" s="8">
        <v>2154</v>
      </c>
      <c r="D923" s="8">
        <f t="shared" si="84"/>
        <v>430.8</v>
      </c>
      <c r="E923" s="8">
        <f t="shared" si="85"/>
        <v>258.48</v>
      </c>
      <c r="F923" s="8">
        <f t="shared" si="86"/>
        <v>215.4</v>
      </c>
      <c r="G923" s="8">
        <f t="shared" si="87"/>
        <v>2584.8000000000002</v>
      </c>
      <c r="H923" s="8">
        <f t="shared" si="88"/>
        <v>473.88</v>
      </c>
      <c r="I923" s="10">
        <f t="shared" si="89"/>
        <v>2110.92</v>
      </c>
    </row>
    <row r="924" spans="1:9" x14ac:dyDescent="0.25">
      <c r="A924" s="6">
        <v>1288</v>
      </c>
      <c r="B924" s="5" t="str">
        <f>VLOOKUP(A924, EmployeeMaster!$A:$D, 3, FALSE)</f>
        <v>Research &amp; Development</v>
      </c>
      <c r="C924" s="8">
        <v>19190</v>
      </c>
      <c r="D924" s="8">
        <f t="shared" si="84"/>
        <v>3838</v>
      </c>
      <c r="E924" s="8">
        <f t="shared" si="85"/>
        <v>2302.7999999999997</v>
      </c>
      <c r="F924" s="8">
        <f t="shared" si="86"/>
        <v>1919</v>
      </c>
      <c r="G924" s="8">
        <f t="shared" si="87"/>
        <v>23028</v>
      </c>
      <c r="H924" s="8">
        <f t="shared" si="88"/>
        <v>4221.7999999999993</v>
      </c>
      <c r="I924" s="10">
        <f t="shared" si="89"/>
        <v>18806.2</v>
      </c>
    </row>
    <row r="925" spans="1:9" x14ac:dyDescent="0.25">
      <c r="A925" s="6">
        <v>1289</v>
      </c>
      <c r="B925" s="5" t="str">
        <f>VLOOKUP(A925, EmployeeMaster!$A:$D, 3, FALSE)</f>
        <v>Human Resources</v>
      </c>
      <c r="C925" s="8">
        <v>4490</v>
      </c>
      <c r="D925" s="8">
        <f t="shared" si="84"/>
        <v>898</v>
      </c>
      <c r="E925" s="8">
        <f t="shared" si="85"/>
        <v>538.79999999999995</v>
      </c>
      <c r="F925" s="8">
        <f t="shared" si="86"/>
        <v>449</v>
      </c>
      <c r="G925" s="8">
        <f t="shared" si="87"/>
        <v>5388</v>
      </c>
      <c r="H925" s="8">
        <f t="shared" si="88"/>
        <v>987.8</v>
      </c>
      <c r="I925" s="10">
        <f t="shared" si="89"/>
        <v>4400.2</v>
      </c>
    </row>
    <row r="926" spans="1:9" x14ac:dyDescent="0.25">
      <c r="A926" s="6">
        <v>1291</v>
      </c>
      <c r="B926" s="5" t="str">
        <f>VLOOKUP(A926, EmployeeMaster!$A:$D, 3, FALSE)</f>
        <v>Research &amp; Development</v>
      </c>
      <c r="C926" s="8">
        <v>3506</v>
      </c>
      <c r="D926" s="8">
        <f t="shared" si="84"/>
        <v>701.2</v>
      </c>
      <c r="E926" s="8">
        <f t="shared" si="85"/>
        <v>420.71999999999997</v>
      </c>
      <c r="F926" s="8">
        <f t="shared" si="86"/>
        <v>350.6</v>
      </c>
      <c r="G926" s="8">
        <f t="shared" si="87"/>
        <v>4207.2</v>
      </c>
      <c r="H926" s="8">
        <f t="shared" si="88"/>
        <v>771.31999999999994</v>
      </c>
      <c r="I926" s="10">
        <f t="shared" si="89"/>
        <v>3435.88</v>
      </c>
    </row>
    <row r="927" spans="1:9" x14ac:dyDescent="0.25">
      <c r="A927" s="6">
        <v>1292</v>
      </c>
      <c r="B927" s="5" t="str">
        <f>VLOOKUP(A927, EmployeeMaster!$A:$D, 3, FALSE)</f>
        <v>Research &amp; Development</v>
      </c>
      <c r="C927" s="8">
        <v>2372</v>
      </c>
      <c r="D927" s="8">
        <f t="shared" si="84"/>
        <v>474.40000000000003</v>
      </c>
      <c r="E927" s="8">
        <f t="shared" si="85"/>
        <v>284.64</v>
      </c>
      <c r="F927" s="8">
        <f t="shared" si="86"/>
        <v>237.20000000000002</v>
      </c>
      <c r="G927" s="8">
        <f t="shared" si="87"/>
        <v>2846.4</v>
      </c>
      <c r="H927" s="8">
        <f t="shared" si="88"/>
        <v>521.84</v>
      </c>
      <c r="I927" s="10">
        <f t="shared" si="89"/>
        <v>2324.56</v>
      </c>
    </row>
    <row r="928" spans="1:9" x14ac:dyDescent="0.25">
      <c r="A928" s="6">
        <v>1293</v>
      </c>
      <c r="B928" s="5" t="str">
        <f>VLOOKUP(A928, EmployeeMaster!$A:$D, 3, FALSE)</f>
        <v>Sales</v>
      </c>
      <c r="C928" s="8">
        <v>10231</v>
      </c>
      <c r="D928" s="8">
        <f t="shared" si="84"/>
        <v>2046.2</v>
      </c>
      <c r="E928" s="8">
        <f t="shared" si="85"/>
        <v>1227.72</v>
      </c>
      <c r="F928" s="8">
        <f t="shared" si="86"/>
        <v>1023.1</v>
      </c>
      <c r="G928" s="8">
        <f t="shared" si="87"/>
        <v>12277.2</v>
      </c>
      <c r="H928" s="8">
        <f t="shared" si="88"/>
        <v>2250.8200000000002</v>
      </c>
      <c r="I928" s="10">
        <f t="shared" si="89"/>
        <v>10026.380000000001</v>
      </c>
    </row>
    <row r="929" spans="1:9" x14ac:dyDescent="0.25">
      <c r="A929" s="6">
        <v>1294</v>
      </c>
      <c r="B929" s="5" t="str">
        <f>VLOOKUP(A929, EmployeeMaster!$A:$D, 3, FALSE)</f>
        <v>Research &amp; Development</v>
      </c>
      <c r="C929" s="8">
        <v>5410</v>
      </c>
      <c r="D929" s="8">
        <f t="shared" si="84"/>
        <v>1082</v>
      </c>
      <c r="E929" s="8">
        <f t="shared" si="85"/>
        <v>649.19999999999993</v>
      </c>
      <c r="F929" s="8">
        <f t="shared" si="86"/>
        <v>541</v>
      </c>
      <c r="G929" s="8">
        <f t="shared" si="87"/>
        <v>6492</v>
      </c>
      <c r="H929" s="8">
        <f t="shared" si="88"/>
        <v>1190.1999999999998</v>
      </c>
      <c r="I929" s="10">
        <f t="shared" si="89"/>
        <v>5301.8</v>
      </c>
    </row>
    <row r="930" spans="1:9" x14ac:dyDescent="0.25">
      <c r="A930" s="6">
        <v>1295</v>
      </c>
      <c r="B930" s="5" t="str">
        <f>VLOOKUP(A930, EmployeeMaster!$A:$D, 3, FALSE)</f>
        <v>Research &amp; Development</v>
      </c>
      <c r="C930" s="8">
        <v>7978</v>
      </c>
      <c r="D930" s="8">
        <f t="shared" si="84"/>
        <v>1595.6000000000001</v>
      </c>
      <c r="E930" s="8">
        <f t="shared" si="85"/>
        <v>957.36</v>
      </c>
      <c r="F930" s="8">
        <f t="shared" si="86"/>
        <v>797.80000000000007</v>
      </c>
      <c r="G930" s="8">
        <f t="shared" si="87"/>
        <v>9573.6</v>
      </c>
      <c r="H930" s="8">
        <f t="shared" si="88"/>
        <v>1755.16</v>
      </c>
      <c r="I930" s="10">
        <f t="shared" si="89"/>
        <v>7818.4400000000005</v>
      </c>
    </row>
    <row r="931" spans="1:9" x14ac:dyDescent="0.25">
      <c r="A931" s="6">
        <v>1296</v>
      </c>
      <c r="B931" s="5" t="str">
        <f>VLOOKUP(A931, EmployeeMaster!$A:$D, 3, FALSE)</f>
        <v>Research &amp; Development</v>
      </c>
      <c r="C931" s="8">
        <v>3867</v>
      </c>
      <c r="D931" s="8">
        <f t="shared" si="84"/>
        <v>773.40000000000009</v>
      </c>
      <c r="E931" s="8">
        <f t="shared" si="85"/>
        <v>464.03999999999996</v>
      </c>
      <c r="F931" s="8">
        <f t="shared" si="86"/>
        <v>386.70000000000005</v>
      </c>
      <c r="G931" s="8">
        <f t="shared" si="87"/>
        <v>4640.3999999999996</v>
      </c>
      <c r="H931" s="8">
        <f t="shared" si="88"/>
        <v>850.74</v>
      </c>
      <c r="I931" s="10">
        <f t="shared" si="89"/>
        <v>3789.66</v>
      </c>
    </row>
    <row r="932" spans="1:9" x14ac:dyDescent="0.25">
      <c r="A932" s="6">
        <v>1297</v>
      </c>
      <c r="B932" s="5" t="str">
        <f>VLOOKUP(A932, EmployeeMaster!$A:$D, 3, FALSE)</f>
        <v>Research &amp; Development</v>
      </c>
      <c r="C932" s="8">
        <v>2838</v>
      </c>
      <c r="D932" s="8">
        <f t="shared" si="84"/>
        <v>567.6</v>
      </c>
      <c r="E932" s="8">
        <f t="shared" si="85"/>
        <v>340.56</v>
      </c>
      <c r="F932" s="8">
        <f t="shared" si="86"/>
        <v>283.8</v>
      </c>
      <c r="G932" s="8">
        <f t="shared" si="87"/>
        <v>3405.6</v>
      </c>
      <c r="H932" s="8">
        <f t="shared" si="88"/>
        <v>624.36</v>
      </c>
      <c r="I932" s="10">
        <f t="shared" si="89"/>
        <v>2781.24</v>
      </c>
    </row>
    <row r="933" spans="1:9" x14ac:dyDescent="0.25">
      <c r="A933" s="6">
        <v>1298</v>
      </c>
      <c r="B933" s="5" t="str">
        <f>VLOOKUP(A933, EmployeeMaster!$A:$D, 3, FALSE)</f>
        <v>Research &amp; Development</v>
      </c>
      <c r="C933" s="8">
        <v>4695</v>
      </c>
      <c r="D933" s="8">
        <f t="shared" si="84"/>
        <v>939</v>
      </c>
      <c r="E933" s="8">
        <f t="shared" si="85"/>
        <v>563.4</v>
      </c>
      <c r="F933" s="8">
        <f t="shared" si="86"/>
        <v>469.5</v>
      </c>
      <c r="G933" s="8">
        <f t="shared" si="87"/>
        <v>5634</v>
      </c>
      <c r="H933" s="8">
        <f t="shared" si="88"/>
        <v>1032.9000000000001</v>
      </c>
      <c r="I933" s="10">
        <f t="shared" si="89"/>
        <v>4601.1000000000004</v>
      </c>
    </row>
    <row r="934" spans="1:9" x14ac:dyDescent="0.25">
      <c r="A934" s="6">
        <v>1299</v>
      </c>
      <c r="B934" s="5" t="str">
        <f>VLOOKUP(A934, EmployeeMaster!$A:$D, 3, FALSE)</f>
        <v>Research &amp; Development</v>
      </c>
      <c r="C934" s="8">
        <v>3339</v>
      </c>
      <c r="D934" s="8">
        <f t="shared" si="84"/>
        <v>667.80000000000007</v>
      </c>
      <c r="E934" s="8">
        <f t="shared" si="85"/>
        <v>400.68</v>
      </c>
      <c r="F934" s="8">
        <f t="shared" si="86"/>
        <v>333.90000000000003</v>
      </c>
      <c r="G934" s="8">
        <f t="shared" si="87"/>
        <v>4006.8</v>
      </c>
      <c r="H934" s="8">
        <f t="shared" si="88"/>
        <v>734.58</v>
      </c>
      <c r="I934" s="10">
        <f t="shared" si="89"/>
        <v>3272.2200000000003</v>
      </c>
    </row>
    <row r="935" spans="1:9" x14ac:dyDescent="0.25">
      <c r="A935" s="6">
        <v>1301</v>
      </c>
      <c r="B935" s="5" t="str">
        <f>VLOOKUP(A935, EmployeeMaster!$A:$D, 3, FALSE)</f>
        <v>Research &amp; Development</v>
      </c>
      <c r="C935" s="8">
        <v>2080</v>
      </c>
      <c r="D935" s="8">
        <f t="shared" si="84"/>
        <v>416</v>
      </c>
      <c r="E935" s="8">
        <f t="shared" si="85"/>
        <v>249.6</v>
      </c>
      <c r="F935" s="8">
        <f t="shared" si="86"/>
        <v>208</v>
      </c>
      <c r="G935" s="8">
        <f t="shared" si="87"/>
        <v>2496</v>
      </c>
      <c r="H935" s="8">
        <f t="shared" si="88"/>
        <v>457.6</v>
      </c>
      <c r="I935" s="10">
        <f t="shared" si="89"/>
        <v>2038.4</v>
      </c>
    </row>
    <row r="936" spans="1:9" x14ac:dyDescent="0.25">
      <c r="A936" s="6">
        <v>1303</v>
      </c>
      <c r="B936" s="5" t="str">
        <f>VLOOKUP(A936, EmployeeMaster!$A:$D, 3, FALSE)</f>
        <v>Research &amp; Development</v>
      </c>
      <c r="C936" s="8">
        <v>2096</v>
      </c>
      <c r="D936" s="8">
        <f t="shared" si="84"/>
        <v>419.20000000000005</v>
      </c>
      <c r="E936" s="8">
        <f t="shared" si="85"/>
        <v>251.51999999999998</v>
      </c>
      <c r="F936" s="8">
        <f t="shared" si="86"/>
        <v>209.60000000000002</v>
      </c>
      <c r="G936" s="8">
        <f t="shared" si="87"/>
        <v>2515.1999999999998</v>
      </c>
      <c r="H936" s="8">
        <f t="shared" si="88"/>
        <v>461.12</v>
      </c>
      <c r="I936" s="10">
        <f t="shared" si="89"/>
        <v>2054.08</v>
      </c>
    </row>
    <row r="937" spans="1:9" x14ac:dyDescent="0.25">
      <c r="A937" s="6">
        <v>1304</v>
      </c>
      <c r="B937" s="5" t="str">
        <f>VLOOKUP(A937, EmployeeMaster!$A:$D, 3, FALSE)</f>
        <v>Sales</v>
      </c>
      <c r="C937" s="8">
        <v>6209</v>
      </c>
      <c r="D937" s="8">
        <f t="shared" si="84"/>
        <v>1241.8000000000002</v>
      </c>
      <c r="E937" s="8">
        <f t="shared" si="85"/>
        <v>745.07999999999993</v>
      </c>
      <c r="F937" s="8">
        <f t="shared" si="86"/>
        <v>620.90000000000009</v>
      </c>
      <c r="G937" s="8">
        <f t="shared" si="87"/>
        <v>7450.8</v>
      </c>
      <c r="H937" s="8">
        <f t="shared" si="88"/>
        <v>1365.98</v>
      </c>
      <c r="I937" s="10">
        <f t="shared" si="89"/>
        <v>6084.82</v>
      </c>
    </row>
    <row r="938" spans="1:9" x14ac:dyDescent="0.25">
      <c r="A938" s="6">
        <v>1306</v>
      </c>
      <c r="B938" s="5" t="str">
        <f>VLOOKUP(A938, EmployeeMaster!$A:$D, 3, FALSE)</f>
        <v>Research &amp; Development</v>
      </c>
      <c r="C938" s="8">
        <v>18061</v>
      </c>
      <c r="D938" s="8">
        <f t="shared" si="84"/>
        <v>3612.2000000000003</v>
      </c>
      <c r="E938" s="8">
        <f t="shared" si="85"/>
        <v>2167.3199999999997</v>
      </c>
      <c r="F938" s="8">
        <f t="shared" si="86"/>
        <v>1806.1000000000001</v>
      </c>
      <c r="G938" s="8">
        <f t="shared" si="87"/>
        <v>21673.200000000001</v>
      </c>
      <c r="H938" s="8">
        <f t="shared" si="88"/>
        <v>3973.42</v>
      </c>
      <c r="I938" s="10">
        <f t="shared" si="89"/>
        <v>17699.78</v>
      </c>
    </row>
    <row r="939" spans="1:9" x14ac:dyDescent="0.25">
      <c r="A939" s="6">
        <v>1307</v>
      </c>
      <c r="B939" s="5" t="str">
        <f>VLOOKUP(A939, EmployeeMaster!$A:$D, 3, FALSE)</f>
        <v>Research &amp; Development</v>
      </c>
      <c r="C939" s="8">
        <v>17123</v>
      </c>
      <c r="D939" s="8">
        <f t="shared" si="84"/>
        <v>3424.6000000000004</v>
      </c>
      <c r="E939" s="8">
        <f t="shared" si="85"/>
        <v>2054.7599999999998</v>
      </c>
      <c r="F939" s="8">
        <f t="shared" si="86"/>
        <v>1712.3000000000002</v>
      </c>
      <c r="G939" s="8">
        <f t="shared" si="87"/>
        <v>20547.599999999999</v>
      </c>
      <c r="H939" s="8">
        <f t="shared" si="88"/>
        <v>3767.06</v>
      </c>
      <c r="I939" s="10">
        <f t="shared" si="89"/>
        <v>16780.539999999997</v>
      </c>
    </row>
    <row r="940" spans="1:9" x14ac:dyDescent="0.25">
      <c r="A940" s="6">
        <v>1308</v>
      </c>
      <c r="B940" s="5" t="str">
        <f>VLOOKUP(A940, EmployeeMaster!$A:$D, 3, FALSE)</f>
        <v>Research &amp; Development</v>
      </c>
      <c r="C940" s="8">
        <v>2372</v>
      </c>
      <c r="D940" s="8">
        <f t="shared" si="84"/>
        <v>474.40000000000003</v>
      </c>
      <c r="E940" s="8">
        <f t="shared" si="85"/>
        <v>284.64</v>
      </c>
      <c r="F940" s="8">
        <f t="shared" si="86"/>
        <v>237.20000000000002</v>
      </c>
      <c r="G940" s="8">
        <f t="shared" si="87"/>
        <v>2846.4</v>
      </c>
      <c r="H940" s="8">
        <f t="shared" si="88"/>
        <v>521.84</v>
      </c>
      <c r="I940" s="10">
        <f t="shared" si="89"/>
        <v>2324.56</v>
      </c>
    </row>
    <row r="941" spans="1:9" x14ac:dyDescent="0.25">
      <c r="A941" s="6">
        <v>1309</v>
      </c>
      <c r="B941" s="5" t="str">
        <f>VLOOKUP(A941, EmployeeMaster!$A:$D, 3, FALSE)</f>
        <v>Research &amp; Development</v>
      </c>
      <c r="C941" s="8">
        <v>4883</v>
      </c>
      <c r="D941" s="8">
        <f t="shared" si="84"/>
        <v>976.6</v>
      </c>
      <c r="E941" s="8">
        <f t="shared" si="85"/>
        <v>585.95999999999992</v>
      </c>
      <c r="F941" s="8">
        <f t="shared" si="86"/>
        <v>488.3</v>
      </c>
      <c r="G941" s="8">
        <f t="shared" si="87"/>
        <v>5859.6</v>
      </c>
      <c r="H941" s="8">
        <f t="shared" si="88"/>
        <v>1074.26</v>
      </c>
      <c r="I941" s="10">
        <f t="shared" si="89"/>
        <v>4785.34</v>
      </c>
    </row>
    <row r="942" spans="1:9" x14ac:dyDescent="0.25">
      <c r="A942" s="6">
        <v>1310</v>
      </c>
      <c r="B942" s="5" t="str">
        <f>VLOOKUP(A942, EmployeeMaster!$A:$D, 3, FALSE)</f>
        <v>Research &amp; Development</v>
      </c>
      <c r="C942" s="8">
        <v>3904</v>
      </c>
      <c r="D942" s="8">
        <f t="shared" si="84"/>
        <v>780.80000000000007</v>
      </c>
      <c r="E942" s="8">
        <f t="shared" si="85"/>
        <v>468.47999999999996</v>
      </c>
      <c r="F942" s="8">
        <f t="shared" si="86"/>
        <v>390.40000000000003</v>
      </c>
      <c r="G942" s="8">
        <f t="shared" si="87"/>
        <v>4684.8</v>
      </c>
      <c r="H942" s="8">
        <f t="shared" si="88"/>
        <v>858.88</v>
      </c>
      <c r="I942" s="10">
        <f t="shared" si="89"/>
        <v>3825.92</v>
      </c>
    </row>
    <row r="943" spans="1:9" x14ac:dyDescent="0.25">
      <c r="A943" s="6">
        <v>1311</v>
      </c>
      <c r="B943" s="5" t="str">
        <f>VLOOKUP(A943, EmployeeMaster!$A:$D, 3, FALSE)</f>
        <v>Research &amp; Development</v>
      </c>
      <c r="C943" s="8">
        <v>4627</v>
      </c>
      <c r="D943" s="8">
        <f t="shared" si="84"/>
        <v>925.40000000000009</v>
      </c>
      <c r="E943" s="8">
        <f t="shared" si="85"/>
        <v>555.24</v>
      </c>
      <c r="F943" s="8">
        <f t="shared" si="86"/>
        <v>462.70000000000005</v>
      </c>
      <c r="G943" s="8">
        <f t="shared" si="87"/>
        <v>5552.4</v>
      </c>
      <c r="H943" s="8">
        <f t="shared" si="88"/>
        <v>1017.94</v>
      </c>
      <c r="I943" s="10">
        <f t="shared" si="89"/>
        <v>4534.4599999999991</v>
      </c>
    </row>
    <row r="944" spans="1:9" x14ac:dyDescent="0.25">
      <c r="A944" s="6">
        <v>1312</v>
      </c>
      <c r="B944" s="5" t="str">
        <f>VLOOKUP(A944, EmployeeMaster!$A:$D, 3, FALSE)</f>
        <v>Research &amp; Development</v>
      </c>
      <c r="C944" s="8">
        <v>7094</v>
      </c>
      <c r="D944" s="8">
        <f t="shared" si="84"/>
        <v>1418.8000000000002</v>
      </c>
      <c r="E944" s="8">
        <f t="shared" si="85"/>
        <v>851.28</v>
      </c>
      <c r="F944" s="8">
        <f t="shared" si="86"/>
        <v>709.40000000000009</v>
      </c>
      <c r="G944" s="8">
        <f t="shared" si="87"/>
        <v>8512.7999999999993</v>
      </c>
      <c r="H944" s="8">
        <f t="shared" si="88"/>
        <v>1560.68</v>
      </c>
      <c r="I944" s="10">
        <f t="shared" si="89"/>
        <v>6952.119999999999</v>
      </c>
    </row>
    <row r="945" spans="1:9" x14ac:dyDescent="0.25">
      <c r="A945" s="6">
        <v>1314</v>
      </c>
      <c r="B945" s="5" t="str">
        <f>VLOOKUP(A945, EmployeeMaster!$A:$D, 3, FALSE)</f>
        <v>Human Resources</v>
      </c>
      <c r="C945" s="8">
        <v>3423</v>
      </c>
      <c r="D945" s="8">
        <f t="shared" si="84"/>
        <v>684.6</v>
      </c>
      <c r="E945" s="8">
        <f t="shared" si="85"/>
        <v>410.76</v>
      </c>
      <c r="F945" s="8">
        <f t="shared" si="86"/>
        <v>342.3</v>
      </c>
      <c r="G945" s="8">
        <f t="shared" si="87"/>
        <v>4107.6000000000004</v>
      </c>
      <c r="H945" s="8">
        <f t="shared" si="88"/>
        <v>753.06</v>
      </c>
      <c r="I945" s="10">
        <f t="shared" si="89"/>
        <v>3354.5400000000004</v>
      </c>
    </row>
    <row r="946" spans="1:9" x14ac:dyDescent="0.25">
      <c r="A946" s="6">
        <v>1315</v>
      </c>
      <c r="B946" s="5" t="str">
        <f>VLOOKUP(A946, EmployeeMaster!$A:$D, 3, FALSE)</f>
        <v>Research &amp; Development</v>
      </c>
      <c r="C946" s="8">
        <v>6674</v>
      </c>
      <c r="D946" s="8">
        <f t="shared" si="84"/>
        <v>1334.8000000000002</v>
      </c>
      <c r="E946" s="8">
        <f t="shared" si="85"/>
        <v>800.88</v>
      </c>
      <c r="F946" s="8">
        <f t="shared" si="86"/>
        <v>667.40000000000009</v>
      </c>
      <c r="G946" s="8">
        <f t="shared" si="87"/>
        <v>8008.8</v>
      </c>
      <c r="H946" s="8">
        <f t="shared" si="88"/>
        <v>1468.2800000000002</v>
      </c>
      <c r="I946" s="10">
        <f t="shared" si="89"/>
        <v>6540.52</v>
      </c>
    </row>
    <row r="947" spans="1:9" x14ac:dyDescent="0.25">
      <c r="A947" s="6">
        <v>1317</v>
      </c>
      <c r="B947" s="5" t="str">
        <f>VLOOKUP(A947, EmployeeMaster!$A:$D, 3, FALSE)</f>
        <v>Research &amp; Development</v>
      </c>
      <c r="C947" s="8">
        <v>16880</v>
      </c>
      <c r="D947" s="8">
        <f t="shared" si="84"/>
        <v>3376</v>
      </c>
      <c r="E947" s="8">
        <f t="shared" si="85"/>
        <v>2025.6</v>
      </c>
      <c r="F947" s="8">
        <f t="shared" si="86"/>
        <v>1688</v>
      </c>
      <c r="G947" s="8">
        <f t="shared" si="87"/>
        <v>20256</v>
      </c>
      <c r="H947" s="8">
        <f t="shared" si="88"/>
        <v>3713.6</v>
      </c>
      <c r="I947" s="10">
        <f t="shared" si="89"/>
        <v>16542.400000000001</v>
      </c>
    </row>
    <row r="948" spans="1:9" x14ac:dyDescent="0.25">
      <c r="A948" s="6">
        <v>1318</v>
      </c>
      <c r="B948" s="5" t="str">
        <f>VLOOKUP(A948, EmployeeMaster!$A:$D, 3, FALSE)</f>
        <v>Sales</v>
      </c>
      <c r="C948" s="8">
        <v>9094</v>
      </c>
      <c r="D948" s="8">
        <f t="shared" si="84"/>
        <v>1818.8000000000002</v>
      </c>
      <c r="E948" s="8">
        <f t="shared" si="85"/>
        <v>1091.28</v>
      </c>
      <c r="F948" s="8">
        <f t="shared" si="86"/>
        <v>909.40000000000009</v>
      </c>
      <c r="G948" s="8">
        <f t="shared" si="87"/>
        <v>10912.8</v>
      </c>
      <c r="H948" s="8">
        <f t="shared" si="88"/>
        <v>2000.68</v>
      </c>
      <c r="I948" s="10">
        <f t="shared" si="89"/>
        <v>8912.119999999999</v>
      </c>
    </row>
    <row r="949" spans="1:9" x14ac:dyDescent="0.25">
      <c r="A949" s="6">
        <v>1319</v>
      </c>
      <c r="B949" s="5" t="str">
        <f>VLOOKUP(A949, EmployeeMaster!$A:$D, 3, FALSE)</f>
        <v>Sales</v>
      </c>
      <c r="C949" s="8">
        <v>8446</v>
      </c>
      <c r="D949" s="8">
        <f t="shared" si="84"/>
        <v>1689.2</v>
      </c>
      <c r="E949" s="8">
        <f t="shared" si="85"/>
        <v>1013.52</v>
      </c>
      <c r="F949" s="8">
        <f t="shared" si="86"/>
        <v>844.6</v>
      </c>
      <c r="G949" s="8">
        <f t="shared" si="87"/>
        <v>10135.200000000001</v>
      </c>
      <c r="H949" s="8">
        <f t="shared" si="88"/>
        <v>1858.12</v>
      </c>
      <c r="I949" s="10">
        <f t="shared" si="89"/>
        <v>8277.0800000000017</v>
      </c>
    </row>
    <row r="950" spans="1:9" x14ac:dyDescent="0.25">
      <c r="A950" s="6">
        <v>1321</v>
      </c>
      <c r="B950" s="5" t="str">
        <f>VLOOKUP(A950, EmployeeMaster!$A:$D, 3, FALSE)</f>
        <v>Research &amp; Development</v>
      </c>
      <c r="C950" s="8">
        <v>11916</v>
      </c>
      <c r="D950" s="8">
        <f t="shared" si="84"/>
        <v>2383.2000000000003</v>
      </c>
      <c r="E950" s="8">
        <f t="shared" si="85"/>
        <v>1429.9199999999998</v>
      </c>
      <c r="F950" s="8">
        <f t="shared" si="86"/>
        <v>1191.6000000000001</v>
      </c>
      <c r="G950" s="8">
        <f t="shared" si="87"/>
        <v>14299.2</v>
      </c>
      <c r="H950" s="8">
        <f t="shared" si="88"/>
        <v>2621.52</v>
      </c>
      <c r="I950" s="10">
        <f t="shared" si="89"/>
        <v>11677.68</v>
      </c>
    </row>
    <row r="951" spans="1:9" x14ac:dyDescent="0.25">
      <c r="A951" s="6">
        <v>1322</v>
      </c>
      <c r="B951" s="5" t="str">
        <f>VLOOKUP(A951, EmployeeMaster!$A:$D, 3, FALSE)</f>
        <v>Research &amp; Development</v>
      </c>
      <c r="C951" s="8">
        <v>4534</v>
      </c>
      <c r="D951" s="8">
        <f t="shared" si="84"/>
        <v>906.80000000000007</v>
      </c>
      <c r="E951" s="8">
        <f t="shared" si="85"/>
        <v>544.07999999999993</v>
      </c>
      <c r="F951" s="8">
        <f t="shared" si="86"/>
        <v>453.40000000000003</v>
      </c>
      <c r="G951" s="8">
        <f t="shared" si="87"/>
        <v>5440.8</v>
      </c>
      <c r="H951" s="8">
        <f t="shared" si="88"/>
        <v>997.48</v>
      </c>
      <c r="I951" s="10">
        <f t="shared" si="89"/>
        <v>4443.32</v>
      </c>
    </row>
    <row r="952" spans="1:9" x14ac:dyDescent="0.25">
      <c r="A952" s="6">
        <v>1324</v>
      </c>
      <c r="B952" s="5" t="str">
        <f>VLOOKUP(A952, EmployeeMaster!$A:$D, 3, FALSE)</f>
        <v>Sales</v>
      </c>
      <c r="C952" s="8">
        <v>9852</v>
      </c>
      <c r="D952" s="8">
        <f t="shared" si="84"/>
        <v>1970.4</v>
      </c>
      <c r="E952" s="8">
        <f t="shared" si="85"/>
        <v>1182.24</v>
      </c>
      <c r="F952" s="8">
        <f t="shared" si="86"/>
        <v>985.2</v>
      </c>
      <c r="G952" s="8">
        <f t="shared" si="87"/>
        <v>11822.4</v>
      </c>
      <c r="H952" s="8">
        <f t="shared" si="88"/>
        <v>2167.44</v>
      </c>
      <c r="I952" s="10">
        <f t="shared" si="89"/>
        <v>9654.9599999999991</v>
      </c>
    </row>
    <row r="953" spans="1:9" x14ac:dyDescent="0.25">
      <c r="A953" s="6">
        <v>1329</v>
      </c>
      <c r="B953" s="5" t="str">
        <f>VLOOKUP(A953, EmployeeMaster!$A:$D, 3, FALSE)</f>
        <v>Sales</v>
      </c>
      <c r="C953" s="8">
        <v>6151</v>
      </c>
      <c r="D953" s="8">
        <f t="shared" si="84"/>
        <v>1230.2</v>
      </c>
      <c r="E953" s="8">
        <f t="shared" si="85"/>
        <v>738.12</v>
      </c>
      <c r="F953" s="8">
        <f t="shared" si="86"/>
        <v>615.1</v>
      </c>
      <c r="G953" s="8">
        <f t="shared" si="87"/>
        <v>7381.2</v>
      </c>
      <c r="H953" s="8">
        <f t="shared" si="88"/>
        <v>1353.22</v>
      </c>
      <c r="I953" s="10">
        <f t="shared" si="89"/>
        <v>6027.98</v>
      </c>
    </row>
    <row r="954" spans="1:9" x14ac:dyDescent="0.25">
      <c r="A954" s="6">
        <v>1331</v>
      </c>
      <c r="B954" s="5" t="str">
        <f>VLOOKUP(A954, EmployeeMaster!$A:$D, 3, FALSE)</f>
        <v>Sales</v>
      </c>
      <c r="C954" s="8">
        <v>2302</v>
      </c>
      <c r="D954" s="8">
        <f t="shared" si="84"/>
        <v>460.40000000000003</v>
      </c>
      <c r="E954" s="8">
        <f t="shared" si="85"/>
        <v>276.24</v>
      </c>
      <c r="F954" s="8">
        <f t="shared" si="86"/>
        <v>230.20000000000002</v>
      </c>
      <c r="G954" s="8">
        <f t="shared" si="87"/>
        <v>2762.4</v>
      </c>
      <c r="H954" s="8">
        <f t="shared" si="88"/>
        <v>506.44000000000005</v>
      </c>
      <c r="I954" s="10">
        <f t="shared" si="89"/>
        <v>2255.96</v>
      </c>
    </row>
    <row r="955" spans="1:9" x14ac:dyDescent="0.25">
      <c r="A955" s="6">
        <v>1333</v>
      </c>
      <c r="B955" s="5" t="str">
        <f>VLOOKUP(A955, EmployeeMaster!$A:$D, 3, FALSE)</f>
        <v>Research &amp; Development</v>
      </c>
      <c r="C955" s="8">
        <v>2362</v>
      </c>
      <c r="D955" s="8">
        <f t="shared" si="84"/>
        <v>472.40000000000003</v>
      </c>
      <c r="E955" s="8">
        <f t="shared" si="85"/>
        <v>283.44</v>
      </c>
      <c r="F955" s="8">
        <f t="shared" si="86"/>
        <v>236.20000000000002</v>
      </c>
      <c r="G955" s="8">
        <f t="shared" si="87"/>
        <v>2834.4</v>
      </c>
      <c r="H955" s="8">
        <f t="shared" si="88"/>
        <v>519.64</v>
      </c>
      <c r="I955" s="10">
        <f t="shared" si="89"/>
        <v>2314.7600000000002</v>
      </c>
    </row>
    <row r="956" spans="1:9" x14ac:dyDescent="0.25">
      <c r="A956" s="6">
        <v>1334</v>
      </c>
      <c r="B956" s="5" t="str">
        <f>VLOOKUP(A956, EmployeeMaster!$A:$D, 3, FALSE)</f>
        <v>Research &amp; Development</v>
      </c>
      <c r="C956" s="8">
        <v>17861</v>
      </c>
      <c r="D956" s="8">
        <f t="shared" si="84"/>
        <v>3572.2000000000003</v>
      </c>
      <c r="E956" s="8">
        <f t="shared" si="85"/>
        <v>2143.3199999999997</v>
      </c>
      <c r="F956" s="8">
        <f t="shared" si="86"/>
        <v>1786.1000000000001</v>
      </c>
      <c r="G956" s="8">
        <f t="shared" si="87"/>
        <v>21433.200000000001</v>
      </c>
      <c r="H956" s="8">
        <f t="shared" si="88"/>
        <v>3929.42</v>
      </c>
      <c r="I956" s="10">
        <f t="shared" si="89"/>
        <v>17503.78</v>
      </c>
    </row>
    <row r="957" spans="1:9" x14ac:dyDescent="0.25">
      <c r="A957" s="6">
        <v>1336</v>
      </c>
      <c r="B957" s="5" t="str">
        <f>VLOOKUP(A957, EmployeeMaster!$A:$D, 3, FALSE)</f>
        <v>Research &amp; Development</v>
      </c>
      <c r="C957" s="8">
        <v>19187</v>
      </c>
      <c r="D957" s="8">
        <f t="shared" si="84"/>
        <v>3837.4</v>
      </c>
      <c r="E957" s="8">
        <f t="shared" si="85"/>
        <v>2302.44</v>
      </c>
      <c r="F957" s="8">
        <f t="shared" si="86"/>
        <v>1918.7</v>
      </c>
      <c r="G957" s="8">
        <f t="shared" si="87"/>
        <v>23024.400000000001</v>
      </c>
      <c r="H957" s="8">
        <f t="shared" si="88"/>
        <v>4221.1400000000003</v>
      </c>
      <c r="I957" s="10">
        <f t="shared" si="89"/>
        <v>18803.260000000002</v>
      </c>
    </row>
    <row r="958" spans="1:9" x14ac:dyDescent="0.25">
      <c r="A958" s="6">
        <v>1338</v>
      </c>
      <c r="B958" s="5" t="str">
        <f>VLOOKUP(A958, EmployeeMaster!$A:$D, 3, FALSE)</f>
        <v>Human Resources</v>
      </c>
      <c r="C958" s="8">
        <v>19717</v>
      </c>
      <c r="D958" s="8">
        <f t="shared" si="84"/>
        <v>3943.4</v>
      </c>
      <c r="E958" s="8">
        <f t="shared" si="85"/>
        <v>2366.04</v>
      </c>
      <c r="F958" s="8">
        <f t="shared" si="86"/>
        <v>1971.7</v>
      </c>
      <c r="G958" s="8">
        <f t="shared" si="87"/>
        <v>23660.400000000001</v>
      </c>
      <c r="H958" s="8">
        <f t="shared" si="88"/>
        <v>4337.74</v>
      </c>
      <c r="I958" s="10">
        <f t="shared" si="89"/>
        <v>19322.660000000003</v>
      </c>
    </row>
    <row r="959" spans="1:9" x14ac:dyDescent="0.25">
      <c r="A959" s="6">
        <v>1340</v>
      </c>
      <c r="B959" s="5" t="str">
        <f>VLOOKUP(A959, EmployeeMaster!$A:$D, 3, FALSE)</f>
        <v>Research &amp; Development</v>
      </c>
      <c r="C959" s="8">
        <v>3544</v>
      </c>
      <c r="D959" s="8">
        <f t="shared" si="84"/>
        <v>708.80000000000007</v>
      </c>
      <c r="E959" s="8">
        <f t="shared" si="85"/>
        <v>425.28</v>
      </c>
      <c r="F959" s="8">
        <f t="shared" si="86"/>
        <v>354.40000000000003</v>
      </c>
      <c r="G959" s="8">
        <f t="shared" si="87"/>
        <v>4252.8</v>
      </c>
      <c r="H959" s="8">
        <f t="shared" si="88"/>
        <v>779.68000000000006</v>
      </c>
      <c r="I959" s="10">
        <f t="shared" si="89"/>
        <v>3473.12</v>
      </c>
    </row>
    <row r="960" spans="1:9" x14ac:dyDescent="0.25">
      <c r="A960" s="6">
        <v>1344</v>
      </c>
      <c r="B960" s="5" t="str">
        <f>VLOOKUP(A960, EmployeeMaster!$A:$D, 3, FALSE)</f>
        <v>Research &amp; Development</v>
      </c>
      <c r="C960" s="8">
        <v>8500</v>
      </c>
      <c r="D960" s="8">
        <f t="shared" si="84"/>
        <v>1700</v>
      </c>
      <c r="E960" s="8">
        <f t="shared" si="85"/>
        <v>1020</v>
      </c>
      <c r="F960" s="8">
        <f t="shared" si="86"/>
        <v>850</v>
      </c>
      <c r="G960" s="8">
        <f t="shared" si="87"/>
        <v>10200</v>
      </c>
      <c r="H960" s="8">
        <f t="shared" si="88"/>
        <v>1870</v>
      </c>
      <c r="I960" s="10">
        <f t="shared" si="89"/>
        <v>8330</v>
      </c>
    </row>
    <row r="961" spans="1:9" x14ac:dyDescent="0.25">
      <c r="A961" s="6">
        <v>1346</v>
      </c>
      <c r="B961" s="5" t="str">
        <f>VLOOKUP(A961, EmployeeMaster!$A:$D, 3, FALSE)</f>
        <v>Research &amp; Development</v>
      </c>
      <c r="C961" s="8">
        <v>4661</v>
      </c>
      <c r="D961" s="8">
        <f t="shared" si="84"/>
        <v>932.2</v>
      </c>
      <c r="E961" s="8">
        <f t="shared" si="85"/>
        <v>559.31999999999994</v>
      </c>
      <c r="F961" s="8">
        <f t="shared" si="86"/>
        <v>466.1</v>
      </c>
      <c r="G961" s="8">
        <f t="shared" si="87"/>
        <v>5593.2</v>
      </c>
      <c r="H961" s="8">
        <f t="shared" si="88"/>
        <v>1025.42</v>
      </c>
      <c r="I961" s="10">
        <f t="shared" si="89"/>
        <v>4567.78</v>
      </c>
    </row>
    <row r="962" spans="1:9" x14ac:dyDescent="0.25">
      <c r="A962" s="6">
        <v>1349</v>
      </c>
      <c r="B962" s="5" t="str">
        <f>VLOOKUP(A962, EmployeeMaster!$A:$D, 3, FALSE)</f>
        <v>Sales</v>
      </c>
      <c r="C962" s="8">
        <v>4103</v>
      </c>
      <c r="D962" s="8">
        <f t="shared" si="84"/>
        <v>820.6</v>
      </c>
      <c r="E962" s="8">
        <f t="shared" si="85"/>
        <v>492.35999999999996</v>
      </c>
      <c r="F962" s="8">
        <f t="shared" si="86"/>
        <v>410.3</v>
      </c>
      <c r="G962" s="8">
        <f t="shared" si="87"/>
        <v>4923.6000000000004</v>
      </c>
      <c r="H962" s="8">
        <f t="shared" si="88"/>
        <v>902.66</v>
      </c>
      <c r="I962" s="10">
        <f t="shared" si="89"/>
        <v>4020.9400000000005</v>
      </c>
    </row>
    <row r="963" spans="1:9" x14ac:dyDescent="0.25">
      <c r="A963" s="6">
        <v>1350</v>
      </c>
      <c r="B963" s="5" t="str">
        <f>VLOOKUP(A963, EmployeeMaster!$A:$D, 3, FALSE)</f>
        <v>Research &amp; Development</v>
      </c>
      <c r="C963" s="8">
        <v>4249</v>
      </c>
      <c r="D963" s="8">
        <f t="shared" ref="D963:D1026" si="90">C963*20%</f>
        <v>849.80000000000007</v>
      </c>
      <c r="E963" s="8">
        <f t="shared" ref="E963:E1026" si="91">C963*12%</f>
        <v>509.88</v>
      </c>
      <c r="F963" s="8">
        <f t="shared" ref="F963:F1026" si="92">C963*10%</f>
        <v>424.90000000000003</v>
      </c>
      <c r="G963" s="8">
        <f t="shared" ref="G963:G1026" si="93">C963+D963</f>
        <v>5098.8</v>
      </c>
      <c r="H963" s="8">
        <f t="shared" ref="H963:H1026" si="94">E963+F963</f>
        <v>934.78</v>
      </c>
      <c r="I963" s="10">
        <f t="shared" ref="I963:I1026" si="95">G963-H963</f>
        <v>4164.0200000000004</v>
      </c>
    </row>
    <row r="964" spans="1:9" x14ac:dyDescent="0.25">
      <c r="A964" s="6">
        <v>1352</v>
      </c>
      <c r="B964" s="5" t="str">
        <f>VLOOKUP(A964, EmployeeMaster!$A:$D, 3, FALSE)</f>
        <v>Human Resources</v>
      </c>
      <c r="C964" s="8">
        <v>14026</v>
      </c>
      <c r="D964" s="8">
        <f t="shared" si="90"/>
        <v>2805.2000000000003</v>
      </c>
      <c r="E964" s="8">
        <f t="shared" si="91"/>
        <v>1683.12</v>
      </c>
      <c r="F964" s="8">
        <f t="shared" si="92"/>
        <v>1402.6000000000001</v>
      </c>
      <c r="G964" s="8">
        <f t="shared" si="93"/>
        <v>16831.2</v>
      </c>
      <c r="H964" s="8">
        <f t="shared" si="94"/>
        <v>3085.7200000000003</v>
      </c>
      <c r="I964" s="10">
        <f t="shared" si="95"/>
        <v>13745.48</v>
      </c>
    </row>
    <row r="965" spans="1:9" x14ac:dyDescent="0.25">
      <c r="A965" s="6">
        <v>1355</v>
      </c>
      <c r="B965" s="5" t="str">
        <f>VLOOKUP(A965, EmployeeMaster!$A:$D, 3, FALSE)</f>
        <v>Sales</v>
      </c>
      <c r="C965" s="8">
        <v>6893</v>
      </c>
      <c r="D965" s="8">
        <f t="shared" si="90"/>
        <v>1378.6000000000001</v>
      </c>
      <c r="E965" s="8">
        <f t="shared" si="91"/>
        <v>827.16</v>
      </c>
      <c r="F965" s="8">
        <f t="shared" si="92"/>
        <v>689.30000000000007</v>
      </c>
      <c r="G965" s="8">
        <f t="shared" si="93"/>
        <v>8271.6</v>
      </c>
      <c r="H965" s="8">
        <f t="shared" si="94"/>
        <v>1516.46</v>
      </c>
      <c r="I965" s="10">
        <f t="shared" si="95"/>
        <v>6755.14</v>
      </c>
    </row>
    <row r="966" spans="1:9" x14ac:dyDescent="0.25">
      <c r="A966" s="6">
        <v>1356</v>
      </c>
      <c r="B966" s="5" t="str">
        <f>VLOOKUP(A966, EmployeeMaster!$A:$D, 3, FALSE)</f>
        <v>Sales</v>
      </c>
      <c r="C966" s="8">
        <v>6125</v>
      </c>
      <c r="D966" s="8">
        <f t="shared" si="90"/>
        <v>1225</v>
      </c>
      <c r="E966" s="8">
        <f t="shared" si="91"/>
        <v>735</v>
      </c>
      <c r="F966" s="8">
        <f t="shared" si="92"/>
        <v>612.5</v>
      </c>
      <c r="G966" s="8">
        <f t="shared" si="93"/>
        <v>7350</v>
      </c>
      <c r="H966" s="8">
        <f t="shared" si="94"/>
        <v>1347.5</v>
      </c>
      <c r="I966" s="10">
        <f t="shared" si="95"/>
        <v>6002.5</v>
      </c>
    </row>
    <row r="967" spans="1:9" x14ac:dyDescent="0.25">
      <c r="A967" s="6">
        <v>1358</v>
      </c>
      <c r="B967" s="5" t="str">
        <f>VLOOKUP(A967, EmployeeMaster!$A:$D, 3, FALSE)</f>
        <v>Research &amp; Development</v>
      </c>
      <c r="C967" s="8">
        <v>3669</v>
      </c>
      <c r="D967" s="8">
        <f t="shared" si="90"/>
        <v>733.80000000000007</v>
      </c>
      <c r="E967" s="8">
        <f t="shared" si="91"/>
        <v>440.28</v>
      </c>
      <c r="F967" s="8">
        <f t="shared" si="92"/>
        <v>366.90000000000003</v>
      </c>
      <c r="G967" s="8">
        <f t="shared" si="93"/>
        <v>4402.8</v>
      </c>
      <c r="H967" s="8">
        <f t="shared" si="94"/>
        <v>807.18000000000006</v>
      </c>
      <c r="I967" s="10">
        <f t="shared" si="95"/>
        <v>3595.62</v>
      </c>
    </row>
    <row r="968" spans="1:9" x14ac:dyDescent="0.25">
      <c r="A968" s="6">
        <v>1360</v>
      </c>
      <c r="B968" s="5" t="str">
        <f>VLOOKUP(A968, EmployeeMaster!$A:$D, 3, FALSE)</f>
        <v>Research &amp; Development</v>
      </c>
      <c r="C968" s="8">
        <v>10008</v>
      </c>
      <c r="D968" s="8">
        <f t="shared" si="90"/>
        <v>2001.6000000000001</v>
      </c>
      <c r="E968" s="8">
        <f t="shared" si="91"/>
        <v>1200.96</v>
      </c>
      <c r="F968" s="8">
        <f t="shared" si="92"/>
        <v>1000.8000000000001</v>
      </c>
      <c r="G968" s="8">
        <f t="shared" si="93"/>
        <v>12009.6</v>
      </c>
      <c r="H968" s="8">
        <f t="shared" si="94"/>
        <v>2201.7600000000002</v>
      </c>
      <c r="I968" s="10">
        <f t="shared" si="95"/>
        <v>9807.84</v>
      </c>
    </row>
    <row r="969" spans="1:9" x14ac:dyDescent="0.25">
      <c r="A969" s="6">
        <v>1361</v>
      </c>
      <c r="B969" s="5" t="str">
        <f>VLOOKUP(A969, EmployeeMaster!$A:$D, 3, FALSE)</f>
        <v>Research &amp; Development</v>
      </c>
      <c r="C969" s="8">
        <v>2387</v>
      </c>
      <c r="D969" s="8">
        <f t="shared" si="90"/>
        <v>477.40000000000003</v>
      </c>
      <c r="E969" s="8">
        <f t="shared" si="91"/>
        <v>286.44</v>
      </c>
      <c r="F969" s="8">
        <f t="shared" si="92"/>
        <v>238.70000000000002</v>
      </c>
      <c r="G969" s="8">
        <f t="shared" si="93"/>
        <v>2864.4</v>
      </c>
      <c r="H969" s="8">
        <f t="shared" si="94"/>
        <v>525.14</v>
      </c>
      <c r="I969" s="10">
        <f t="shared" si="95"/>
        <v>2339.2600000000002</v>
      </c>
    </row>
    <row r="970" spans="1:9" x14ac:dyDescent="0.25">
      <c r="A970" s="6">
        <v>1362</v>
      </c>
      <c r="B970" s="5" t="str">
        <f>VLOOKUP(A970, EmployeeMaster!$A:$D, 3, FALSE)</f>
        <v>Sales</v>
      </c>
      <c r="C970" s="8">
        <v>4639</v>
      </c>
      <c r="D970" s="8">
        <f t="shared" si="90"/>
        <v>927.80000000000007</v>
      </c>
      <c r="E970" s="8">
        <f t="shared" si="91"/>
        <v>556.67999999999995</v>
      </c>
      <c r="F970" s="8">
        <f t="shared" si="92"/>
        <v>463.90000000000003</v>
      </c>
      <c r="G970" s="8">
        <f t="shared" si="93"/>
        <v>5566.8</v>
      </c>
      <c r="H970" s="8">
        <f t="shared" si="94"/>
        <v>1020.5799999999999</v>
      </c>
      <c r="I970" s="10">
        <f t="shared" si="95"/>
        <v>4546.22</v>
      </c>
    </row>
    <row r="971" spans="1:9" x14ac:dyDescent="0.25">
      <c r="A971" s="6">
        <v>1363</v>
      </c>
      <c r="B971" s="5" t="str">
        <f>VLOOKUP(A971, EmployeeMaster!$A:$D, 3, FALSE)</f>
        <v>Research &amp; Development</v>
      </c>
      <c r="C971" s="8">
        <v>7898</v>
      </c>
      <c r="D971" s="8">
        <f t="shared" si="90"/>
        <v>1579.6000000000001</v>
      </c>
      <c r="E971" s="8">
        <f t="shared" si="91"/>
        <v>947.76</v>
      </c>
      <c r="F971" s="8">
        <f t="shared" si="92"/>
        <v>789.80000000000007</v>
      </c>
      <c r="G971" s="8">
        <f t="shared" si="93"/>
        <v>9477.6</v>
      </c>
      <c r="H971" s="8">
        <f t="shared" si="94"/>
        <v>1737.56</v>
      </c>
      <c r="I971" s="10">
        <f t="shared" si="95"/>
        <v>7740.0400000000009</v>
      </c>
    </row>
    <row r="972" spans="1:9" x14ac:dyDescent="0.25">
      <c r="A972" s="6">
        <v>1364</v>
      </c>
      <c r="B972" s="5" t="str">
        <f>VLOOKUP(A972, EmployeeMaster!$A:$D, 3, FALSE)</f>
        <v>Sales</v>
      </c>
      <c r="C972" s="8">
        <v>2534</v>
      </c>
      <c r="D972" s="8">
        <f t="shared" si="90"/>
        <v>506.8</v>
      </c>
      <c r="E972" s="8">
        <f t="shared" si="91"/>
        <v>304.08</v>
      </c>
      <c r="F972" s="8">
        <f t="shared" si="92"/>
        <v>253.4</v>
      </c>
      <c r="G972" s="8">
        <f t="shared" si="93"/>
        <v>3040.8</v>
      </c>
      <c r="H972" s="8">
        <f t="shared" si="94"/>
        <v>557.48</v>
      </c>
      <c r="I972" s="10">
        <f t="shared" si="95"/>
        <v>2483.3200000000002</v>
      </c>
    </row>
    <row r="973" spans="1:9" x14ac:dyDescent="0.25">
      <c r="A973" s="6">
        <v>1367</v>
      </c>
      <c r="B973" s="5" t="str">
        <f>VLOOKUP(A973, EmployeeMaster!$A:$D, 3, FALSE)</f>
        <v>Research &amp; Development</v>
      </c>
      <c r="C973" s="8">
        <v>13142</v>
      </c>
      <c r="D973" s="8">
        <f t="shared" si="90"/>
        <v>2628.4</v>
      </c>
      <c r="E973" s="8">
        <f t="shared" si="91"/>
        <v>1577.04</v>
      </c>
      <c r="F973" s="8">
        <f t="shared" si="92"/>
        <v>1314.2</v>
      </c>
      <c r="G973" s="8">
        <f t="shared" si="93"/>
        <v>15770.4</v>
      </c>
      <c r="H973" s="8">
        <f t="shared" si="94"/>
        <v>2891.24</v>
      </c>
      <c r="I973" s="10">
        <f t="shared" si="95"/>
        <v>12879.16</v>
      </c>
    </row>
    <row r="974" spans="1:9" x14ac:dyDescent="0.25">
      <c r="A974" s="6">
        <v>1368</v>
      </c>
      <c r="B974" s="5" t="str">
        <f>VLOOKUP(A974, EmployeeMaster!$A:$D, 3, FALSE)</f>
        <v>Research &amp; Development</v>
      </c>
      <c r="C974" s="8">
        <v>1611</v>
      </c>
      <c r="D974" s="8">
        <f t="shared" si="90"/>
        <v>322.20000000000005</v>
      </c>
      <c r="E974" s="8">
        <f t="shared" si="91"/>
        <v>193.32</v>
      </c>
      <c r="F974" s="8">
        <f t="shared" si="92"/>
        <v>161.10000000000002</v>
      </c>
      <c r="G974" s="8">
        <f t="shared" si="93"/>
        <v>1933.2</v>
      </c>
      <c r="H974" s="8">
        <f t="shared" si="94"/>
        <v>354.42</v>
      </c>
      <c r="I974" s="10">
        <f t="shared" si="95"/>
        <v>1578.78</v>
      </c>
    </row>
    <row r="975" spans="1:9" x14ac:dyDescent="0.25">
      <c r="A975" s="6">
        <v>1369</v>
      </c>
      <c r="B975" s="5" t="str">
        <f>VLOOKUP(A975, EmployeeMaster!$A:$D, 3, FALSE)</f>
        <v>Research &amp; Development</v>
      </c>
      <c r="C975" s="8">
        <v>5363</v>
      </c>
      <c r="D975" s="8">
        <f t="shared" si="90"/>
        <v>1072.6000000000001</v>
      </c>
      <c r="E975" s="8">
        <f t="shared" si="91"/>
        <v>643.55999999999995</v>
      </c>
      <c r="F975" s="8">
        <f t="shared" si="92"/>
        <v>536.30000000000007</v>
      </c>
      <c r="G975" s="8">
        <f t="shared" si="93"/>
        <v>6435.6</v>
      </c>
      <c r="H975" s="8">
        <f t="shared" si="94"/>
        <v>1179.8600000000001</v>
      </c>
      <c r="I975" s="10">
        <f t="shared" si="95"/>
        <v>5255.74</v>
      </c>
    </row>
    <row r="976" spans="1:9" x14ac:dyDescent="0.25">
      <c r="A976" s="6">
        <v>1371</v>
      </c>
      <c r="B976" s="5" t="str">
        <f>VLOOKUP(A976, EmployeeMaster!$A:$D, 3, FALSE)</f>
        <v>Sales</v>
      </c>
      <c r="C976" s="8">
        <v>5071</v>
      </c>
      <c r="D976" s="8">
        <f t="shared" si="90"/>
        <v>1014.2</v>
      </c>
      <c r="E976" s="8">
        <f t="shared" si="91"/>
        <v>608.52</v>
      </c>
      <c r="F976" s="8">
        <f t="shared" si="92"/>
        <v>507.1</v>
      </c>
      <c r="G976" s="8">
        <f t="shared" si="93"/>
        <v>6085.2</v>
      </c>
      <c r="H976" s="8">
        <f t="shared" si="94"/>
        <v>1115.6199999999999</v>
      </c>
      <c r="I976" s="10">
        <f t="shared" si="95"/>
        <v>4969.58</v>
      </c>
    </row>
    <row r="977" spans="1:9" x14ac:dyDescent="0.25">
      <c r="A977" s="6">
        <v>1372</v>
      </c>
      <c r="B977" s="5" t="str">
        <f>VLOOKUP(A977, EmployeeMaster!$A:$D, 3, FALSE)</f>
        <v>Sales</v>
      </c>
      <c r="C977" s="8">
        <v>13695</v>
      </c>
      <c r="D977" s="8">
        <f t="shared" si="90"/>
        <v>2739</v>
      </c>
      <c r="E977" s="8">
        <f t="shared" si="91"/>
        <v>1643.3999999999999</v>
      </c>
      <c r="F977" s="8">
        <f t="shared" si="92"/>
        <v>1369.5</v>
      </c>
      <c r="G977" s="8">
        <f t="shared" si="93"/>
        <v>16434</v>
      </c>
      <c r="H977" s="8">
        <f t="shared" si="94"/>
        <v>3012.8999999999996</v>
      </c>
      <c r="I977" s="10">
        <f t="shared" si="95"/>
        <v>13421.1</v>
      </c>
    </row>
    <row r="978" spans="1:9" x14ac:dyDescent="0.25">
      <c r="A978" s="6">
        <v>1373</v>
      </c>
      <c r="B978" s="5" t="str">
        <f>VLOOKUP(A978, EmployeeMaster!$A:$D, 3, FALSE)</f>
        <v>Research &amp; Development</v>
      </c>
      <c r="C978" s="8">
        <v>13402</v>
      </c>
      <c r="D978" s="8">
        <f t="shared" si="90"/>
        <v>2680.4</v>
      </c>
      <c r="E978" s="8">
        <f t="shared" si="91"/>
        <v>1608.24</v>
      </c>
      <c r="F978" s="8">
        <f t="shared" si="92"/>
        <v>1340.2</v>
      </c>
      <c r="G978" s="8">
        <f t="shared" si="93"/>
        <v>16082.4</v>
      </c>
      <c r="H978" s="8">
        <f t="shared" si="94"/>
        <v>2948.44</v>
      </c>
      <c r="I978" s="10">
        <f t="shared" si="95"/>
        <v>13133.96</v>
      </c>
    </row>
    <row r="979" spans="1:9" x14ac:dyDescent="0.25">
      <c r="A979" s="6">
        <v>1374</v>
      </c>
      <c r="B979" s="5" t="str">
        <f>VLOOKUP(A979, EmployeeMaster!$A:$D, 3, FALSE)</f>
        <v>Research &amp; Development</v>
      </c>
      <c r="C979" s="8">
        <v>2029</v>
      </c>
      <c r="D979" s="8">
        <f t="shared" si="90"/>
        <v>405.8</v>
      </c>
      <c r="E979" s="8">
        <f t="shared" si="91"/>
        <v>243.48</v>
      </c>
      <c r="F979" s="8">
        <f t="shared" si="92"/>
        <v>202.9</v>
      </c>
      <c r="G979" s="8">
        <f t="shared" si="93"/>
        <v>2434.8000000000002</v>
      </c>
      <c r="H979" s="8">
        <f t="shared" si="94"/>
        <v>446.38</v>
      </c>
      <c r="I979" s="10">
        <f t="shared" si="95"/>
        <v>1988.42</v>
      </c>
    </row>
    <row r="980" spans="1:9" x14ac:dyDescent="0.25">
      <c r="A980" s="6">
        <v>1375</v>
      </c>
      <c r="B980" s="5" t="str">
        <f>VLOOKUP(A980, EmployeeMaster!$A:$D, 3, FALSE)</f>
        <v>Research &amp; Development</v>
      </c>
      <c r="C980" s="8">
        <v>6377</v>
      </c>
      <c r="D980" s="8">
        <f t="shared" si="90"/>
        <v>1275.4000000000001</v>
      </c>
      <c r="E980" s="8">
        <f t="shared" si="91"/>
        <v>765.24</v>
      </c>
      <c r="F980" s="8">
        <f t="shared" si="92"/>
        <v>637.70000000000005</v>
      </c>
      <c r="G980" s="8">
        <f t="shared" si="93"/>
        <v>7652.4</v>
      </c>
      <c r="H980" s="8">
        <f t="shared" si="94"/>
        <v>1402.94</v>
      </c>
      <c r="I980" s="10">
        <f t="shared" si="95"/>
        <v>6249.4599999999991</v>
      </c>
    </row>
    <row r="981" spans="1:9" x14ac:dyDescent="0.25">
      <c r="A981" s="6">
        <v>1377</v>
      </c>
      <c r="B981" s="5" t="str">
        <f>VLOOKUP(A981, EmployeeMaster!$A:$D, 3, FALSE)</f>
        <v>Research &amp; Development</v>
      </c>
      <c r="C981" s="8">
        <v>5429</v>
      </c>
      <c r="D981" s="8">
        <f t="shared" si="90"/>
        <v>1085.8</v>
      </c>
      <c r="E981" s="8">
        <f t="shared" si="91"/>
        <v>651.48</v>
      </c>
      <c r="F981" s="8">
        <f t="shared" si="92"/>
        <v>542.9</v>
      </c>
      <c r="G981" s="8">
        <f t="shared" si="93"/>
        <v>6514.8</v>
      </c>
      <c r="H981" s="8">
        <f t="shared" si="94"/>
        <v>1194.3800000000001</v>
      </c>
      <c r="I981" s="10">
        <f t="shared" si="95"/>
        <v>5320.42</v>
      </c>
    </row>
    <row r="982" spans="1:9" x14ac:dyDescent="0.25">
      <c r="A982" s="6">
        <v>1379</v>
      </c>
      <c r="B982" s="5" t="str">
        <f>VLOOKUP(A982, EmployeeMaster!$A:$D, 3, FALSE)</f>
        <v>Sales</v>
      </c>
      <c r="C982" s="8">
        <v>2785</v>
      </c>
      <c r="D982" s="8">
        <f t="shared" si="90"/>
        <v>557</v>
      </c>
      <c r="E982" s="8">
        <f t="shared" si="91"/>
        <v>334.2</v>
      </c>
      <c r="F982" s="8">
        <f t="shared" si="92"/>
        <v>278.5</v>
      </c>
      <c r="G982" s="8">
        <f t="shared" si="93"/>
        <v>3342</v>
      </c>
      <c r="H982" s="8">
        <f t="shared" si="94"/>
        <v>612.70000000000005</v>
      </c>
      <c r="I982" s="10">
        <f t="shared" si="95"/>
        <v>2729.3</v>
      </c>
    </row>
    <row r="983" spans="1:9" x14ac:dyDescent="0.25">
      <c r="A983" s="6">
        <v>1380</v>
      </c>
      <c r="B983" s="5" t="str">
        <f>VLOOKUP(A983, EmployeeMaster!$A:$D, 3, FALSE)</f>
        <v>Sales</v>
      </c>
      <c r="C983" s="8">
        <v>4614</v>
      </c>
      <c r="D983" s="8">
        <f t="shared" si="90"/>
        <v>922.80000000000007</v>
      </c>
      <c r="E983" s="8">
        <f t="shared" si="91"/>
        <v>553.67999999999995</v>
      </c>
      <c r="F983" s="8">
        <f t="shared" si="92"/>
        <v>461.40000000000003</v>
      </c>
      <c r="G983" s="8">
        <f t="shared" si="93"/>
        <v>5536.8</v>
      </c>
      <c r="H983" s="8">
        <f t="shared" si="94"/>
        <v>1015.0799999999999</v>
      </c>
      <c r="I983" s="10">
        <f t="shared" si="95"/>
        <v>4521.72</v>
      </c>
    </row>
    <row r="984" spans="1:9" x14ac:dyDescent="0.25">
      <c r="A984" s="6">
        <v>1382</v>
      </c>
      <c r="B984" s="5" t="str">
        <f>VLOOKUP(A984, EmployeeMaster!$A:$D, 3, FALSE)</f>
        <v>Research &amp; Development</v>
      </c>
      <c r="C984" s="8">
        <v>2610</v>
      </c>
      <c r="D984" s="8">
        <f t="shared" si="90"/>
        <v>522</v>
      </c>
      <c r="E984" s="8">
        <f t="shared" si="91"/>
        <v>313.2</v>
      </c>
      <c r="F984" s="8">
        <f t="shared" si="92"/>
        <v>261</v>
      </c>
      <c r="G984" s="8">
        <f t="shared" si="93"/>
        <v>3132</v>
      </c>
      <c r="H984" s="8">
        <f t="shared" si="94"/>
        <v>574.20000000000005</v>
      </c>
      <c r="I984" s="10">
        <f t="shared" si="95"/>
        <v>2557.8000000000002</v>
      </c>
    </row>
    <row r="985" spans="1:9" x14ac:dyDescent="0.25">
      <c r="A985" s="6">
        <v>1383</v>
      </c>
      <c r="B985" s="5" t="str">
        <f>VLOOKUP(A985, EmployeeMaster!$A:$D, 3, FALSE)</f>
        <v>Research &amp; Development</v>
      </c>
      <c r="C985" s="8">
        <v>6687</v>
      </c>
      <c r="D985" s="8">
        <f t="shared" si="90"/>
        <v>1337.4</v>
      </c>
      <c r="E985" s="8">
        <f t="shared" si="91"/>
        <v>802.43999999999994</v>
      </c>
      <c r="F985" s="8">
        <f t="shared" si="92"/>
        <v>668.7</v>
      </c>
      <c r="G985" s="8">
        <f t="shared" si="93"/>
        <v>8024.4</v>
      </c>
      <c r="H985" s="8">
        <f t="shared" si="94"/>
        <v>1471.1399999999999</v>
      </c>
      <c r="I985" s="10">
        <f t="shared" si="95"/>
        <v>6553.26</v>
      </c>
    </row>
    <row r="986" spans="1:9" x14ac:dyDescent="0.25">
      <c r="A986" s="6">
        <v>1387</v>
      </c>
      <c r="B986" s="5" t="str">
        <f>VLOOKUP(A986, EmployeeMaster!$A:$D, 3, FALSE)</f>
        <v>Sales</v>
      </c>
      <c r="C986" s="8">
        <v>4724</v>
      </c>
      <c r="D986" s="8">
        <f t="shared" si="90"/>
        <v>944.80000000000007</v>
      </c>
      <c r="E986" s="8">
        <f t="shared" si="91"/>
        <v>566.88</v>
      </c>
      <c r="F986" s="8">
        <f t="shared" si="92"/>
        <v>472.40000000000003</v>
      </c>
      <c r="G986" s="8">
        <f t="shared" si="93"/>
        <v>5668.8</v>
      </c>
      <c r="H986" s="8">
        <f t="shared" si="94"/>
        <v>1039.28</v>
      </c>
      <c r="I986" s="10">
        <f t="shared" si="95"/>
        <v>4629.5200000000004</v>
      </c>
    </row>
    <row r="987" spans="1:9" x14ac:dyDescent="0.25">
      <c r="A987" s="6">
        <v>1389</v>
      </c>
      <c r="B987" s="5" t="str">
        <f>VLOOKUP(A987, EmployeeMaster!$A:$D, 3, FALSE)</f>
        <v>Research &amp; Development</v>
      </c>
      <c r="C987" s="8">
        <v>6179</v>
      </c>
      <c r="D987" s="8">
        <f t="shared" si="90"/>
        <v>1235.8000000000002</v>
      </c>
      <c r="E987" s="8">
        <f t="shared" si="91"/>
        <v>741.48</v>
      </c>
      <c r="F987" s="8">
        <f t="shared" si="92"/>
        <v>617.90000000000009</v>
      </c>
      <c r="G987" s="8">
        <f t="shared" si="93"/>
        <v>7414.8</v>
      </c>
      <c r="H987" s="8">
        <f t="shared" si="94"/>
        <v>1359.38</v>
      </c>
      <c r="I987" s="10">
        <f t="shared" si="95"/>
        <v>6055.42</v>
      </c>
    </row>
    <row r="988" spans="1:9" x14ac:dyDescent="0.25">
      <c r="A988" s="6">
        <v>1390</v>
      </c>
      <c r="B988" s="5" t="str">
        <f>VLOOKUP(A988, EmployeeMaster!$A:$D, 3, FALSE)</f>
        <v>Sales</v>
      </c>
      <c r="C988" s="8">
        <v>6120</v>
      </c>
      <c r="D988" s="8">
        <f t="shared" si="90"/>
        <v>1224</v>
      </c>
      <c r="E988" s="8">
        <f t="shared" si="91"/>
        <v>734.4</v>
      </c>
      <c r="F988" s="8">
        <f t="shared" si="92"/>
        <v>612</v>
      </c>
      <c r="G988" s="8">
        <f t="shared" si="93"/>
        <v>7344</v>
      </c>
      <c r="H988" s="8">
        <f t="shared" si="94"/>
        <v>1346.4</v>
      </c>
      <c r="I988" s="10">
        <f t="shared" si="95"/>
        <v>5997.6</v>
      </c>
    </row>
    <row r="989" spans="1:9" x14ac:dyDescent="0.25">
      <c r="A989" s="6">
        <v>1391</v>
      </c>
      <c r="B989" s="5" t="str">
        <f>VLOOKUP(A989, EmployeeMaster!$A:$D, 3, FALSE)</f>
        <v>Sales</v>
      </c>
      <c r="C989" s="8">
        <v>10596</v>
      </c>
      <c r="D989" s="8">
        <f t="shared" si="90"/>
        <v>2119.2000000000003</v>
      </c>
      <c r="E989" s="8">
        <f t="shared" si="91"/>
        <v>1271.52</v>
      </c>
      <c r="F989" s="8">
        <f t="shared" si="92"/>
        <v>1059.6000000000001</v>
      </c>
      <c r="G989" s="8">
        <f t="shared" si="93"/>
        <v>12715.2</v>
      </c>
      <c r="H989" s="8">
        <f t="shared" si="94"/>
        <v>2331.12</v>
      </c>
      <c r="I989" s="10">
        <f t="shared" si="95"/>
        <v>10384.080000000002</v>
      </c>
    </row>
    <row r="990" spans="1:9" x14ac:dyDescent="0.25">
      <c r="A990" s="6">
        <v>1392</v>
      </c>
      <c r="B990" s="5" t="str">
        <f>VLOOKUP(A990, EmployeeMaster!$A:$D, 3, FALSE)</f>
        <v>Research &amp; Development</v>
      </c>
      <c r="C990" s="8">
        <v>5467</v>
      </c>
      <c r="D990" s="8">
        <f t="shared" si="90"/>
        <v>1093.4000000000001</v>
      </c>
      <c r="E990" s="8">
        <f t="shared" si="91"/>
        <v>656.04</v>
      </c>
      <c r="F990" s="8">
        <f t="shared" si="92"/>
        <v>546.70000000000005</v>
      </c>
      <c r="G990" s="8">
        <f t="shared" si="93"/>
        <v>6560.4</v>
      </c>
      <c r="H990" s="8">
        <f t="shared" si="94"/>
        <v>1202.74</v>
      </c>
      <c r="I990" s="10">
        <f t="shared" si="95"/>
        <v>5357.66</v>
      </c>
    </row>
    <row r="991" spans="1:9" x14ac:dyDescent="0.25">
      <c r="A991" s="6">
        <v>1394</v>
      </c>
      <c r="B991" s="5" t="str">
        <f>VLOOKUP(A991, EmployeeMaster!$A:$D, 3, FALSE)</f>
        <v>Research &amp; Development</v>
      </c>
      <c r="C991" s="8">
        <v>2996</v>
      </c>
      <c r="D991" s="8">
        <f t="shared" si="90"/>
        <v>599.20000000000005</v>
      </c>
      <c r="E991" s="8">
        <f t="shared" si="91"/>
        <v>359.52</v>
      </c>
      <c r="F991" s="8">
        <f t="shared" si="92"/>
        <v>299.60000000000002</v>
      </c>
      <c r="G991" s="8">
        <f t="shared" si="93"/>
        <v>3595.2</v>
      </c>
      <c r="H991" s="8">
        <f t="shared" si="94"/>
        <v>659.12</v>
      </c>
      <c r="I991" s="10">
        <f t="shared" si="95"/>
        <v>2936.08</v>
      </c>
    </row>
    <row r="992" spans="1:9" x14ac:dyDescent="0.25">
      <c r="A992" s="6">
        <v>1395</v>
      </c>
      <c r="B992" s="5" t="str">
        <f>VLOOKUP(A992, EmployeeMaster!$A:$D, 3, FALSE)</f>
        <v>Sales</v>
      </c>
      <c r="C992" s="8">
        <v>9998</v>
      </c>
      <c r="D992" s="8">
        <f t="shared" si="90"/>
        <v>1999.6000000000001</v>
      </c>
      <c r="E992" s="8">
        <f t="shared" si="91"/>
        <v>1199.76</v>
      </c>
      <c r="F992" s="8">
        <f t="shared" si="92"/>
        <v>999.80000000000007</v>
      </c>
      <c r="G992" s="8">
        <f t="shared" si="93"/>
        <v>11997.6</v>
      </c>
      <c r="H992" s="8">
        <f t="shared" si="94"/>
        <v>2199.56</v>
      </c>
      <c r="I992" s="10">
        <f t="shared" si="95"/>
        <v>9798.0400000000009</v>
      </c>
    </row>
    <row r="993" spans="1:9" x14ac:dyDescent="0.25">
      <c r="A993" s="6">
        <v>1396</v>
      </c>
      <c r="B993" s="5" t="str">
        <f>VLOOKUP(A993, EmployeeMaster!$A:$D, 3, FALSE)</f>
        <v>Sales</v>
      </c>
      <c r="C993" s="8">
        <v>4078</v>
      </c>
      <c r="D993" s="8">
        <f t="shared" si="90"/>
        <v>815.6</v>
      </c>
      <c r="E993" s="8">
        <f t="shared" si="91"/>
        <v>489.35999999999996</v>
      </c>
      <c r="F993" s="8">
        <f t="shared" si="92"/>
        <v>407.8</v>
      </c>
      <c r="G993" s="8">
        <f t="shared" si="93"/>
        <v>4893.6000000000004</v>
      </c>
      <c r="H993" s="8">
        <f t="shared" si="94"/>
        <v>897.16</v>
      </c>
      <c r="I993" s="10">
        <f t="shared" si="95"/>
        <v>3996.4400000000005</v>
      </c>
    </row>
    <row r="994" spans="1:9" x14ac:dyDescent="0.25">
      <c r="A994" s="6">
        <v>1397</v>
      </c>
      <c r="B994" s="5" t="str">
        <f>VLOOKUP(A994, EmployeeMaster!$A:$D, 3, FALSE)</f>
        <v>Research &amp; Development</v>
      </c>
      <c r="C994" s="8">
        <v>10920</v>
      </c>
      <c r="D994" s="8">
        <f t="shared" si="90"/>
        <v>2184</v>
      </c>
      <c r="E994" s="8">
        <f t="shared" si="91"/>
        <v>1310.3999999999999</v>
      </c>
      <c r="F994" s="8">
        <f t="shared" si="92"/>
        <v>1092</v>
      </c>
      <c r="G994" s="8">
        <f t="shared" si="93"/>
        <v>13104</v>
      </c>
      <c r="H994" s="8">
        <f t="shared" si="94"/>
        <v>2402.3999999999996</v>
      </c>
      <c r="I994" s="10">
        <f t="shared" si="95"/>
        <v>10701.6</v>
      </c>
    </row>
    <row r="995" spans="1:9" x14ac:dyDescent="0.25">
      <c r="A995" s="6">
        <v>1399</v>
      </c>
      <c r="B995" s="5" t="str">
        <f>VLOOKUP(A995, EmployeeMaster!$A:$D, 3, FALSE)</f>
        <v>Sales</v>
      </c>
      <c r="C995" s="8">
        <v>6232</v>
      </c>
      <c r="D995" s="8">
        <f t="shared" si="90"/>
        <v>1246.4000000000001</v>
      </c>
      <c r="E995" s="8">
        <f t="shared" si="91"/>
        <v>747.83999999999992</v>
      </c>
      <c r="F995" s="8">
        <f t="shared" si="92"/>
        <v>623.20000000000005</v>
      </c>
      <c r="G995" s="8">
        <f t="shared" si="93"/>
        <v>7478.4</v>
      </c>
      <c r="H995" s="8">
        <f t="shared" si="94"/>
        <v>1371.04</v>
      </c>
      <c r="I995" s="10">
        <f t="shared" si="95"/>
        <v>6107.36</v>
      </c>
    </row>
    <row r="996" spans="1:9" x14ac:dyDescent="0.25">
      <c r="A996" s="6">
        <v>1401</v>
      </c>
      <c r="B996" s="5" t="str">
        <f>VLOOKUP(A996, EmployeeMaster!$A:$D, 3, FALSE)</f>
        <v>Research &amp; Development</v>
      </c>
      <c r="C996" s="8">
        <v>13247</v>
      </c>
      <c r="D996" s="8">
        <f t="shared" si="90"/>
        <v>2649.4</v>
      </c>
      <c r="E996" s="8">
        <f t="shared" si="91"/>
        <v>1589.6399999999999</v>
      </c>
      <c r="F996" s="8">
        <f t="shared" si="92"/>
        <v>1324.7</v>
      </c>
      <c r="G996" s="8">
        <f t="shared" si="93"/>
        <v>15896.4</v>
      </c>
      <c r="H996" s="8">
        <f t="shared" si="94"/>
        <v>2914.34</v>
      </c>
      <c r="I996" s="10">
        <f t="shared" si="95"/>
        <v>12982.06</v>
      </c>
    </row>
    <row r="997" spans="1:9" x14ac:dyDescent="0.25">
      <c r="A997" s="6">
        <v>1402</v>
      </c>
      <c r="B997" s="5" t="str">
        <f>VLOOKUP(A997, EmployeeMaster!$A:$D, 3, FALSE)</f>
        <v>Research &amp; Development</v>
      </c>
      <c r="C997" s="8">
        <v>4081</v>
      </c>
      <c r="D997" s="8">
        <f t="shared" si="90"/>
        <v>816.2</v>
      </c>
      <c r="E997" s="8">
        <f t="shared" si="91"/>
        <v>489.71999999999997</v>
      </c>
      <c r="F997" s="8">
        <f t="shared" si="92"/>
        <v>408.1</v>
      </c>
      <c r="G997" s="8">
        <f t="shared" si="93"/>
        <v>4897.2</v>
      </c>
      <c r="H997" s="8">
        <f t="shared" si="94"/>
        <v>897.81999999999994</v>
      </c>
      <c r="I997" s="10">
        <f t="shared" si="95"/>
        <v>3999.38</v>
      </c>
    </row>
    <row r="998" spans="1:9" x14ac:dyDescent="0.25">
      <c r="A998" s="6">
        <v>1403</v>
      </c>
      <c r="B998" s="5" t="str">
        <f>VLOOKUP(A998, EmployeeMaster!$A:$D, 3, FALSE)</f>
        <v>Sales</v>
      </c>
      <c r="C998" s="8">
        <v>5769</v>
      </c>
      <c r="D998" s="8">
        <f t="shared" si="90"/>
        <v>1153.8</v>
      </c>
      <c r="E998" s="8">
        <f t="shared" si="91"/>
        <v>692.28</v>
      </c>
      <c r="F998" s="8">
        <f t="shared" si="92"/>
        <v>576.9</v>
      </c>
      <c r="G998" s="8">
        <f t="shared" si="93"/>
        <v>6922.8</v>
      </c>
      <c r="H998" s="8">
        <f t="shared" si="94"/>
        <v>1269.1799999999998</v>
      </c>
      <c r="I998" s="10">
        <f t="shared" si="95"/>
        <v>5653.6200000000008</v>
      </c>
    </row>
    <row r="999" spans="1:9" x14ac:dyDescent="0.25">
      <c r="A999" s="6">
        <v>1405</v>
      </c>
      <c r="B999" s="5" t="str">
        <f>VLOOKUP(A999, EmployeeMaster!$A:$D, 3, FALSE)</f>
        <v>Research &amp; Development</v>
      </c>
      <c r="C999" s="8">
        <v>2394</v>
      </c>
      <c r="D999" s="8">
        <f t="shared" si="90"/>
        <v>478.8</v>
      </c>
      <c r="E999" s="8">
        <f t="shared" si="91"/>
        <v>287.27999999999997</v>
      </c>
      <c r="F999" s="8">
        <f t="shared" si="92"/>
        <v>239.4</v>
      </c>
      <c r="G999" s="8">
        <f t="shared" si="93"/>
        <v>2872.8</v>
      </c>
      <c r="H999" s="8">
        <f t="shared" si="94"/>
        <v>526.67999999999995</v>
      </c>
      <c r="I999" s="10">
        <f t="shared" si="95"/>
        <v>2346.1200000000003</v>
      </c>
    </row>
    <row r="1000" spans="1:9" x14ac:dyDescent="0.25">
      <c r="A1000" s="6">
        <v>1407</v>
      </c>
      <c r="B1000" s="5" t="str">
        <f>VLOOKUP(A1000, EmployeeMaster!$A:$D, 3, FALSE)</f>
        <v>Research &amp; Development</v>
      </c>
      <c r="C1000" s="8">
        <v>3904</v>
      </c>
      <c r="D1000" s="8">
        <f t="shared" si="90"/>
        <v>780.80000000000007</v>
      </c>
      <c r="E1000" s="8">
        <f t="shared" si="91"/>
        <v>468.47999999999996</v>
      </c>
      <c r="F1000" s="8">
        <f t="shared" si="92"/>
        <v>390.40000000000003</v>
      </c>
      <c r="G1000" s="8">
        <f t="shared" si="93"/>
        <v>4684.8</v>
      </c>
      <c r="H1000" s="8">
        <f t="shared" si="94"/>
        <v>858.88</v>
      </c>
      <c r="I1000" s="10">
        <f t="shared" si="95"/>
        <v>3825.92</v>
      </c>
    </row>
    <row r="1001" spans="1:9" x14ac:dyDescent="0.25">
      <c r="A1001" s="6">
        <v>1408</v>
      </c>
      <c r="B1001" s="5" t="str">
        <f>VLOOKUP(A1001, EmployeeMaster!$A:$D, 3, FALSE)</f>
        <v>Human Resources</v>
      </c>
      <c r="C1001" s="8">
        <v>16799</v>
      </c>
      <c r="D1001" s="8">
        <f t="shared" si="90"/>
        <v>3359.8</v>
      </c>
      <c r="E1001" s="8">
        <f t="shared" si="91"/>
        <v>2015.8799999999999</v>
      </c>
      <c r="F1001" s="8">
        <f t="shared" si="92"/>
        <v>1679.9</v>
      </c>
      <c r="G1001" s="8">
        <f t="shared" si="93"/>
        <v>20158.8</v>
      </c>
      <c r="H1001" s="8">
        <f t="shared" si="94"/>
        <v>3695.7799999999997</v>
      </c>
      <c r="I1001" s="10">
        <f t="shared" si="95"/>
        <v>16463.02</v>
      </c>
    </row>
    <row r="1002" spans="1:9" x14ac:dyDescent="0.25">
      <c r="A1002" s="6">
        <v>1409</v>
      </c>
      <c r="B1002" s="5" t="str">
        <f>VLOOKUP(A1002, EmployeeMaster!$A:$D, 3, FALSE)</f>
        <v>Research &amp; Development</v>
      </c>
      <c r="C1002" s="8">
        <v>2950</v>
      </c>
      <c r="D1002" s="8">
        <f t="shared" si="90"/>
        <v>590</v>
      </c>
      <c r="E1002" s="8">
        <f t="shared" si="91"/>
        <v>354</v>
      </c>
      <c r="F1002" s="8">
        <f t="shared" si="92"/>
        <v>295</v>
      </c>
      <c r="G1002" s="8">
        <f t="shared" si="93"/>
        <v>3540</v>
      </c>
      <c r="H1002" s="8">
        <f t="shared" si="94"/>
        <v>649</v>
      </c>
      <c r="I1002" s="10">
        <f t="shared" si="95"/>
        <v>2891</v>
      </c>
    </row>
    <row r="1003" spans="1:9" x14ac:dyDescent="0.25">
      <c r="A1003" s="6">
        <v>1411</v>
      </c>
      <c r="B1003" s="5" t="str">
        <f>VLOOKUP(A1003, EmployeeMaster!$A:$D, 3, FALSE)</f>
        <v>Research &amp; Development</v>
      </c>
      <c r="C1003" s="8">
        <v>3629</v>
      </c>
      <c r="D1003" s="8">
        <f t="shared" si="90"/>
        <v>725.80000000000007</v>
      </c>
      <c r="E1003" s="8">
        <f t="shared" si="91"/>
        <v>435.47999999999996</v>
      </c>
      <c r="F1003" s="8">
        <f t="shared" si="92"/>
        <v>362.90000000000003</v>
      </c>
      <c r="G1003" s="8">
        <f t="shared" si="93"/>
        <v>4354.8</v>
      </c>
      <c r="H1003" s="8">
        <f t="shared" si="94"/>
        <v>798.38</v>
      </c>
      <c r="I1003" s="10">
        <f t="shared" si="95"/>
        <v>3556.42</v>
      </c>
    </row>
    <row r="1004" spans="1:9" x14ac:dyDescent="0.25">
      <c r="A1004" s="6">
        <v>1412</v>
      </c>
      <c r="B1004" s="5" t="str">
        <f>VLOOKUP(A1004, EmployeeMaster!$A:$D, 3, FALSE)</f>
        <v>Research &amp; Development</v>
      </c>
      <c r="C1004" s="8">
        <v>9362</v>
      </c>
      <c r="D1004" s="8">
        <f t="shared" si="90"/>
        <v>1872.4</v>
      </c>
      <c r="E1004" s="8">
        <f t="shared" si="91"/>
        <v>1123.44</v>
      </c>
      <c r="F1004" s="8">
        <f t="shared" si="92"/>
        <v>936.2</v>
      </c>
      <c r="G1004" s="8">
        <f t="shared" si="93"/>
        <v>11234.4</v>
      </c>
      <c r="H1004" s="8">
        <f t="shared" si="94"/>
        <v>2059.6400000000003</v>
      </c>
      <c r="I1004" s="10">
        <f t="shared" si="95"/>
        <v>9174.7599999999984</v>
      </c>
    </row>
    <row r="1005" spans="1:9" x14ac:dyDescent="0.25">
      <c r="A1005" s="6">
        <v>1415</v>
      </c>
      <c r="B1005" s="5" t="str">
        <f>VLOOKUP(A1005, EmployeeMaster!$A:$D, 3, FALSE)</f>
        <v>Research &amp; Development</v>
      </c>
      <c r="C1005" s="8">
        <v>3229</v>
      </c>
      <c r="D1005" s="8">
        <f t="shared" si="90"/>
        <v>645.80000000000007</v>
      </c>
      <c r="E1005" s="8">
        <f t="shared" si="91"/>
        <v>387.47999999999996</v>
      </c>
      <c r="F1005" s="8">
        <f t="shared" si="92"/>
        <v>322.90000000000003</v>
      </c>
      <c r="G1005" s="8">
        <f t="shared" si="93"/>
        <v>3874.8</v>
      </c>
      <c r="H1005" s="8">
        <f t="shared" si="94"/>
        <v>710.38</v>
      </c>
      <c r="I1005" s="10">
        <f t="shared" si="95"/>
        <v>3164.42</v>
      </c>
    </row>
    <row r="1006" spans="1:9" x14ac:dyDescent="0.25">
      <c r="A1006" s="6">
        <v>1417</v>
      </c>
      <c r="B1006" s="5" t="str">
        <f>VLOOKUP(A1006, EmployeeMaster!$A:$D, 3, FALSE)</f>
        <v>Research &amp; Development</v>
      </c>
      <c r="C1006" s="8">
        <v>3578</v>
      </c>
      <c r="D1006" s="8">
        <f t="shared" si="90"/>
        <v>715.6</v>
      </c>
      <c r="E1006" s="8">
        <f t="shared" si="91"/>
        <v>429.35999999999996</v>
      </c>
      <c r="F1006" s="8">
        <f t="shared" si="92"/>
        <v>357.8</v>
      </c>
      <c r="G1006" s="8">
        <f t="shared" si="93"/>
        <v>4293.6000000000004</v>
      </c>
      <c r="H1006" s="8">
        <f t="shared" si="94"/>
        <v>787.16</v>
      </c>
      <c r="I1006" s="10">
        <f t="shared" si="95"/>
        <v>3506.4400000000005</v>
      </c>
    </row>
    <row r="1007" spans="1:9" x14ac:dyDescent="0.25">
      <c r="A1007" s="6">
        <v>1419</v>
      </c>
      <c r="B1007" s="5" t="str">
        <f>VLOOKUP(A1007, EmployeeMaster!$A:$D, 3, FALSE)</f>
        <v>Human Resources</v>
      </c>
      <c r="C1007" s="8">
        <v>7988</v>
      </c>
      <c r="D1007" s="8">
        <f t="shared" si="90"/>
        <v>1597.6000000000001</v>
      </c>
      <c r="E1007" s="8">
        <f t="shared" si="91"/>
        <v>958.56</v>
      </c>
      <c r="F1007" s="8">
        <f t="shared" si="92"/>
        <v>798.80000000000007</v>
      </c>
      <c r="G1007" s="8">
        <f t="shared" si="93"/>
        <v>9585.6</v>
      </c>
      <c r="H1007" s="8">
        <f t="shared" si="94"/>
        <v>1757.3600000000001</v>
      </c>
      <c r="I1007" s="10">
        <f t="shared" si="95"/>
        <v>7828.24</v>
      </c>
    </row>
    <row r="1008" spans="1:9" x14ac:dyDescent="0.25">
      <c r="A1008" s="6">
        <v>1420</v>
      </c>
      <c r="B1008" s="5" t="str">
        <f>VLOOKUP(A1008, EmployeeMaster!$A:$D, 3, FALSE)</f>
        <v>Research &amp; Development</v>
      </c>
      <c r="C1008" s="8">
        <v>4284</v>
      </c>
      <c r="D1008" s="8">
        <f t="shared" si="90"/>
        <v>856.80000000000007</v>
      </c>
      <c r="E1008" s="8">
        <f t="shared" si="91"/>
        <v>514.07999999999993</v>
      </c>
      <c r="F1008" s="8">
        <f t="shared" si="92"/>
        <v>428.40000000000003</v>
      </c>
      <c r="G1008" s="8">
        <f t="shared" si="93"/>
        <v>5140.8</v>
      </c>
      <c r="H1008" s="8">
        <f t="shared" si="94"/>
        <v>942.48</v>
      </c>
      <c r="I1008" s="10">
        <f t="shared" si="95"/>
        <v>4198.32</v>
      </c>
    </row>
    <row r="1009" spans="1:9" x14ac:dyDescent="0.25">
      <c r="A1009" s="6">
        <v>1421</v>
      </c>
      <c r="B1009" s="5" t="str">
        <f>VLOOKUP(A1009, EmployeeMaster!$A:$D, 3, FALSE)</f>
        <v>Research &amp; Development</v>
      </c>
      <c r="C1009" s="8">
        <v>7553</v>
      </c>
      <c r="D1009" s="8">
        <f t="shared" si="90"/>
        <v>1510.6000000000001</v>
      </c>
      <c r="E1009" s="8">
        <f t="shared" si="91"/>
        <v>906.36</v>
      </c>
      <c r="F1009" s="8">
        <f t="shared" si="92"/>
        <v>755.30000000000007</v>
      </c>
      <c r="G1009" s="8">
        <f t="shared" si="93"/>
        <v>9063.6</v>
      </c>
      <c r="H1009" s="8">
        <f t="shared" si="94"/>
        <v>1661.66</v>
      </c>
      <c r="I1009" s="10">
        <f t="shared" si="95"/>
        <v>7401.9400000000005</v>
      </c>
    </row>
    <row r="1010" spans="1:9" x14ac:dyDescent="0.25">
      <c r="A1010" s="6">
        <v>1422</v>
      </c>
      <c r="B1010" s="5" t="str">
        <f>VLOOKUP(A1010, EmployeeMaster!$A:$D, 3, FALSE)</f>
        <v>Research &amp; Development</v>
      </c>
      <c r="C1010" s="8">
        <v>17328</v>
      </c>
      <c r="D1010" s="8">
        <f t="shared" si="90"/>
        <v>3465.6000000000004</v>
      </c>
      <c r="E1010" s="8">
        <f t="shared" si="91"/>
        <v>2079.36</v>
      </c>
      <c r="F1010" s="8">
        <f t="shared" si="92"/>
        <v>1732.8000000000002</v>
      </c>
      <c r="G1010" s="8">
        <f t="shared" si="93"/>
        <v>20793.599999999999</v>
      </c>
      <c r="H1010" s="8">
        <f t="shared" si="94"/>
        <v>3812.1600000000003</v>
      </c>
      <c r="I1010" s="10">
        <f t="shared" si="95"/>
        <v>16981.439999999999</v>
      </c>
    </row>
    <row r="1011" spans="1:9" x14ac:dyDescent="0.25">
      <c r="A1011" s="6">
        <v>1423</v>
      </c>
      <c r="B1011" s="5" t="str">
        <f>VLOOKUP(A1011, EmployeeMaster!$A:$D, 3, FALSE)</f>
        <v>Research &amp; Development</v>
      </c>
      <c r="C1011" s="8">
        <v>19701</v>
      </c>
      <c r="D1011" s="8">
        <f t="shared" si="90"/>
        <v>3940.2000000000003</v>
      </c>
      <c r="E1011" s="8">
        <f t="shared" si="91"/>
        <v>2364.12</v>
      </c>
      <c r="F1011" s="8">
        <f t="shared" si="92"/>
        <v>1970.1000000000001</v>
      </c>
      <c r="G1011" s="8">
        <f t="shared" si="93"/>
        <v>23641.200000000001</v>
      </c>
      <c r="H1011" s="8">
        <f t="shared" si="94"/>
        <v>4334.22</v>
      </c>
      <c r="I1011" s="10">
        <f t="shared" si="95"/>
        <v>19306.98</v>
      </c>
    </row>
    <row r="1012" spans="1:9" x14ac:dyDescent="0.25">
      <c r="A1012" s="6">
        <v>1424</v>
      </c>
      <c r="B1012" s="5" t="str">
        <f>VLOOKUP(A1012, EmployeeMaster!$A:$D, 3, FALSE)</f>
        <v>Research &amp; Development</v>
      </c>
      <c r="C1012" s="8">
        <v>14732</v>
      </c>
      <c r="D1012" s="8">
        <f t="shared" si="90"/>
        <v>2946.4</v>
      </c>
      <c r="E1012" s="8">
        <f t="shared" si="91"/>
        <v>1767.84</v>
      </c>
      <c r="F1012" s="8">
        <f t="shared" si="92"/>
        <v>1473.2</v>
      </c>
      <c r="G1012" s="8">
        <f t="shared" si="93"/>
        <v>17678.400000000001</v>
      </c>
      <c r="H1012" s="8">
        <f t="shared" si="94"/>
        <v>3241.04</v>
      </c>
      <c r="I1012" s="10">
        <f t="shared" si="95"/>
        <v>14437.36</v>
      </c>
    </row>
    <row r="1013" spans="1:9" x14ac:dyDescent="0.25">
      <c r="A1013" s="6">
        <v>1425</v>
      </c>
      <c r="B1013" s="5" t="str">
        <f>VLOOKUP(A1013, EmployeeMaster!$A:$D, 3, FALSE)</f>
        <v>Sales</v>
      </c>
      <c r="C1013" s="8">
        <v>9278</v>
      </c>
      <c r="D1013" s="8">
        <f t="shared" si="90"/>
        <v>1855.6000000000001</v>
      </c>
      <c r="E1013" s="8">
        <f t="shared" si="91"/>
        <v>1113.3599999999999</v>
      </c>
      <c r="F1013" s="8">
        <f t="shared" si="92"/>
        <v>927.80000000000007</v>
      </c>
      <c r="G1013" s="8">
        <f t="shared" si="93"/>
        <v>11133.6</v>
      </c>
      <c r="H1013" s="8">
        <f t="shared" si="94"/>
        <v>2041.1599999999999</v>
      </c>
      <c r="I1013" s="10">
        <f t="shared" si="95"/>
        <v>9092.44</v>
      </c>
    </row>
    <row r="1014" spans="1:9" x14ac:dyDescent="0.25">
      <c r="A1014" s="6">
        <v>1427</v>
      </c>
      <c r="B1014" s="5" t="str">
        <f>VLOOKUP(A1014, EmployeeMaster!$A:$D, 3, FALSE)</f>
        <v>Sales</v>
      </c>
      <c r="C1014" s="8">
        <v>1359</v>
      </c>
      <c r="D1014" s="8">
        <f t="shared" si="90"/>
        <v>271.8</v>
      </c>
      <c r="E1014" s="8">
        <f t="shared" si="91"/>
        <v>163.07999999999998</v>
      </c>
      <c r="F1014" s="8">
        <f t="shared" si="92"/>
        <v>135.9</v>
      </c>
      <c r="G1014" s="8">
        <f t="shared" si="93"/>
        <v>1630.8</v>
      </c>
      <c r="H1014" s="8">
        <f t="shared" si="94"/>
        <v>298.98</v>
      </c>
      <c r="I1014" s="10">
        <f t="shared" si="95"/>
        <v>1331.82</v>
      </c>
    </row>
    <row r="1015" spans="1:9" x14ac:dyDescent="0.25">
      <c r="A1015" s="6">
        <v>1428</v>
      </c>
      <c r="B1015" s="5" t="str">
        <f>VLOOKUP(A1015, EmployeeMaster!$A:$D, 3, FALSE)</f>
        <v>Sales</v>
      </c>
      <c r="C1015" s="8">
        <v>4779</v>
      </c>
      <c r="D1015" s="8">
        <f t="shared" si="90"/>
        <v>955.80000000000007</v>
      </c>
      <c r="E1015" s="8">
        <f t="shared" si="91"/>
        <v>573.48</v>
      </c>
      <c r="F1015" s="8">
        <f t="shared" si="92"/>
        <v>477.90000000000003</v>
      </c>
      <c r="G1015" s="8">
        <f t="shared" si="93"/>
        <v>5734.8</v>
      </c>
      <c r="H1015" s="8">
        <f t="shared" si="94"/>
        <v>1051.3800000000001</v>
      </c>
      <c r="I1015" s="10">
        <f t="shared" si="95"/>
        <v>4683.42</v>
      </c>
    </row>
    <row r="1016" spans="1:9" x14ac:dyDescent="0.25">
      <c r="A1016" s="6">
        <v>1430</v>
      </c>
      <c r="B1016" s="5" t="str">
        <f>VLOOKUP(A1016, EmployeeMaster!$A:$D, 3, FALSE)</f>
        <v>Research &amp; Development</v>
      </c>
      <c r="C1016" s="8">
        <v>16422</v>
      </c>
      <c r="D1016" s="8">
        <f t="shared" si="90"/>
        <v>3284.4</v>
      </c>
      <c r="E1016" s="8">
        <f t="shared" si="91"/>
        <v>1970.6399999999999</v>
      </c>
      <c r="F1016" s="8">
        <f t="shared" si="92"/>
        <v>1642.2</v>
      </c>
      <c r="G1016" s="8">
        <f t="shared" si="93"/>
        <v>19706.400000000001</v>
      </c>
      <c r="H1016" s="8">
        <f t="shared" si="94"/>
        <v>3612.84</v>
      </c>
      <c r="I1016" s="10">
        <f t="shared" si="95"/>
        <v>16093.560000000001</v>
      </c>
    </row>
    <row r="1017" spans="1:9" x14ac:dyDescent="0.25">
      <c r="A1017" s="6">
        <v>1431</v>
      </c>
      <c r="B1017" s="5" t="str">
        <f>VLOOKUP(A1017, EmployeeMaster!$A:$D, 3, FALSE)</f>
        <v>Research &amp; Development</v>
      </c>
      <c r="C1017" s="8">
        <v>2996</v>
      </c>
      <c r="D1017" s="8">
        <f t="shared" si="90"/>
        <v>599.20000000000005</v>
      </c>
      <c r="E1017" s="8">
        <f t="shared" si="91"/>
        <v>359.52</v>
      </c>
      <c r="F1017" s="8">
        <f t="shared" si="92"/>
        <v>299.60000000000002</v>
      </c>
      <c r="G1017" s="8">
        <f t="shared" si="93"/>
        <v>3595.2</v>
      </c>
      <c r="H1017" s="8">
        <f t="shared" si="94"/>
        <v>659.12</v>
      </c>
      <c r="I1017" s="10">
        <f t="shared" si="95"/>
        <v>2936.08</v>
      </c>
    </row>
    <row r="1018" spans="1:9" x14ac:dyDescent="0.25">
      <c r="A1018" s="6">
        <v>1433</v>
      </c>
      <c r="B1018" s="5" t="str">
        <f>VLOOKUP(A1018, EmployeeMaster!$A:$D, 3, FALSE)</f>
        <v>Research &amp; Development</v>
      </c>
      <c r="C1018" s="8">
        <v>1261</v>
      </c>
      <c r="D1018" s="8">
        <f t="shared" si="90"/>
        <v>252.20000000000002</v>
      </c>
      <c r="E1018" s="8">
        <f t="shared" si="91"/>
        <v>151.32</v>
      </c>
      <c r="F1018" s="8">
        <f t="shared" si="92"/>
        <v>126.10000000000001</v>
      </c>
      <c r="G1018" s="8">
        <f t="shared" si="93"/>
        <v>1513.2</v>
      </c>
      <c r="H1018" s="8">
        <f t="shared" si="94"/>
        <v>277.42</v>
      </c>
      <c r="I1018" s="10">
        <f t="shared" si="95"/>
        <v>1235.78</v>
      </c>
    </row>
    <row r="1019" spans="1:9" x14ac:dyDescent="0.25">
      <c r="A1019" s="6">
        <v>1434</v>
      </c>
      <c r="B1019" s="5" t="str">
        <f>VLOOKUP(A1019, EmployeeMaster!$A:$D, 3, FALSE)</f>
        <v>Research &amp; Development</v>
      </c>
      <c r="C1019" s="8">
        <v>2099</v>
      </c>
      <c r="D1019" s="8">
        <f t="shared" si="90"/>
        <v>419.8</v>
      </c>
      <c r="E1019" s="8">
        <f t="shared" si="91"/>
        <v>251.88</v>
      </c>
      <c r="F1019" s="8">
        <f t="shared" si="92"/>
        <v>209.9</v>
      </c>
      <c r="G1019" s="8">
        <f t="shared" si="93"/>
        <v>2518.8000000000002</v>
      </c>
      <c r="H1019" s="8">
        <f t="shared" si="94"/>
        <v>461.78</v>
      </c>
      <c r="I1019" s="10">
        <f t="shared" si="95"/>
        <v>2057.0200000000004</v>
      </c>
    </row>
    <row r="1020" spans="1:9" x14ac:dyDescent="0.25">
      <c r="A1020" s="6">
        <v>1435</v>
      </c>
      <c r="B1020" s="5" t="str">
        <f>VLOOKUP(A1020, EmployeeMaster!$A:$D, 3, FALSE)</f>
        <v>Research &amp; Development</v>
      </c>
      <c r="C1020" s="8">
        <v>5810</v>
      </c>
      <c r="D1020" s="8">
        <f t="shared" si="90"/>
        <v>1162</v>
      </c>
      <c r="E1020" s="8">
        <f t="shared" si="91"/>
        <v>697.19999999999993</v>
      </c>
      <c r="F1020" s="8">
        <f t="shared" si="92"/>
        <v>581</v>
      </c>
      <c r="G1020" s="8">
        <f t="shared" si="93"/>
        <v>6972</v>
      </c>
      <c r="H1020" s="8">
        <f t="shared" si="94"/>
        <v>1278.1999999999998</v>
      </c>
      <c r="I1020" s="10">
        <f t="shared" si="95"/>
        <v>5693.8</v>
      </c>
    </row>
    <row r="1021" spans="1:9" x14ac:dyDescent="0.25">
      <c r="A1021" s="6">
        <v>1436</v>
      </c>
      <c r="B1021" s="5" t="str">
        <f>VLOOKUP(A1021, EmployeeMaster!$A:$D, 3, FALSE)</f>
        <v>Sales</v>
      </c>
      <c r="C1021" s="8">
        <v>5647</v>
      </c>
      <c r="D1021" s="8">
        <f t="shared" si="90"/>
        <v>1129.4000000000001</v>
      </c>
      <c r="E1021" s="8">
        <f t="shared" si="91"/>
        <v>677.64</v>
      </c>
      <c r="F1021" s="8">
        <f t="shared" si="92"/>
        <v>564.70000000000005</v>
      </c>
      <c r="G1021" s="8">
        <f t="shared" si="93"/>
        <v>6776.4</v>
      </c>
      <c r="H1021" s="8">
        <f t="shared" si="94"/>
        <v>1242.3400000000001</v>
      </c>
      <c r="I1021" s="10">
        <f t="shared" si="95"/>
        <v>5534.0599999999995</v>
      </c>
    </row>
    <row r="1022" spans="1:9" x14ac:dyDescent="0.25">
      <c r="A1022" s="6">
        <v>1438</v>
      </c>
      <c r="B1022" s="5" t="str">
        <f>VLOOKUP(A1022, EmployeeMaster!$A:$D, 3, FALSE)</f>
        <v>Research &amp; Development</v>
      </c>
      <c r="C1022" s="8">
        <v>3420</v>
      </c>
      <c r="D1022" s="8">
        <f t="shared" si="90"/>
        <v>684</v>
      </c>
      <c r="E1022" s="8">
        <f t="shared" si="91"/>
        <v>410.4</v>
      </c>
      <c r="F1022" s="8">
        <f t="shared" si="92"/>
        <v>342</v>
      </c>
      <c r="G1022" s="8">
        <f t="shared" si="93"/>
        <v>4104</v>
      </c>
      <c r="H1022" s="8">
        <f t="shared" si="94"/>
        <v>752.4</v>
      </c>
      <c r="I1022" s="10">
        <f t="shared" si="95"/>
        <v>3351.6</v>
      </c>
    </row>
    <row r="1023" spans="1:9" x14ac:dyDescent="0.25">
      <c r="A1023" s="6">
        <v>1439</v>
      </c>
      <c r="B1023" s="5" t="str">
        <f>VLOOKUP(A1023, EmployeeMaster!$A:$D, 3, FALSE)</f>
        <v>Sales</v>
      </c>
      <c r="C1023" s="8">
        <v>4400</v>
      </c>
      <c r="D1023" s="8">
        <f t="shared" si="90"/>
        <v>880</v>
      </c>
      <c r="E1023" s="8">
        <f t="shared" si="91"/>
        <v>528</v>
      </c>
      <c r="F1023" s="8">
        <f t="shared" si="92"/>
        <v>440</v>
      </c>
      <c r="G1023" s="8">
        <f t="shared" si="93"/>
        <v>5280</v>
      </c>
      <c r="H1023" s="8">
        <f t="shared" si="94"/>
        <v>968</v>
      </c>
      <c r="I1023" s="10">
        <f t="shared" si="95"/>
        <v>4312</v>
      </c>
    </row>
    <row r="1024" spans="1:9" x14ac:dyDescent="0.25">
      <c r="A1024" s="6">
        <v>1440</v>
      </c>
      <c r="B1024" s="5" t="str">
        <f>VLOOKUP(A1024, EmployeeMaster!$A:$D, 3, FALSE)</f>
        <v>Research &amp; Development</v>
      </c>
      <c r="C1024" s="8">
        <v>3500</v>
      </c>
      <c r="D1024" s="8">
        <f t="shared" si="90"/>
        <v>700</v>
      </c>
      <c r="E1024" s="8">
        <f t="shared" si="91"/>
        <v>420</v>
      </c>
      <c r="F1024" s="8">
        <f t="shared" si="92"/>
        <v>350</v>
      </c>
      <c r="G1024" s="8">
        <f t="shared" si="93"/>
        <v>4200</v>
      </c>
      <c r="H1024" s="8">
        <f t="shared" si="94"/>
        <v>770</v>
      </c>
      <c r="I1024" s="10">
        <f t="shared" si="95"/>
        <v>3430</v>
      </c>
    </row>
    <row r="1025" spans="1:9" x14ac:dyDescent="0.25">
      <c r="A1025" s="6">
        <v>1441</v>
      </c>
      <c r="B1025" s="5" t="str">
        <f>VLOOKUP(A1025, EmployeeMaster!$A:$D, 3, FALSE)</f>
        <v>Research &amp; Development</v>
      </c>
      <c r="C1025" s="8">
        <v>2066</v>
      </c>
      <c r="D1025" s="8">
        <f t="shared" si="90"/>
        <v>413.20000000000005</v>
      </c>
      <c r="E1025" s="8">
        <f t="shared" si="91"/>
        <v>247.92</v>
      </c>
      <c r="F1025" s="8">
        <f t="shared" si="92"/>
        <v>206.60000000000002</v>
      </c>
      <c r="G1025" s="8">
        <f t="shared" si="93"/>
        <v>2479.1999999999998</v>
      </c>
      <c r="H1025" s="8">
        <f t="shared" si="94"/>
        <v>454.52</v>
      </c>
      <c r="I1025" s="10">
        <f t="shared" si="95"/>
        <v>2024.6799999999998</v>
      </c>
    </row>
    <row r="1026" spans="1:9" x14ac:dyDescent="0.25">
      <c r="A1026" s="6">
        <v>1443</v>
      </c>
      <c r="B1026" s="5" t="str">
        <f>VLOOKUP(A1026, EmployeeMaster!$A:$D, 3, FALSE)</f>
        <v>Research &amp; Development</v>
      </c>
      <c r="C1026" s="8">
        <v>17169</v>
      </c>
      <c r="D1026" s="8">
        <f t="shared" si="90"/>
        <v>3433.8</v>
      </c>
      <c r="E1026" s="8">
        <f t="shared" si="91"/>
        <v>2060.2799999999997</v>
      </c>
      <c r="F1026" s="8">
        <f t="shared" si="92"/>
        <v>1716.9</v>
      </c>
      <c r="G1026" s="8">
        <f t="shared" si="93"/>
        <v>20602.8</v>
      </c>
      <c r="H1026" s="8">
        <f t="shared" si="94"/>
        <v>3777.18</v>
      </c>
      <c r="I1026" s="10">
        <f t="shared" si="95"/>
        <v>16825.62</v>
      </c>
    </row>
    <row r="1027" spans="1:9" x14ac:dyDescent="0.25">
      <c r="A1027" s="6">
        <v>1445</v>
      </c>
      <c r="B1027" s="5" t="str">
        <f>VLOOKUP(A1027, EmployeeMaster!$A:$D, 3, FALSE)</f>
        <v>Sales</v>
      </c>
      <c r="C1027" s="8">
        <v>4162</v>
      </c>
      <c r="D1027" s="8">
        <f t="shared" ref="D1027:D1090" si="96">C1027*20%</f>
        <v>832.40000000000009</v>
      </c>
      <c r="E1027" s="8">
        <f t="shared" ref="E1027:E1090" si="97">C1027*12%</f>
        <v>499.44</v>
      </c>
      <c r="F1027" s="8">
        <f t="shared" ref="F1027:F1090" si="98">C1027*10%</f>
        <v>416.20000000000005</v>
      </c>
      <c r="G1027" s="8">
        <f t="shared" ref="G1027:G1090" si="99">C1027+D1027</f>
        <v>4994.3999999999996</v>
      </c>
      <c r="H1027" s="8">
        <f t="shared" ref="H1027:H1090" si="100">E1027+F1027</f>
        <v>915.6400000000001</v>
      </c>
      <c r="I1027" s="10">
        <f t="shared" ref="I1027:I1090" si="101">G1027-H1027</f>
        <v>4078.7599999999993</v>
      </c>
    </row>
    <row r="1028" spans="1:9" x14ac:dyDescent="0.25">
      <c r="A1028" s="6">
        <v>1446</v>
      </c>
      <c r="B1028" s="5" t="str">
        <f>VLOOKUP(A1028, EmployeeMaster!$A:$D, 3, FALSE)</f>
        <v>Sales</v>
      </c>
      <c r="C1028" s="8">
        <v>9204</v>
      </c>
      <c r="D1028" s="8">
        <f t="shared" si="96"/>
        <v>1840.8000000000002</v>
      </c>
      <c r="E1028" s="8">
        <f t="shared" si="97"/>
        <v>1104.48</v>
      </c>
      <c r="F1028" s="8">
        <f t="shared" si="98"/>
        <v>920.40000000000009</v>
      </c>
      <c r="G1028" s="8">
        <f t="shared" si="99"/>
        <v>11044.8</v>
      </c>
      <c r="H1028" s="8">
        <f t="shared" si="100"/>
        <v>2024.88</v>
      </c>
      <c r="I1028" s="10">
        <f t="shared" si="101"/>
        <v>9019.9199999999983</v>
      </c>
    </row>
    <row r="1029" spans="1:9" x14ac:dyDescent="0.25">
      <c r="A1029" s="6">
        <v>1447</v>
      </c>
      <c r="B1029" s="5" t="str">
        <f>VLOOKUP(A1029, EmployeeMaster!$A:$D, 3, FALSE)</f>
        <v>Research &amp; Development</v>
      </c>
      <c r="C1029" s="8">
        <v>3294</v>
      </c>
      <c r="D1029" s="8">
        <f t="shared" si="96"/>
        <v>658.80000000000007</v>
      </c>
      <c r="E1029" s="8">
        <f t="shared" si="97"/>
        <v>395.28</v>
      </c>
      <c r="F1029" s="8">
        <f t="shared" si="98"/>
        <v>329.40000000000003</v>
      </c>
      <c r="G1029" s="8">
        <f t="shared" si="99"/>
        <v>3952.8</v>
      </c>
      <c r="H1029" s="8">
        <f t="shared" si="100"/>
        <v>724.68000000000006</v>
      </c>
      <c r="I1029" s="10">
        <f t="shared" si="101"/>
        <v>3228.12</v>
      </c>
    </row>
    <row r="1030" spans="1:9" x14ac:dyDescent="0.25">
      <c r="A1030" s="6">
        <v>1448</v>
      </c>
      <c r="B1030" s="5" t="str">
        <f>VLOOKUP(A1030, EmployeeMaster!$A:$D, 3, FALSE)</f>
        <v>Research &amp; Development</v>
      </c>
      <c r="C1030" s="8">
        <v>2127</v>
      </c>
      <c r="D1030" s="8">
        <f t="shared" si="96"/>
        <v>425.40000000000003</v>
      </c>
      <c r="E1030" s="8">
        <f t="shared" si="97"/>
        <v>255.23999999999998</v>
      </c>
      <c r="F1030" s="8">
        <f t="shared" si="98"/>
        <v>212.70000000000002</v>
      </c>
      <c r="G1030" s="8">
        <f t="shared" si="99"/>
        <v>2552.4</v>
      </c>
      <c r="H1030" s="8">
        <f t="shared" si="100"/>
        <v>467.94</v>
      </c>
      <c r="I1030" s="10">
        <f t="shared" si="101"/>
        <v>2084.46</v>
      </c>
    </row>
    <row r="1031" spans="1:9" x14ac:dyDescent="0.25">
      <c r="A1031" s="6">
        <v>1449</v>
      </c>
      <c r="B1031" s="5" t="str">
        <f>VLOOKUP(A1031, EmployeeMaster!$A:$D, 3, FALSE)</f>
        <v>Research &amp; Development</v>
      </c>
      <c r="C1031" s="8">
        <v>3975</v>
      </c>
      <c r="D1031" s="8">
        <f t="shared" si="96"/>
        <v>795</v>
      </c>
      <c r="E1031" s="8">
        <f t="shared" si="97"/>
        <v>477</v>
      </c>
      <c r="F1031" s="8">
        <f t="shared" si="98"/>
        <v>397.5</v>
      </c>
      <c r="G1031" s="8">
        <f t="shared" si="99"/>
        <v>4770</v>
      </c>
      <c r="H1031" s="8">
        <f t="shared" si="100"/>
        <v>874.5</v>
      </c>
      <c r="I1031" s="10">
        <f t="shared" si="101"/>
        <v>3895.5</v>
      </c>
    </row>
    <row r="1032" spans="1:9" x14ac:dyDescent="0.25">
      <c r="A1032" s="6">
        <v>1453</v>
      </c>
      <c r="B1032" s="5" t="str">
        <f>VLOOKUP(A1032, EmployeeMaster!$A:$D, 3, FALSE)</f>
        <v>Sales</v>
      </c>
      <c r="C1032" s="8">
        <v>10793</v>
      </c>
      <c r="D1032" s="8">
        <f t="shared" si="96"/>
        <v>2158.6</v>
      </c>
      <c r="E1032" s="8">
        <f t="shared" si="97"/>
        <v>1295.1599999999999</v>
      </c>
      <c r="F1032" s="8">
        <f t="shared" si="98"/>
        <v>1079.3</v>
      </c>
      <c r="G1032" s="8">
        <f t="shared" si="99"/>
        <v>12951.6</v>
      </c>
      <c r="H1032" s="8">
        <f t="shared" si="100"/>
        <v>2374.46</v>
      </c>
      <c r="I1032" s="10">
        <f t="shared" si="101"/>
        <v>10577.14</v>
      </c>
    </row>
    <row r="1033" spans="1:9" x14ac:dyDescent="0.25">
      <c r="A1033" s="6">
        <v>1457</v>
      </c>
      <c r="B1033" s="5" t="str">
        <f>VLOOKUP(A1033, EmployeeMaster!$A:$D, 3, FALSE)</f>
        <v>Sales</v>
      </c>
      <c r="C1033" s="8">
        <v>10096</v>
      </c>
      <c r="D1033" s="8">
        <f t="shared" si="96"/>
        <v>2019.2</v>
      </c>
      <c r="E1033" s="8">
        <f t="shared" si="97"/>
        <v>1211.52</v>
      </c>
      <c r="F1033" s="8">
        <f t="shared" si="98"/>
        <v>1009.6</v>
      </c>
      <c r="G1033" s="8">
        <f t="shared" si="99"/>
        <v>12115.2</v>
      </c>
      <c r="H1033" s="8">
        <f t="shared" si="100"/>
        <v>2221.12</v>
      </c>
      <c r="I1033" s="10">
        <f t="shared" si="101"/>
        <v>9894.0800000000017</v>
      </c>
    </row>
    <row r="1034" spans="1:9" x14ac:dyDescent="0.25">
      <c r="A1034" s="6">
        <v>1458</v>
      </c>
      <c r="B1034" s="5" t="str">
        <f>VLOOKUP(A1034, EmployeeMaster!$A:$D, 3, FALSE)</f>
        <v>Research &amp; Development</v>
      </c>
      <c r="C1034" s="8">
        <v>3646</v>
      </c>
      <c r="D1034" s="8">
        <f t="shared" si="96"/>
        <v>729.2</v>
      </c>
      <c r="E1034" s="8">
        <f t="shared" si="97"/>
        <v>437.52</v>
      </c>
      <c r="F1034" s="8">
        <f t="shared" si="98"/>
        <v>364.6</v>
      </c>
      <c r="G1034" s="8">
        <f t="shared" si="99"/>
        <v>4375.2</v>
      </c>
      <c r="H1034" s="8">
        <f t="shared" si="100"/>
        <v>802.12</v>
      </c>
      <c r="I1034" s="10">
        <f t="shared" si="101"/>
        <v>3573.08</v>
      </c>
    </row>
    <row r="1035" spans="1:9" x14ac:dyDescent="0.25">
      <c r="A1035" s="6">
        <v>1459</v>
      </c>
      <c r="B1035" s="5" t="str">
        <f>VLOOKUP(A1035, EmployeeMaster!$A:$D, 3, FALSE)</f>
        <v>Research &amp; Development</v>
      </c>
      <c r="C1035" s="8">
        <v>7446</v>
      </c>
      <c r="D1035" s="8">
        <f t="shared" si="96"/>
        <v>1489.2</v>
      </c>
      <c r="E1035" s="8">
        <f t="shared" si="97"/>
        <v>893.52</v>
      </c>
      <c r="F1035" s="8">
        <f t="shared" si="98"/>
        <v>744.6</v>
      </c>
      <c r="G1035" s="8">
        <f t="shared" si="99"/>
        <v>8935.2000000000007</v>
      </c>
      <c r="H1035" s="8">
        <f t="shared" si="100"/>
        <v>1638.12</v>
      </c>
      <c r="I1035" s="10">
        <f t="shared" si="101"/>
        <v>7297.0800000000008</v>
      </c>
    </row>
    <row r="1036" spans="1:9" x14ac:dyDescent="0.25">
      <c r="A1036" s="6">
        <v>1460</v>
      </c>
      <c r="B1036" s="5" t="str">
        <f>VLOOKUP(A1036, EmployeeMaster!$A:$D, 3, FALSE)</f>
        <v>Research &amp; Development</v>
      </c>
      <c r="C1036" s="8">
        <v>10851</v>
      </c>
      <c r="D1036" s="8">
        <f t="shared" si="96"/>
        <v>2170.2000000000003</v>
      </c>
      <c r="E1036" s="8">
        <f t="shared" si="97"/>
        <v>1302.1199999999999</v>
      </c>
      <c r="F1036" s="8">
        <f t="shared" si="98"/>
        <v>1085.1000000000001</v>
      </c>
      <c r="G1036" s="8">
        <f t="shared" si="99"/>
        <v>13021.2</v>
      </c>
      <c r="H1036" s="8">
        <f t="shared" si="100"/>
        <v>2387.2200000000003</v>
      </c>
      <c r="I1036" s="10">
        <f t="shared" si="101"/>
        <v>10633.98</v>
      </c>
    </row>
    <row r="1037" spans="1:9" x14ac:dyDescent="0.25">
      <c r="A1037" s="6">
        <v>1461</v>
      </c>
      <c r="B1037" s="5" t="str">
        <f>VLOOKUP(A1037, EmployeeMaster!$A:$D, 3, FALSE)</f>
        <v>Human Resources</v>
      </c>
      <c r="C1037" s="8">
        <v>2109</v>
      </c>
      <c r="D1037" s="8">
        <f t="shared" si="96"/>
        <v>421.8</v>
      </c>
      <c r="E1037" s="8">
        <f t="shared" si="97"/>
        <v>253.07999999999998</v>
      </c>
      <c r="F1037" s="8">
        <f t="shared" si="98"/>
        <v>210.9</v>
      </c>
      <c r="G1037" s="8">
        <f t="shared" si="99"/>
        <v>2530.8000000000002</v>
      </c>
      <c r="H1037" s="8">
        <f t="shared" si="100"/>
        <v>463.98</v>
      </c>
      <c r="I1037" s="10">
        <f t="shared" si="101"/>
        <v>2066.8200000000002</v>
      </c>
    </row>
    <row r="1038" spans="1:9" x14ac:dyDescent="0.25">
      <c r="A1038" s="6">
        <v>1464</v>
      </c>
      <c r="B1038" s="5" t="str">
        <f>VLOOKUP(A1038, EmployeeMaster!$A:$D, 3, FALSE)</f>
        <v>Research &amp; Development</v>
      </c>
      <c r="C1038" s="8">
        <v>3722</v>
      </c>
      <c r="D1038" s="8">
        <f t="shared" si="96"/>
        <v>744.40000000000009</v>
      </c>
      <c r="E1038" s="8">
        <f t="shared" si="97"/>
        <v>446.64</v>
      </c>
      <c r="F1038" s="8">
        <f t="shared" si="98"/>
        <v>372.20000000000005</v>
      </c>
      <c r="G1038" s="8">
        <f t="shared" si="99"/>
        <v>4466.3999999999996</v>
      </c>
      <c r="H1038" s="8">
        <f t="shared" si="100"/>
        <v>818.84</v>
      </c>
      <c r="I1038" s="10">
        <f t="shared" si="101"/>
        <v>3647.5599999999995</v>
      </c>
    </row>
    <row r="1039" spans="1:9" x14ac:dyDescent="0.25">
      <c r="A1039" s="6">
        <v>1465</v>
      </c>
      <c r="B1039" s="5" t="str">
        <f>VLOOKUP(A1039, EmployeeMaster!$A:$D, 3, FALSE)</f>
        <v>Research &amp; Development</v>
      </c>
      <c r="C1039" s="8">
        <v>9380</v>
      </c>
      <c r="D1039" s="8">
        <f t="shared" si="96"/>
        <v>1876</v>
      </c>
      <c r="E1039" s="8">
        <f t="shared" si="97"/>
        <v>1125.5999999999999</v>
      </c>
      <c r="F1039" s="8">
        <f t="shared" si="98"/>
        <v>938</v>
      </c>
      <c r="G1039" s="8">
        <f t="shared" si="99"/>
        <v>11256</v>
      </c>
      <c r="H1039" s="8">
        <f t="shared" si="100"/>
        <v>2063.6</v>
      </c>
      <c r="I1039" s="10">
        <f t="shared" si="101"/>
        <v>9192.4</v>
      </c>
    </row>
    <row r="1040" spans="1:9" x14ac:dyDescent="0.25">
      <c r="A1040" s="6">
        <v>1466</v>
      </c>
      <c r="B1040" s="5" t="str">
        <f>VLOOKUP(A1040, EmployeeMaster!$A:$D, 3, FALSE)</f>
        <v>Sales</v>
      </c>
      <c r="C1040" s="8">
        <v>5486</v>
      </c>
      <c r="D1040" s="8">
        <f t="shared" si="96"/>
        <v>1097.2</v>
      </c>
      <c r="E1040" s="8">
        <f t="shared" si="97"/>
        <v>658.31999999999994</v>
      </c>
      <c r="F1040" s="8">
        <f t="shared" si="98"/>
        <v>548.6</v>
      </c>
      <c r="G1040" s="8">
        <f t="shared" si="99"/>
        <v>6583.2</v>
      </c>
      <c r="H1040" s="8">
        <f t="shared" si="100"/>
        <v>1206.92</v>
      </c>
      <c r="I1040" s="10">
        <f t="shared" si="101"/>
        <v>5376.28</v>
      </c>
    </row>
    <row r="1041" spans="1:9" x14ac:dyDescent="0.25">
      <c r="A1041" s="6">
        <v>1467</v>
      </c>
      <c r="B1041" s="5" t="str">
        <f>VLOOKUP(A1041, EmployeeMaster!$A:$D, 3, FALSE)</f>
        <v>Human Resources</v>
      </c>
      <c r="C1041" s="8">
        <v>2742</v>
      </c>
      <c r="D1041" s="8">
        <f t="shared" si="96"/>
        <v>548.4</v>
      </c>
      <c r="E1041" s="8">
        <f t="shared" si="97"/>
        <v>329.03999999999996</v>
      </c>
      <c r="F1041" s="8">
        <f t="shared" si="98"/>
        <v>274.2</v>
      </c>
      <c r="G1041" s="8">
        <f t="shared" si="99"/>
        <v>3290.4</v>
      </c>
      <c r="H1041" s="8">
        <f t="shared" si="100"/>
        <v>603.24</v>
      </c>
      <c r="I1041" s="10">
        <f t="shared" si="101"/>
        <v>2687.16</v>
      </c>
    </row>
    <row r="1042" spans="1:9" x14ac:dyDescent="0.25">
      <c r="A1042" s="6">
        <v>1468</v>
      </c>
      <c r="B1042" s="5" t="str">
        <f>VLOOKUP(A1042, EmployeeMaster!$A:$D, 3, FALSE)</f>
        <v>Research &amp; Development</v>
      </c>
      <c r="C1042" s="8">
        <v>13757</v>
      </c>
      <c r="D1042" s="8">
        <f t="shared" si="96"/>
        <v>2751.4</v>
      </c>
      <c r="E1042" s="8">
        <f t="shared" si="97"/>
        <v>1650.84</v>
      </c>
      <c r="F1042" s="8">
        <f t="shared" si="98"/>
        <v>1375.7</v>
      </c>
      <c r="G1042" s="8">
        <f t="shared" si="99"/>
        <v>16508.400000000001</v>
      </c>
      <c r="H1042" s="8">
        <f t="shared" si="100"/>
        <v>3026.54</v>
      </c>
      <c r="I1042" s="10">
        <f t="shared" si="101"/>
        <v>13481.86</v>
      </c>
    </row>
    <row r="1043" spans="1:9" x14ac:dyDescent="0.25">
      <c r="A1043" s="6">
        <v>1469</v>
      </c>
      <c r="B1043" s="5" t="str">
        <f>VLOOKUP(A1043, EmployeeMaster!$A:$D, 3, FALSE)</f>
        <v>Sales</v>
      </c>
      <c r="C1043" s="8">
        <v>8463</v>
      </c>
      <c r="D1043" s="8">
        <f t="shared" si="96"/>
        <v>1692.6000000000001</v>
      </c>
      <c r="E1043" s="8">
        <f t="shared" si="97"/>
        <v>1015.56</v>
      </c>
      <c r="F1043" s="8">
        <f t="shared" si="98"/>
        <v>846.30000000000007</v>
      </c>
      <c r="G1043" s="8">
        <f t="shared" si="99"/>
        <v>10155.6</v>
      </c>
      <c r="H1043" s="8">
        <f t="shared" si="100"/>
        <v>1861.8600000000001</v>
      </c>
      <c r="I1043" s="10">
        <f t="shared" si="101"/>
        <v>8293.74</v>
      </c>
    </row>
    <row r="1044" spans="1:9" x14ac:dyDescent="0.25">
      <c r="A1044" s="6">
        <v>1471</v>
      </c>
      <c r="B1044" s="5" t="str">
        <f>VLOOKUP(A1044, EmployeeMaster!$A:$D, 3, FALSE)</f>
        <v>Research &amp; Development</v>
      </c>
      <c r="C1044" s="8">
        <v>3162</v>
      </c>
      <c r="D1044" s="8">
        <f t="shared" si="96"/>
        <v>632.40000000000009</v>
      </c>
      <c r="E1044" s="8">
        <f t="shared" si="97"/>
        <v>379.44</v>
      </c>
      <c r="F1044" s="8">
        <f t="shared" si="98"/>
        <v>316.20000000000005</v>
      </c>
      <c r="G1044" s="8">
        <f t="shared" si="99"/>
        <v>3794.4</v>
      </c>
      <c r="H1044" s="8">
        <f t="shared" si="100"/>
        <v>695.6400000000001</v>
      </c>
      <c r="I1044" s="10">
        <f t="shared" si="101"/>
        <v>3098.76</v>
      </c>
    </row>
    <row r="1045" spans="1:9" x14ac:dyDescent="0.25">
      <c r="A1045" s="6">
        <v>1472</v>
      </c>
      <c r="B1045" s="5" t="str">
        <f>VLOOKUP(A1045, EmployeeMaster!$A:$D, 3, FALSE)</f>
        <v>Research &amp; Development</v>
      </c>
      <c r="C1045" s="8">
        <v>16598</v>
      </c>
      <c r="D1045" s="8">
        <f t="shared" si="96"/>
        <v>3319.6000000000004</v>
      </c>
      <c r="E1045" s="8">
        <f t="shared" si="97"/>
        <v>1991.76</v>
      </c>
      <c r="F1045" s="8">
        <f t="shared" si="98"/>
        <v>1659.8000000000002</v>
      </c>
      <c r="G1045" s="8">
        <f t="shared" si="99"/>
        <v>19917.599999999999</v>
      </c>
      <c r="H1045" s="8">
        <f t="shared" si="100"/>
        <v>3651.5600000000004</v>
      </c>
      <c r="I1045" s="10">
        <f t="shared" si="101"/>
        <v>16266.039999999997</v>
      </c>
    </row>
    <row r="1046" spans="1:9" x14ac:dyDescent="0.25">
      <c r="A1046" s="6">
        <v>1473</v>
      </c>
      <c r="B1046" s="5" t="str">
        <f>VLOOKUP(A1046, EmployeeMaster!$A:$D, 3, FALSE)</f>
        <v>Research &amp; Development</v>
      </c>
      <c r="C1046" s="8">
        <v>6651</v>
      </c>
      <c r="D1046" s="8">
        <f t="shared" si="96"/>
        <v>1330.2</v>
      </c>
      <c r="E1046" s="8">
        <f t="shared" si="97"/>
        <v>798.12</v>
      </c>
      <c r="F1046" s="8">
        <f t="shared" si="98"/>
        <v>665.1</v>
      </c>
      <c r="G1046" s="8">
        <f t="shared" si="99"/>
        <v>7981.2</v>
      </c>
      <c r="H1046" s="8">
        <f t="shared" si="100"/>
        <v>1463.22</v>
      </c>
      <c r="I1046" s="10">
        <f t="shared" si="101"/>
        <v>6517.98</v>
      </c>
    </row>
    <row r="1047" spans="1:9" x14ac:dyDescent="0.25">
      <c r="A1047" s="6">
        <v>1474</v>
      </c>
      <c r="B1047" s="5" t="str">
        <f>VLOOKUP(A1047, EmployeeMaster!$A:$D, 3, FALSE)</f>
        <v>Research &amp; Development</v>
      </c>
      <c r="C1047" s="8">
        <v>2345</v>
      </c>
      <c r="D1047" s="8">
        <f t="shared" si="96"/>
        <v>469</v>
      </c>
      <c r="E1047" s="8">
        <f t="shared" si="97"/>
        <v>281.39999999999998</v>
      </c>
      <c r="F1047" s="8">
        <f t="shared" si="98"/>
        <v>234.5</v>
      </c>
      <c r="G1047" s="8">
        <f t="shared" si="99"/>
        <v>2814</v>
      </c>
      <c r="H1047" s="8">
        <f t="shared" si="100"/>
        <v>515.9</v>
      </c>
      <c r="I1047" s="10">
        <f t="shared" si="101"/>
        <v>2298.1</v>
      </c>
    </row>
    <row r="1048" spans="1:9" x14ac:dyDescent="0.25">
      <c r="A1048" s="6">
        <v>1475</v>
      </c>
      <c r="B1048" s="5" t="str">
        <f>VLOOKUP(A1048, EmployeeMaster!$A:$D, 3, FALSE)</f>
        <v>Research &amp; Development</v>
      </c>
      <c r="C1048" s="8">
        <v>3420</v>
      </c>
      <c r="D1048" s="8">
        <f t="shared" si="96"/>
        <v>684</v>
      </c>
      <c r="E1048" s="8">
        <f t="shared" si="97"/>
        <v>410.4</v>
      </c>
      <c r="F1048" s="8">
        <f t="shared" si="98"/>
        <v>342</v>
      </c>
      <c r="G1048" s="8">
        <f t="shared" si="99"/>
        <v>4104</v>
      </c>
      <c r="H1048" s="8">
        <f t="shared" si="100"/>
        <v>752.4</v>
      </c>
      <c r="I1048" s="10">
        <f t="shared" si="101"/>
        <v>3351.6</v>
      </c>
    </row>
    <row r="1049" spans="1:9" x14ac:dyDescent="0.25">
      <c r="A1049" s="6">
        <v>1477</v>
      </c>
      <c r="B1049" s="5" t="str">
        <f>VLOOKUP(A1049, EmployeeMaster!$A:$D, 3, FALSE)</f>
        <v>Sales</v>
      </c>
      <c r="C1049" s="8">
        <v>4373</v>
      </c>
      <c r="D1049" s="8">
        <f t="shared" si="96"/>
        <v>874.6</v>
      </c>
      <c r="E1049" s="8">
        <f t="shared" si="97"/>
        <v>524.76</v>
      </c>
      <c r="F1049" s="8">
        <f t="shared" si="98"/>
        <v>437.3</v>
      </c>
      <c r="G1049" s="8">
        <f t="shared" si="99"/>
        <v>5247.6</v>
      </c>
      <c r="H1049" s="8">
        <f t="shared" si="100"/>
        <v>962.06</v>
      </c>
      <c r="I1049" s="10">
        <f t="shared" si="101"/>
        <v>4285.5400000000009</v>
      </c>
    </row>
    <row r="1050" spans="1:9" x14ac:dyDescent="0.25">
      <c r="A1050" s="6">
        <v>1478</v>
      </c>
      <c r="B1050" s="5" t="str">
        <f>VLOOKUP(A1050, EmployeeMaster!$A:$D, 3, FALSE)</f>
        <v>Sales</v>
      </c>
      <c r="C1050" s="8">
        <v>4759</v>
      </c>
      <c r="D1050" s="8">
        <f t="shared" si="96"/>
        <v>951.80000000000007</v>
      </c>
      <c r="E1050" s="8">
        <f t="shared" si="97"/>
        <v>571.07999999999993</v>
      </c>
      <c r="F1050" s="8">
        <f t="shared" si="98"/>
        <v>475.90000000000003</v>
      </c>
      <c r="G1050" s="8">
        <f t="shared" si="99"/>
        <v>5710.8</v>
      </c>
      <c r="H1050" s="8">
        <f t="shared" si="100"/>
        <v>1046.98</v>
      </c>
      <c r="I1050" s="10">
        <f t="shared" si="101"/>
        <v>4663.82</v>
      </c>
    </row>
    <row r="1051" spans="1:9" x14ac:dyDescent="0.25">
      <c r="A1051" s="6">
        <v>1479</v>
      </c>
      <c r="B1051" s="5" t="str">
        <f>VLOOKUP(A1051, EmployeeMaster!$A:$D, 3, FALSE)</f>
        <v>Sales</v>
      </c>
      <c r="C1051" s="8">
        <v>5301</v>
      </c>
      <c r="D1051" s="8">
        <f t="shared" si="96"/>
        <v>1060.2</v>
      </c>
      <c r="E1051" s="8">
        <f t="shared" si="97"/>
        <v>636.12</v>
      </c>
      <c r="F1051" s="8">
        <f t="shared" si="98"/>
        <v>530.1</v>
      </c>
      <c r="G1051" s="8">
        <f t="shared" si="99"/>
        <v>6361.2</v>
      </c>
      <c r="H1051" s="8">
        <f t="shared" si="100"/>
        <v>1166.22</v>
      </c>
      <c r="I1051" s="10">
        <f t="shared" si="101"/>
        <v>5194.9799999999996</v>
      </c>
    </row>
    <row r="1052" spans="1:9" x14ac:dyDescent="0.25">
      <c r="A1052" s="6">
        <v>1480</v>
      </c>
      <c r="B1052" s="5" t="str">
        <f>VLOOKUP(A1052, EmployeeMaster!$A:$D, 3, FALSE)</f>
        <v>Research &amp; Development</v>
      </c>
      <c r="C1052" s="8">
        <v>3673</v>
      </c>
      <c r="D1052" s="8">
        <f t="shared" si="96"/>
        <v>734.6</v>
      </c>
      <c r="E1052" s="8">
        <f t="shared" si="97"/>
        <v>440.76</v>
      </c>
      <c r="F1052" s="8">
        <f t="shared" si="98"/>
        <v>367.3</v>
      </c>
      <c r="G1052" s="8">
        <f t="shared" si="99"/>
        <v>4407.6000000000004</v>
      </c>
      <c r="H1052" s="8">
        <f t="shared" si="100"/>
        <v>808.06</v>
      </c>
      <c r="I1052" s="10">
        <f t="shared" si="101"/>
        <v>3599.5400000000004</v>
      </c>
    </row>
    <row r="1053" spans="1:9" x14ac:dyDescent="0.25">
      <c r="A1053" s="6">
        <v>1481</v>
      </c>
      <c r="B1053" s="5" t="str">
        <f>VLOOKUP(A1053, EmployeeMaster!$A:$D, 3, FALSE)</f>
        <v>Sales</v>
      </c>
      <c r="C1053" s="8">
        <v>4768</v>
      </c>
      <c r="D1053" s="8">
        <f t="shared" si="96"/>
        <v>953.6</v>
      </c>
      <c r="E1053" s="8">
        <f t="shared" si="97"/>
        <v>572.16</v>
      </c>
      <c r="F1053" s="8">
        <f t="shared" si="98"/>
        <v>476.8</v>
      </c>
      <c r="G1053" s="8">
        <f t="shared" si="99"/>
        <v>5721.6</v>
      </c>
      <c r="H1053" s="8">
        <f t="shared" si="100"/>
        <v>1048.96</v>
      </c>
      <c r="I1053" s="10">
        <f t="shared" si="101"/>
        <v>4672.6400000000003</v>
      </c>
    </row>
    <row r="1054" spans="1:9" x14ac:dyDescent="0.25">
      <c r="A1054" s="6">
        <v>1482</v>
      </c>
      <c r="B1054" s="5" t="str">
        <f>VLOOKUP(A1054, EmployeeMaster!$A:$D, 3, FALSE)</f>
        <v>Research &amp; Development</v>
      </c>
      <c r="C1054" s="8">
        <v>1274</v>
      </c>
      <c r="D1054" s="8">
        <f t="shared" si="96"/>
        <v>254.8</v>
      </c>
      <c r="E1054" s="8">
        <f t="shared" si="97"/>
        <v>152.88</v>
      </c>
      <c r="F1054" s="8">
        <f t="shared" si="98"/>
        <v>127.4</v>
      </c>
      <c r="G1054" s="8">
        <f t="shared" si="99"/>
        <v>1528.8</v>
      </c>
      <c r="H1054" s="8">
        <f t="shared" si="100"/>
        <v>280.27999999999997</v>
      </c>
      <c r="I1054" s="10">
        <f t="shared" si="101"/>
        <v>1248.52</v>
      </c>
    </row>
    <row r="1055" spans="1:9" x14ac:dyDescent="0.25">
      <c r="A1055" s="6">
        <v>1483</v>
      </c>
      <c r="B1055" s="5" t="str">
        <f>VLOOKUP(A1055, EmployeeMaster!$A:$D, 3, FALSE)</f>
        <v>Research &amp; Development</v>
      </c>
      <c r="C1055" s="8">
        <v>4900</v>
      </c>
      <c r="D1055" s="8">
        <f t="shared" si="96"/>
        <v>980</v>
      </c>
      <c r="E1055" s="8">
        <f t="shared" si="97"/>
        <v>588</v>
      </c>
      <c r="F1055" s="8">
        <f t="shared" si="98"/>
        <v>490</v>
      </c>
      <c r="G1055" s="8">
        <f t="shared" si="99"/>
        <v>5880</v>
      </c>
      <c r="H1055" s="8">
        <f t="shared" si="100"/>
        <v>1078</v>
      </c>
      <c r="I1055" s="10">
        <f t="shared" si="101"/>
        <v>4802</v>
      </c>
    </row>
    <row r="1056" spans="1:9" x14ac:dyDescent="0.25">
      <c r="A1056" s="6">
        <v>1484</v>
      </c>
      <c r="B1056" s="5" t="str">
        <f>VLOOKUP(A1056, EmployeeMaster!$A:$D, 3, FALSE)</f>
        <v>Research &amp; Development</v>
      </c>
      <c r="C1056" s="8">
        <v>10466</v>
      </c>
      <c r="D1056" s="8">
        <f t="shared" si="96"/>
        <v>2093.2000000000003</v>
      </c>
      <c r="E1056" s="8">
        <f t="shared" si="97"/>
        <v>1255.9199999999998</v>
      </c>
      <c r="F1056" s="8">
        <f t="shared" si="98"/>
        <v>1046.6000000000001</v>
      </c>
      <c r="G1056" s="8">
        <f t="shared" si="99"/>
        <v>12559.2</v>
      </c>
      <c r="H1056" s="8">
        <f t="shared" si="100"/>
        <v>2302.52</v>
      </c>
      <c r="I1056" s="10">
        <f t="shared" si="101"/>
        <v>10256.68</v>
      </c>
    </row>
    <row r="1057" spans="1:9" x14ac:dyDescent="0.25">
      <c r="A1057" s="6">
        <v>1485</v>
      </c>
      <c r="B1057" s="5" t="str">
        <f>VLOOKUP(A1057, EmployeeMaster!$A:$D, 3, FALSE)</f>
        <v>Research &amp; Development</v>
      </c>
      <c r="C1057" s="8">
        <v>17007</v>
      </c>
      <c r="D1057" s="8">
        <f t="shared" si="96"/>
        <v>3401.4</v>
      </c>
      <c r="E1057" s="8">
        <f t="shared" si="97"/>
        <v>2040.84</v>
      </c>
      <c r="F1057" s="8">
        <f t="shared" si="98"/>
        <v>1700.7</v>
      </c>
      <c r="G1057" s="8">
        <f t="shared" si="99"/>
        <v>20408.400000000001</v>
      </c>
      <c r="H1057" s="8">
        <f t="shared" si="100"/>
        <v>3741.54</v>
      </c>
      <c r="I1057" s="10">
        <f t="shared" si="101"/>
        <v>16666.86</v>
      </c>
    </row>
    <row r="1058" spans="1:9" x14ac:dyDescent="0.25">
      <c r="A1058" s="6">
        <v>1486</v>
      </c>
      <c r="B1058" s="5" t="str">
        <f>VLOOKUP(A1058, EmployeeMaster!$A:$D, 3, FALSE)</f>
        <v>Sales</v>
      </c>
      <c r="C1058" s="8">
        <v>2909</v>
      </c>
      <c r="D1058" s="8">
        <f t="shared" si="96"/>
        <v>581.80000000000007</v>
      </c>
      <c r="E1058" s="8">
        <f t="shared" si="97"/>
        <v>349.08</v>
      </c>
      <c r="F1058" s="8">
        <f t="shared" si="98"/>
        <v>290.90000000000003</v>
      </c>
      <c r="G1058" s="8">
        <f t="shared" si="99"/>
        <v>3490.8</v>
      </c>
      <c r="H1058" s="8">
        <f t="shared" si="100"/>
        <v>639.98</v>
      </c>
      <c r="I1058" s="10">
        <f t="shared" si="101"/>
        <v>2850.82</v>
      </c>
    </row>
    <row r="1059" spans="1:9" x14ac:dyDescent="0.25">
      <c r="A1059" s="6">
        <v>1487</v>
      </c>
      <c r="B1059" s="5" t="str">
        <f>VLOOKUP(A1059, EmployeeMaster!$A:$D, 3, FALSE)</f>
        <v>Sales</v>
      </c>
      <c r="C1059" s="8">
        <v>5765</v>
      </c>
      <c r="D1059" s="8">
        <f t="shared" si="96"/>
        <v>1153</v>
      </c>
      <c r="E1059" s="8">
        <f t="shared" si="97"/>
        <v>691.8</v>
      </c>
      <c r="F1059" s="8">
        <f t="shared" si="98"/>
        <v>576.5</v>
      </c>
      <c r="G1059" s="8">
        <f t="shared" si="99"/>
        <v>6918</v>
      </c>
      <c r="H1059" s="8">
        <f t="shared" si="100"/>
        <v>1268.3</v>
      </c>
      <c r="I1059" s="10">
        <f t="shared" si="101"/>
        <v>5649.7</v>
      </c>
    </row>
    <row r="1060" spans="1:9" x14ac:dyDescent="0.25">
      <c r="A1060" s="6">
        <v>1489</v>
      </c>
      <c r="B1060" s="5" t="str">
        <f>VLOOKUP(A1060, EmployeeMaster!$A:$D, 3, FALSE)</f>
        <v>Sales</v>
      </c>
      <c r="C1060" s="8">
        <v>4599</v>
      </c>
      <c r="D1060" s="8">
        <f t="shared" si="96"/>
        <v>919.80000000000007</v>
      </c>
      <c r="E1060" s="8">
        <f t="shared" si="97"/>
        <v>551.88</v>
      </c>
      <c r="F1060" s="8">
        <f t="shared" si="98"/>
        <v>459.90000000000003</v>
      </c>
      <c r="G1060" s="8">
        <f t="shared" si="99"/>
        <v>5518.8</v>
      </c>
      <c r="H1060" s="8">
        <f t="shared" si="100"/>
        <v>1011.78</v>
      </c>
      <c r="I1060" s="10">
        <f t="shared" si="101"/>
        <v>4507.0200000000004</v>
      </c>
    </row>
    <row r="1061" spans="1:9" x14ac:dyDescent="0.25">
      <c r="A1061" s="6">
        <v>1492</v>
      </c>
      <c r="B1061" s="5" t="str">
        <f>VLOOKUP(A1061, EmployeeMaster!$A:$D, 3, FALSE)</f>
        <v>Sales</v>
      </c>
      <c r="C1061" s="8">
        <v>2404</v>
      </c>
      <c r="D1061" s="8">
        <f t="shared" si="96"/>
        <v>480.8</v>
      </c>
      <c r="E1061" s="8">
        <f t="shared" si="97"/>
        <v>288.47999999999996</v>
      </c>
      <c r="F1061" s="8">
        <f t="shared" si="98"/>
        <v>240.4</v>
      </c>
      <c r="G1061" s="8">
        <f t="shared" si="99"/>
        <v>2884.8</v>
      </c>
      <c r="H1061" s="8">
        <f t="shared" si="100"/>
        <v>528.88</v>
      </c>
      <c r="I1061" s="10">
        <f t="shared" si="101"/>
        <v>2355.92</v>
      </c>
    </row>
    <row r="1062" spans="1:9" x14ac:dyDescent="0.25">
      <c r="A1062" s="6">
        <v>1494</v>
      </c>
      <c r="B1062" s="5" t="str">
        <f>VLOOKUP(A1062, EmployeeMaster!$A:$D, 3, FALSE)</f>
        <v>Research &amp; Development</v>
      </c>
      <c r="C1062" s="8">
        <v>3172</v>
      </c>
      <c r="D1062" s="8">
        <f t="shared" si="96"/>
        <v>634.40000000000009</v>
      </c>
      <c r="E1062" s="8">
        <f t="shared" si="97"/>
        <v>380.64</v>
      </c>
      <c r="F1062" s="8">
        <f t="shared" si="98"/>
        <v>317.20000000000005</v>
      </c>
      <c r="G1062" s="8">
        <f t="shared" si="99"/>
        <v>3806.4</v>
      </c>
      <c r="H1062" s="8">
        <f t="shared" si="100"/>
        <v>697.84</v>
      </c>
      <c r="I1062" s="10">
        <f t="shared" si="101"/>
        <v>3108.56</v>
      </c>
    </row>
    <row r="1063" spans="1:9" x14ac:dyDescent="0.25">
      <c r="A1063" s="6">
        <v>1495</v>
      </c>
      <c r="B1063" s="5" t="str">
        <f>VLOOKUP(A1063, EmployeeMaster!$A:$D, 3, FALSE)</f>
        <v>Sales</v>
      </c>
      <c r="C1063" s="8">
        <v>2033</v>
      </c>
      <c r="D1063" s="8">
        <f t="shared" si="96"/>
        <v>406.6</v>
      </c>
      <c r="E1063" s="8">
        <f t="shared" si="97"/>
        <v>243.95999999999998</v>
      </c>
      <c r="F1063" s="8">
        <f t="shared" si="98"/>
        <v>203.3</v>
      </c>
      <c r="G1063" s="8">
        <f t="shared" si="99"/>
        <v>2439.6</v>
      </c>
      <c r="H1063" s="8">
        <f t="shared" si="100"/>
        <v>447.26</v>
      </c>
      <c r="I1063" s="10">
        <f t="shared" si="101"/>
        <v>1992.34</v>
      </c>
    </row>
    <row r="1064" spans="1:9" x14ac:dyDescent="0.25">
      <c r="A1064" s="6">
        <v>1496</v>
      </c>
      <c r="B1064" s="5" t="str">
        <f>VLOOKUP(A1064, EmployeeMaster!$A:$D, 3, FALSE)</f>
        <v>Research &amp; Development</v>
      </c>
      <c r="C1064" s="8">
        <v>10209</v>
      </c>
      <c r="D1064" s="8">
        <f t="shared" si="96"/>
        <v>2041.8000000000002</v>
      </c>
      <c r="E1064" s="8">
        <f t="shared" si="97"/>
        <v>1225.08</v>
      </c>
      <c r="F1064" s="8">
        <f t="shared" si="98"/>
        <v>1020.9000000000001</v>
      </c>
      <c r="G1064" s="8">
        <f t="shared" si="99"/>
        <v>12250.8</v>
      </c>
      <c r="H1064" s="8">
        <f t="shared" si="100"/>
        <v>2245.98</v>
      </c>
      <c r="I1064" s="10">
        <f t="shared" si="101"/>
        <v>10004.82</v>
      </c>
    </row>
    <row r="1065" spans="1:9" x14ac:dyDescent="0.25">
      <c r="A1065" s="6">
        <v>1497</v>
      </c>
      <c r="B1065" s="5" t="str">
        <f>VLOOKUP(A1065, EmployeeMaster!$A:$D, 3, FALSE)</f>
        <v>Sales</v>
      </c>
      <c r="C1065" s="8">
        <v>8620</v>
      </c>
      <c r="D1065" s="8">
        <f t="shared" si="96"/>
        <v>1724</v>
      </c>
      <c r="E1065" s="8">
        <f t="shared" si="97"/>
        <v>1034.3999999999999</v>
      </c>
      <c r="F1065" s="8">
        <f t="shared" si="98"/>
        <v>862</v>
      </c>
      <c r="G1065" s="8">
        <f t="shared" si="99"/>
        <v>10344</v>
      </c>
      <c r="H1065" s="8">
        <f t="shared" si="100"/>
        <v>1896.3999999999999</v>
      </c>
      <c r="I1065" s="10">
        <f t="shared" si="101"/>
        <v>8447.6</v>
      </c>
    </row>
    <row r="1066" spans="1:9" x14ac:dyDescent="0.25">
      <c r="A1066" s="6">
        <v>1499</v>
      </c>
      <c r="B1066" s="5" t="str">
        <f>VLOOKUP(A1066, EmployeeMaster!$A:$D, 3, FALSE)</f>
        <v>Human Resources</v>
      </c>
      <c r="C1066" s="8">
        <v>2064</v>
      </c>
      <c r="D1066" s="8">
        <f t="shared" si="96"/>
        <v>412.8</v>
      </c>
      <c r="E1066" s="8">
        <f t="shared" si="97"/>
        <v>247.67999999999998</v>
      </c>
      <c r="F1066" s="8">
        <f t="shared" si="98"/>
        <v>206.4</v>
      </c>
      <c r="G1066" s="8">
        <f t="shared" si="99"/>
        <v>2476.8000000000002</v>
      </c>
      <c r="H1066" s="8">
        <f t="shared" si="100"/>
        <v>454.08</v>
      </c>
      <c r="I1066" s="10">
        <f t="shared" si="101"/>
        <v>2022.7200000000003</v>
      </c>
    </row>
    <row r="1067" spans="1:9" x14ac:dyDescent="0.25">
      <c r="A1067" s="6">
        <v>1501</v>
      </c>
      <c r="B1067" s="5" t="str">
        <f>VLOOKUP(A1067, EmployeeMaster!$A:$D, 3, FALSE)</f>
        <v>Research &amp; Development</v>
      </c>
      <c r="C1067" s="8">
        <v>4035</v>
      </c>
      <c r="D1067" s="8">
        <f t="shared" si="96"/>
        <v>807</v>
      </c>
      <c r="E1067" s="8">
        <f t="shared" si="97"/>
        <v>484.2</v>
      </c>
      <c r="F1067" s="8">
        <f t="shared" si="98"/>
        <v>403.5</v>
      </c>
      <c r="G1067" s="8">
        <f t="shared" si="99"/>
        <v>4842</v>
      </c>
      <c r="H1067" s="8">
        <f t="shared" si="100"/>
        <v>887.7</v>
      </c>
      <c r="I1067" s="10">
        <f t="shared" si="101"/>
        <v>3954.3</v>
      </c>
    </row>
    <row r="1068" spans="1:9" x14ac:dyDescent="0.25">
      <c r="A1068" s="6">
        <v>1502</v>
      </c>
      <c r="B1068" s="5" t="str">
        <f>VLOOKUP(A1068, EmployeeMaster!$A:$D, 3, FALSE)</f>
        <v>Research &amp; Development</v>
      </c>
      <c r="C1068" s="8">
        <v>3838</v>
      </c>
      <c r="D1068" s="8">
        <f t="shared" si="96"/>
        <v>767.6</v>
      </c>
      <c r="E1068" s="8">
        <f t="shared" si="97"/>
        <v>460.56</v>
      </c>
      <c r="F1068" s="8">
        <f t="shared" si="98"/>
        <v>383.8</v>
      </c>
      <c r="G1068" s="8">
        <f t="shared" si="99"/>
        <v>4605.6000000000004</v>
      </c>
      <c r="H1068" s="8">
        <f t="shared" si="100"/>
        <v>844.36</v>
      </c>
      <c r="I1068" s="10">
        <f t="shared" si="101"/>
        <v>3761.2400000000002</v>
      </c>
    </row>
    <row r="1069" spans="1:9" x14ac:dyDescent="0.25">
      <c r="A1069" s="6">
        <v>1503</v>
      </c>
      <c r="B1069" s="5" t="str">
        <f>VLOOKUP(A1069, EmployeeMaster!$A:$D, 3, FALSE)</f>
        <v>Sales</v>
      </c>
      <c r="C1069" s="8">
        <v>4591</v>
      </c>
      <c r="D1069" s="8">
        <f t="shared" si="96"/>
        <v>918.2</v>
      </c>
      <c r="E1069" s="8">
        <f t="shared" si="97"/>
        <v>550.91999999999996</v>
      </c>
      <c r="F1069" s="8">
        <f t="shared" si="98"/>
        <v>459.1</v>
      </c>
      <c r="G1069" s="8">
        <f t="shared" si="99"/>
        <v>5509.2</v>
      </c>
      <c r="H1069" s="8">
        <f t="shared" si="100"/>
        <v>1010.02</v>
      </c>
      <c r="I1069" s="10">
        <f t="shared" si="101"/>
        <v>4499.18</v>
      </c>
    </row>
    <row r="1070" spans="1:9" x14ac:dyDescent="0.25">
      <c r="A1070" s="6">
        <v>1504</v>
      </c>
      <c r="B1070" s="5" t="str">
        <f>VLOOKUP(A1070, EmployeeMaster!$A:$D, 3, FALSE)</f>
        <v>Research &amp; Development</v>
      </c>
      <c r="C1070" s="8">
        <v>2561</v>
      </c>
      <c r="D1070" s="8">
        <f t="shared" si="96"/>
        <v>512.20000000000005</v>
      </c>
      <c r="E1070" s="8">
        <f t="shared" si="97"/>
        <v>307.32</v>
      </c>
      <c r="F1070" s="8">
        <f t="shared" si="98"/>
        <v>256.10000000000002</v>
      </c>
      <c r="G1070" s="8">
        <f t="shared" si="99"/>
        <v>3073.2</v>
      </c>
      <c r="H1070" s="8">
        <f t="shared" si="100"/>
        <v>563.42000000000007</v>
      </c>
      <c r="I1070" s="10">
        <f t="shared" si="101"/>
        <v>2509.7799999999997</v>
      </c>
    </row>
    <row r="1071" spans="1:9" x14ac:dyDescent="0.25">
      <c r="A1071" s="6">
        <v>1506</v>
      </c>
      <c r="B1071" s="5" t="str">
        <f>VLOOKUP(A1071, EmployeeMaster!$A:$D, 3, FALSE)</f>
        <v>Research &amp; Development</v>
      </c>
      <c r="C1071" s="8">
        <v>1563</v>
      </c>
      <c r="D1071" s="8">
        <f t="shared" si="96"/>
        <v>312.60000000000002</v>
      </c>
      <c r="E1071" s="8">
        <f t="shared" si="97"/>
        <v>187.56</v>
      </c>
      <c r="F1071" s="8">
        <f t="shared" si="98"/>
        <v>156.30000000000001</v>
      </c>
      <c r="G1071" s="8">
        <f t="shared" si="99"/>
        <v>1875.6</v>
      </c>
      <c r="H1071" s="8">
        <f t="shared" si="100"/>
        <v>343.86</v>
      </c>
      <c r="I1071" s="10">
        <f t="shared" si="101"/>
        <v>1531.7399999999998</v>
      </c>
    </row>
    <row r="1072" spans="1:9" x14ac:dyDescent="0.25">
      <c r="A1072" s="6">
        <v>1507</v>
      </c>
      <c r="B1072" s="5" t="str">
        <f>VLOOKUP(A1072, EmployeeMaster!$A:$D, 3, FALSE)</f>
        <v>Sales</v>
      </c>
      <c r="C1072" s="8">
        <v>4898</v>
      </c>
      <c r="D1072" s="8">
        <f t="shared" si="96"/>
        <v>979.6</v>
      </c>
      <c r="E1072" s="8">
        <f t="shared" si="97"/>
        <v>587.76</v>
      </c>
      <c r="F1072" s="8">
        <f t="shared" si="98"/>
        <v>489.8</v>
      </c>
      <c r="G1072" s="8">
        <f t="shared" si="99"/>
        <v>5877.6</v>
      </c>
      <c r="H1072" s="8">
        <f t="shared" si="100"/>
        <v>1077.56</v>
      </c>
      <c r="I1072" s="10">
        <f t="shared" si="101"/>
        <v>4800.0400000000009</v>
      </c>
    </row>
    <row r="1073" spans="1:9" x14ac:dyDescent="0.25">
      <c r="A1073" s="6">
        <v>1509</v>
      </c>
      <c r="B1073" s="5" t="str">
        <f>VLOOKUP(A1073, EmployeeMaster!$A:$D, 3, FALSE)</f>
        <v>Research &amp; Development</v>
      </c>
      <c r="C1073" s="8">
        <v>4789</v>
      </c>
      <c r="D1073" s="8">
        <f t="shared" si="96"/>
        <v>957.80000000000007</v>
      </c>
      <c r="E1073" s="8">
        <f t="shared" si="97"/>
        <v>574.67999999999995</v>
      </c>
      <c r="F1073" s="8">
        <f t="shared" si="98"/>
        <v>478.90000000000003</v>
      </c>
      <c r="G1073" s="8">
        <f t="shared" si="99"/>
        <v>5746.8</v>
      </c>
      <c r="H1073" s="8">
        <f t="shared" si="100"/>
        <v>1053.58</v>
      </c>
      <c r="I1073" s="10">
        <f t="shared" si="101"/>
        <v>4693.22</v>
      </c>
    </row>
    <row r="1074" spans="1:9" x14ac:dyDescent="0.25">
      <c r="A1074" s="6">
        <v>1513</v>
      </c>
      <c r="B1074" s="5" t="str">
        <f>VLOOKUP(A1074, EmployeeMaster!$A:$D, 3, FALSE)</f>
        <v>Research &amp; Development</v>
      </c>
      <c r="C1074" s="8">
        <v>3180</v>
      </c>
      <c r="D1074" s="8">
        <f t="shared" si="96"/>
        <v>636</v>
      </c>
      <c r="E1074" s="8">
        <f t="shared" si="97"/>
        <v>381.59999999999997</v>
      </c>
      <c r="F1074" s="8">
        <f t="shared" si="98"/>
        <v>318</v>
      </c>
      <c r="G1074" s="8">
        <f t="shared" si="99"/>
        <v>3816</v>
      </c>
      <c r="H1074" s="8">
        <f t="shared" si="100"/>
        <v>699.59999999999991</v>
      </c>
      <c r="I1074" s="10">
        <f t="shared" si="101"/>
        <v>3116.4</v>
      </c>
    </row>
    <row r="1075" spans="1:9" x14ac:dyDescent="0.25">
      <c r="A1075" s="6">
        <v>1514</v>
      </c>
      <c r="B1075" s="5" t="str">
        <f>VLOOKUP(A1075, EmployeeMaster!$A:$D, 3, FALSE)</f>
        <v>Research &amp; Development</v>
      </c>
      <c r="C1075" s="8">
        <v>6549</v>
      </c>
      <c r="D1075" s="8">
        <f t="shared" si="96"/>
        <v>1309.8000000000002</v>
      </c>
      <c r="E1075" s="8">
        <f t="shared" si="97"/>
        <v>785.88</v>
      </c>
      <c r="F1075" s="8">
        <f t="shared" si="98"/>
        <v>654.90000000000009</v>
      </c>
      <c r="G1075" s="8">
        <f t="shared" si="99"/>
        <v>7858.8</v>
      </c>
      <c r="H1075" s="8">
        <f t="shared" si="100"/>
        <v>1440.7800000000002</v>
      </c>
      <c r="I1075" s="10">
        <f t="shared" si="101"/>
        <v>6418.02</v>
      </c>
    </row>
    <row r="1076" spans="1:9" x14ac:dyDescent="0.25">
      <c r="A1076" s="6">
        <v>1515</v>
      </c>
      <c r="B1076" s="5" t="str">
        <f>VLOOKUP(A1076, EmployeeMaster!$A:$D, 3, FALSE)</f>
        <v>Research &amp; Development</v>
      </c>
      <c r="C1076" s="8">
        <v>6388</v>
      </c>
      <c r="D1076" s="8">
        <f t="shared" si="96"/>
        <v>1277.6000000000001</v>
      </c>
      <c r="E1076" s="8">
        <f t="shared" si="97"/>
        <v>766.56</v>
      </c>
      <c r="F1076" s="8">
        <f t="shared" si="98"/>
        <v>638.80000000000007</v>
      </c>
      <c r="G1076" s="8">
        <f t="shared" si="99"/>
        <v>7665.6</v>
      </c>
      <c r="H1076" s="8">
        <f t="shared" si="100"/>
        <v>1405.3600000000001</v>
      </c>
      <c r="I1076" s="10">
        <f t="shared" si="101"/>
        <v>6260.24</v>
      </c>
    </row>
    <row r="1077" spans="1:9" x14ac:dyDescent="0.25">
      <c r="A1077" s="6">
        <v>1516</v>
      </c>
      <c r="B1077" s="5" t="str">
        <f>VLOOKUP(A1077, EmployeeMaster!$A:$D, 3, FALSE)</f>
        <v>Research &amp; Development</v>
      </c>
      <c r="C1077" s="8">
        <v>11244</v>
      </c>
      <c r="D1077" s="8">
        <f t="shared" si="96"/>
        <v>2248.8000000000002</v>
      </c>
      <c r="E1077" s="8">
        <f t="shared" si="97"/>
        <v>1349.28</v>
      </c>
      <c r="F1077" s="8">
        <f t="shared" si="98"/>
        <v>1124.4000000000001</v>
      </c>
      <c r="G1077" s="8">
        <f t="shared" si="99"/>
        <v>13492.8</v>
      </c>
      <c r="H1077" s="8">
        <f t="shared" si="100"/>
        <v>2473.6800000000003</v>
      </c>
      <c r="I1077" s="10">
        <f t="shared" si="101"/>
        <v>11019.119999999999</v>
      </c>
    </row>
    <row r="1078" spans="1:9" x14ac:dyDescent="0.25">
      <c r="A1078" s="6">
        <v>1520</v>
      </c>
      <c r="B1078" s="5" t="str">
        <f>VLOOKUP(A1078, EmployeeMaster!$A:$D, 3, FALSE)</f>
        <v>Research &amp; Development</v>
      </c>
      <c r="C1078" s="8">
        <v>16032</v>
      </c>
      <c r="D1078" s="8">
        <f t="shared" si="96"/>
        <v>3206.4</v>
      </c>
      <c r="E1078" s="8">
        <f t="shared" si="97"/>
        <v>1923.84</v>
      </c>
      <c r="F1078" s="8">
        <f t="shared" si="98"/>
        <v>1603.2</v>
      </c>
      <c r="G1078" s="8">
        <f t="shared" si="99"/>
        <v>19238.400000000001</v>
      </c>
      <c r="H1078" s="8">
        <f t="shared" si="100"/>
        <v>3527.04</v>
      </c>
      <c r="I1078" s="10">
        <f t="shared" si="101"/>
        <v>15711.36</v>
      </c>
    </row>
    <row r="1079" spans="1:9" x14ac:dyDescent="0.25">
      <c r="A1079" s="6">
        <v>1522</v>
      </c>
      <c r="B1079" s="5" t="str">
        <f>VLOOKUP(A1079, EmployeeMaster!$A:$D, 3, FALSE)</f>
        <v>Research &amp; Development</v>
      </c>
      <c r="C1079" s="8">
        <v>2362</v>
      </c>
      <c r="D1079" s="8">
        <f t="shared" si="96"/>
        <v>472.40000000000003</v>
      </c>
      <c r="E1079" s="8">
        <f t="shared" si="97"/>
        <v>283.44</v>
      </c>
      <c r="F1079" s="8">
        <f t="shared" si="98"/>
        <v>236.20000000000002</v>
      </c>
      <c r="G1079" s="8">
        <f t="shared" si="99"/>
        <v>2834.4</v>
      </c>
      <c r="H1079" s="8">
        <f t="shared" si="100"/>
        <v>519.64</v>
      </c>
      <c r="I1079" s="10">
        <f t="shared" si="101"/>
        <v>2314.7600000000002</v>
      </c>
    </row>
    <row r="1080" spans="1:9" x14ac:dyDescent="0.25">
      <c r="A1080" s="6">
        <v>1523</v>
      </c>
      <c r="B1080" s="5" t="str">
        <f>VLOOKUP(A1080, EmployeeMaster!$A:$D, 3, FALSE)</f>
        <v>Research &amp; Development</v>
      </c>
      <c r="C1080" s="8">
        <v>16328</v>
      </c>
      <c r="D1080" s="8">
        <f t="shared" si="96"/>
        <v>3265.6000000000004</v>
      </c>
      <c r="E1080" s="8">
        <f t="shared" si="97"/>
        <v>1959.36</v>
      </c>
      <c r="F1080" s="8">
        <f t="shared" si="98"/>
        <v>1632.8000000000002</v>
      </c>
      <c r="G1080" s="8">
        <f t="shared" si="99"/>
        <v>19593.599999999999</v>
      </c>
      <c r="H1080" s="8">
        <f t="shared" si="100"/>
        <v>3592.16</v>
      </c>
      <c r="I1080" s="10">
        <f t="shared" si="101"/>
        <v>16001.439999999999</v>
      </c>
    </row>
    <row r="1081" spans="1:9" x14ac:dyDescent="0.25">
      <c r="A1081" s="6">
        <v>1525</v>
      </c>
      <c r="B1081" s="5" t="str">
        <f>VLOOKUP(A1081, EmployeeMaster!$A:$D, 3, FALSE)</f>
        <v>Research &amp; Development</v>
      </c>
      <c r="C1081" s="8">
        <v>8376</v>
      </c>
      <c r="D1081" s="8">
        <f t="shared" si="96"/>
        <v>1675.2</v>
      </c>
      <c r="E1081" s="8">
        <f t="shared" si="97"/>
        <v>1005.12</v>
      </c>
      <c r="F1081" s="8">
        <f t="shared" si="98"/>
        <v>837.6</v>
      </c>
      <c r="G1081" s="8">
        <f t="shared" si="99"/>
        <v>10051.200000000001</v>
      </c>
      <c r="H1081" s="8">
        <f t="shared" si="100"/>
        <v>1842.72</v>
      </c>
      <c r="I1081" s="10">
        <f t="shared" si="101"/>
        <v>8208.4800000000014</v>
      </c>
    </row>
    <row r="1082" spans="1:9" x14ac:dyDescent="0.25">
      <c r="A1082" s="6">
        <v>1527</v>
      </c>
      <c r="B1082" s="5" t="str">
        <f>VLOOKUP(A1082, EmployeeMaster!$A:$D, 3, FALSE)</f>
        <v>Sales</v>
      </c>
      <c r="C1082" s="8">
        <v>16606</v>
      </c>
      <c r="D1082" s="8">
        <f t="shared" si="96"/>
        <v>3321.2000000000003</v>
      </c>
      <c r="E1082" s="8">
        <f t="shared" si="97"/>
        <v>1992.72</v>
      </c>
      <c r="F1082" s="8">
        <f t="shared" si="98"/>
        <v>1660.6000000000001</v>
      </c>
      <c r="G1082" s="8">
        <f t="shared" si="99"/>
        <v>19927.2</v>
      </c>
      <c r="H1082" s="8">
        <f t="shared" si="100"/>
        <v>3653.32</v>
      </c>
      <c r="I1082" s="10">
        <f t="shared" si="101"/>
        <v>16273.880000000001</v>
      </c>
    </row>
    <row r="1083" spans="1:9" x14ac:dyDescent="0.25">
      <c r="A1083" s="6">
        <v>1529</v>
      </c>
      <c r="B1083" s="5" t="str">
        <f>VLOOKUP(A1083, EmployeeMaster!$A:$D, 3, FALSE)</f>
        <v>Research &amp; Development</v>
      </c>
      <c r="C1083" s="8">
        <v>8606</v>
      </c>
      <c r="D1083" s="8">
        <f t="shared" si="96"/>
        <v>1721.2</v>
      </c>
      <c r="E1083" s="8">
        <f t="shared" si="97"/>
        <v>1032.72</v>
      </c>
      <c r="F1083" s="8">
        <f t="shared" si="98"/>
        <v>860.6</v>
      </c>
      <c r="G1083" s="8">
        <f t="shared" si="99"/>
        <v>10327.200000000001</v>
      </c>
      <c r="H1083" s="8">
        <f t="shared" si="100"/>
        <v>1893.3200000000002</v>
      </c>
      <c r="I1083" s="10">
        <f t="shared" si="101"/>
        <v>8433.880000000001</v>
      </c>
    </row>
    <row r="1084" spans="1:9" x14ac:dyDescent="0.25">
      <c r="A1084" s="6">
        <v>1533</v>
      </c>
      <c r="B1084" s="5" t="str">
        <f>VLOOKUP(A1084, EmployeeMaster!$A:$D, 3, FALSE)</f>
        <v>Research &amp; Development</v>
      </c>
      <c r="C1084" s="8">
        <v>2272</v>
      </c>
      <c r="D1084" s="8">
        <f t="shared" si="96"/>
        <v>454.40000000000003</v>
      </c>
      <c r="E1084" s="8">
        <f t="shared" si="97"/>
        <v>272.64</v>
      </c>
      <c r="F1084" s="8">
        <f t="shared" si="98"/>
        <v>227.20000000000002</v>
      </c>
      <c r="G1084" s="8">
        <f t="shared" si="99"/>
        <v>2726.4</v>
      </c>
      <c r="H1084" s="8">
        <f t="shared" si="100"/>
        <v>499.84000000000003</v>
      </c>
      <c r="I1084" s="10">
        <f t="shared" si="101"/>
        <v>2226.56</v>
      </c>
    </row>
    <row r="1085" spans="1:9" x14ac:dyDescent="0.25">
      <c r="A1085" s="6">
        <v>1534</v>
      </c>
      <c r="B1085" s="5" t="str">
        <f>VLOOKUP(A1085, EmployeeMaster!$A:$D, 3, FALSE)</f>
        <v>Research &amp; Development</v>
      </c>
      <c r="C1085" s="8">
        <v>2018</v>
      </c>
      <c r="D1085" s="8">
        <f t="shared" si="96"/>
        <v>403.6</v>
      </c>
      <c r="E1085" s="8">
        <f t="shared" si="97"/>
        <v>242.16</v>
      </c>
      <c r="F1085" s="8">
        <f t="shared" si="98"/>
        <v>201.8</v>
      </c>
      <c r="G1085" s="8">
        <f t="shared" si="99"/>
        <v>2421.6</v>
      </c>
      <c r="H1085" s="8">
        <f t="shared" si="100"/>
        <v>443.96000000000004</v>
      </c>
      <c r="I1085" s="10">
        <f t="shared" si="101"/>
        <v>1977.6399999999999</v>
      </c>
    </row>
    <row r="1086" spans="1:9" x14ac:dyDescent="0.25">
      <c r="A1086" s="6">
        <v>1535</v>
      </c>
      <c r="B1086" s="5" t="str">
        <f>VLOOKUP(A1086, EmployeeMaster!$A:$D, 3, FALSE)</f>
        <v>Sales</v>
      </c>
      <c r="C1086" s="8">
        <v>7083</v>
      </c>
      <c r="D1086" s="8">
        <f t="shared" si="96"/>
        <v>1416.6000000000001</v>
      </c>
      <c r="E1086" s="8">
        <f t="shared" si="97"/>
        <v>849.95999999999992</v>
      </c>
      <c r="F1086" s="8">
        <f t="shared" si="98"/>
        <v>708.30000000000007</v>
      </c>
      <c r="G1086" s="8">
        <f t="shared" si="99"/>
        <v>8499.6</v>
      </c>
      <c r="H1086" s="8">
        <f t="shared" si="100"/>
        <v>1558.26</v>
      </c>
      <c r="I1086" s="10">
        <f t="shared" si="101"/>
        <v>6941.34</v>
      </c>
    </row>
    <row r="1087" spans="1:9" x14ac:dyDescent="0.25">
      <c r="A1087" s="6">
        <v>1537</v>
      </c>
      <c r="B1087" s="5" t="str">
        <f>VLOOKUP(A1087, EmployeeMaster!$A:$D, 3, FALSE)</f>
        <v>Research &amp; Development</v>
      </c>
      <c r="C1087" s="8">
        <v>4084</v>
      </c>
      <c r="D1087" s="8">
        <f t="shared" si="96"/>
        <v>816.80000000000007</v>
      </c>
      <c r="E1087" s="8">
        <f t="shared" si="97"/>
        <v>490.08</v>
      </c>
      <c r="F1087" s="8">
        <f t="shared" si="98"/>
        <v>408.40000000000003</v>
      </c>
      <c r="G1087" s="8">
        <f t="shared" si="99"/>
        <v>4900.8</v>
      </c>
      <c r="H1087" s="8">
        <f t="shared" si="100"/>
        <v>898.48</v>
      </c>
      <c r="I1087" s="10">
        <f t="shared" si="101"/>
        <v>4002.32</v>
      </c>
    </row>
    <row r="1088" spans="1:9" x14ac:dyDescent="0.25">
      <c r="A1088" s="6">
        <v>1539</v>
      </c>
      <c r="B1088" s="5" t="str">
        <f>VLOOKUP(A1088, EmployeeMaster!$A:$D, 3, FALSE)</f>
        <v>Research &amp; Development</v>
      </c>
      <c r="C1088" s="8">
        <v>14411</v>
      </c>
      <c r="D1088" s="8">
        <f t="shared" si="96"/>
        <v>2882.2000000000003</v>
      </c>
      <c r="E1088" s="8">
        <f t="shared" si="97"/>
        <v>1729.32</v>
      </c>
      <c r="F1088" s="8">
        <f t="shared" si="98"/>
        <v>1441.1000000000001</v>
      </c>
      <c r="G1088" s="8">
        <f t="shared" si="99"/>
        <v>17293.2</v>
      </c>
      <c r="H1088" s="8">
        <f t="shared" si="100"/>
        <v>3170.42</v>
      </c>
      <c r="I1088" s="10">
        <f t="shared" si="101"/>
        <v>14122.78</v>
      </c>
    </row>
    <row r="1089" spans="1:9" x14ac:dyDescent="0.25">
      <c r="A1089" s="6">
        <v>1541</v>
      </c>
      <c r="B1089" s="5" t="str">
        <f>VLOOKUP(A1089, EmployeeMaster!$A:$D, 3, FALSE)</f>
        <v>Sales</v>
      </c>
      <c r="C1089" s="8">
        <v>2308</v>
      </c>
      <c r="D1089" s="8">
        <f t="shared" si="96"/>
        <v>461.6</v>
      </c>
      <c r="E1089" s="8">
        <f t="shared" si="97"/>
        <v>276.95999999999998</v>
      </c>
      <c r="F1089" s="8">
        <f t="shared" si="98"/>
        <v>230.8</v>
      </c>
      <c r="G1089" s="8">
        <f t="shared" si="99"/>
        <v>2769.6</v>
      </c>
      <c r="H1089" s="8">
        <f t="shared" si="100"/>
        <v>507.76</v>
      </c>
      <c r="I1089" s="10">
        <f t="shared" si="101"/>
        <v>2261.84</v>
      </c>
    </row>
    <row r="1090" spans="1:9" x14ac:dyDescent="0.25">
      <c r="A1090" s="6">
        <v>1542</v>
      </c>
      <c r="B1090" s="5" t="str">
        <f>VLOOKUP(A1090, EmployeeMaster!$A:$D, 3, FALSE)</f>
        <v>Research &amp; Development</v>
      </c>
      <c r="C1090" s="8">
        <v>4841</v>
      </c>
      <c r="D1090" s="8">
        <f t="shared" si="96"/>
        <v>968.2</v>
      </c>
      <c r="E1090" s="8">
        <f t="shared" si="97"/>
        <v>580.91999999999996</v>
      </c>
      <c r="F1090" s="8">
        <f t="shared" si="98"/>
        <v>484.1</v>
      </c>
      <c r="G1090" s="8">
        <f t="shared" si="99"/>
        <v>5809.2</v>
      </c>
      <c r="H1090" s="8">
        <f t="shared" si="100"/>
        <v>1065.02</v>
      </c>
      <c r="I1090" s="10">
        <f t="shared" si="101"/>
        <v>4744.18</v>
      </c>
    </row>
    <row r="1091" spans="1:9" x14ac:dyDescent="0.25">
      <c r="A1091" s="6">
        <v>1543</v>
      </c>
      <c r="B1091" s="5" t="str">
        <f>VLOOKUP(A1091, EmployeeMaster!$A:$D, 3, FALSE)</f>
        <v>Research &amp; Development</v>
      </c>
      <c r="C1091" s="8">
        <v>4285</v>
      </c>
      <c r="D1091" s="8">
        <f t="shared" ref="D1091:D1154" si="102">C1091*20%</f>
        <v>857</v>
      </c>
      <c r="E1091" s="8">
        <f t="shared" ref="E1091:E1154" si="103">C1091*12%</f>
        <v>514.19999999999993</v>
      </c>
      <c r="F1091" s="8">
        <f t="shared" ref="F1091:F1154" si="104">C1091*10%</f>
        <v>428.5</v>
      </c>
      <c r="G1091" s="8">
        <f t="shared" ref="G1091:G1154" si="105">C1091+D1091</f>
        <v>5142</v>
      </c>
      <c r="H1091" s="8">
        <f t="shared" ref="H1091:H1154" si="106">E1091+F1091</f>
        <v>942.69999999999993</v>
      </c>
      <c r="I1091" s="10">
        <f t="shared" ref="I1091:I1154" si="107">G1091-H1091</f>
        <v>4199.3</v>
      </c>
    </row>
    <row r="1092" spans="1:9" x14ac:dyDescent="0.25">
      <c r="A1092" s="6">
        <v>1544</v>
      </c>
      <c r="B1092" s="5" t="str">
        <f>VLOOKUP(A1092, EmployeeMaster!$A:$D, 3, FALSE)</f>
        <v>Research &amp; Development</v>
      </c>
      <c r="C1092" s="8">
        <v>9715</v>
      </c>
      <c r="D1092" s="8">
        <f t="shared" si="102"/>
        <v>1943</v>
      </c>
      <c r="E1092" s="8">
        <f t="shared" si="103"/>
        <v>1165.8</v>
      </c>
      <c r="F1092" s="8">
        <f t="shared" si="104"/>
        <v>971.5</v>
      </c>
      <c r="G1092" s="8">
        <f t="shared" si="105"/>
        <v>11658</v>
      </c>
      <c r="H1092" s="8">
        <f t="shared" si="106"/>
        <v>2137.3000000000002</v>
      </c>
      <c r="I1092" s="10">
        <f t="shared" si="107"/>
        <v>9520.7000000000007</v>
      </c>
    </row>
    <row r="1093" spans="1:9" x14ac:dyDescent="0.25">
      <c r="A1093" s="6">
        <v>1545</v>
      </c>
      <c r="B1093" s="5" t="str">
        <f>VLOOKUP(A1093, EmployeeMaster!$A:$D, 3, FALSE)</f>
        <v>Research &amp; Development</v>
      </c>
      <c r="C1093" s="8">
        <v>4320</v>
      </c>
      <c r="D1093" s="8">
        <f t="shared" si="102"/>
        <v>864</v>
      </c>
      <c r="E1093" s="8">
        <f t="shared" si="103"/>
        <v>518.4</v>
      </c>
      <c r="F1093" s="8">
        <f t="shared" si="104"/>
        <v>432</v>
      </c>
      <c r="G1093" s="8">
        <f t="shared" si="105"/>
        <v>5184</v>
      </c>
      <c r="H1093" s="8">
        <f t="shared" si="106"/>
        <v>950.4</v>
      </c>
      <c r="I1093" s="10">
        <f t="shared" si="107"/>
        <v>4233.6000000000004</v>
      </c>
    </row>
    <row r="1094" spans="1:9" x14ac:dyDescent="0.25">
      <c r="A1094" s="6">
        <v>1546</v>
      </c>
      <c r="B1094" s="5" t="str">
        <f>VLOOKUP(A1094, EmployeeMaster!$A:$D, 3, FALSE)</f>
        <v>Research &amp; Development</v>
      </c>
      <c r="C1094" s="8">
        <v>2132</v>
      </c>
      <c r="D1094" s="8">
        <f t="shared" si="102"/>
        <v>426.40000000000003</v>
      </c>
      <c r="E1094" s="8">
        <f t="shared" si="103"/>
        <v>255.84</v>
      </c>
      <c r="F1094" s="8">
        <f t="shared" si="104"/>
        <v>213.20000000000002</v>
      </c>
      <c r="G1094" s="8">
        <f t="shared" si="105"/>
        <v>2558.4</v>
      </c>
      <c r="H1094" s="8">
        <f t="shared" si="106"/>
        <v>469.04</v>
      </c>
      <c r="I1094" s="10">
        <f t="shared" si="107"/>
        <v>2089.36</v>
      </c>
    </row>
    <row r="1095" spans="1:9" x14ac:dyDescent="0.25">
      <c r="A1095" s="6">
        <v>1547</v>
      </c>
      <c r="B1095" s="5" t="str">
        <f>VLOOKUP(A1095, EmployeeMaster!$A:$D, 3, FALSE)</f>
        <v>Research &amp; Development</v>
      </c>
      <c r="C1095" s="8">
        <v>10124</v>
      </c>
      <c r="D1095" s="8">
        <f t="shared" si="102"/>
        <v>2024.8000000000002</v>
      </c>
      <c r="E1095" s="8">
        <f t="shared" si="103"/>
        <v>1214.8799999999999</v>
      </c>
      <c r="F1095" s="8">
        <f t="shared" si="104"/>
        <v>1012.4000000000001</v>
      </c>
      <c r="G1095" s="8">
        <f t="shared" si="105"/>
        <v>12148.8</v>
      </c>
      <c r="H1095" s="8">
        <f t="shared" si="106"/>
        <v>2227.2799999999997</v>
      </c>
      <c r="I1095" s="10">
        <f t="shared" si="107"/>
        <v>9921.52</v>
      </c>
    </row>
    <row r="1096" spans="1:9" x14ac:dyDescent="0.25">
      <c r="A1096" s="6">
        <v>1548</v>
      </c>
      <c r="B1096" s="5" t="str">
        <f>VLOOKUP(A1096, EmployeeMaster!$A:$D, 3, FALSE)</f>
        <v>Sales</v>
      </c>
      <c r="C1096" s="8">
        <v>5473</v>
      </c>
      <c r="D1096" s="8">
        <f t="shared" si="102"/>
        <v>1094.6000000000001</v>
      </c>
      <c r="E1096" s="8">
        <f t="shared" si="103"/>
        <v>656.76</v>
      </c>
      <c r="F1096" s="8">
        <f t="shared" si="104"/>
        <v>547.30000000000007</v>
      </c>
      <c r="G1096" s="8">
        <f t="shared" si="105"/>
        <v>6567.6</v>
      </c>
      <c r="H1096" s="8">
        <f t="shared" si="106"/>
        <v>1204.06</v>
      </c>
      <c r="I1096" s="10">
        <f t="shared" si="107"/>
        <v>5363.5400000000009</v>
      </c>
    </row>
    <row r="1097" spans="1:9" x14ac:dyDescent="0.25">
      <c r="A1097" s="6">
        <v>1549</v>
      </c>
      <c r="B1097" s="5" t="str">
        <f>VLOOKUP(A1097, EmployeeMaster!$A:$D, 3, FALSE)</f>
        <v>Research &amp; Development</v>
      </c>
      <c r="C1097" s="8">
        <v>5207</v>
      </c>
      <c r="D1097" s="8">
        <f t="shared" si="102"/>
        <v>1041.4000000000001</v>
      </c>
      <c r="E1097" s="8">
        <f t="shared" si="103"/>
        <v>624.84</v>
      </c>
      <c r="F1097" s="8">
        <f t="shared" si="104"/>
        <v>520.70000000000005</v>
      </c>
      <c r="G1097" s="8">
        <f t="shared" si="105"/>
        <v>6248.4</v>
      </c>
      <c r="H1097" s="8">
        <f t="shared" si="106"/>
        <v>1145.54</v>
      </c>
      <c r="I1097" s="10">
        <f t="shared" si="107"/>
        <v>5102.8599999999997</v>
      </c>
    </row>
    <row r="1098" spans="1:9" x14ac:dyDescent="0.25">
      <c r="A1098" s="6">
        <v>1550</v>
      </c>
      <c r="B1098" s="5" t="str">
        <f>VLOOKUP(A1098, EmployeeMaster!$A:$D, 3, FALSE)</f>
        <v>Human Resources</v>
      </c>
      <c r="C1098" s="8">
        <v>16437</v>
      </c>
      <c r="D1098" s="8">
        <f t="shared" si="102"/>
        <v>3287.4</v>
      </c>
      <c r="E1098" s="8">
        <f t="shared" si="103"/>
        <v>1972.4399999999998</v>
      </c>
      <c r="F1098" s="8">
        <f t="shared" si="104"/>
        <v>1643.7</v>
      </c>
      <c r="G1098" s="8">
        <f t="shared" si="105"/>
        <v>19724.400000000001</v>
      </c>
      <c r="H1098" s="8">
        <f t="shared" si="106"/>
        <v>3616.14</v>
      </c>
      <c r="I1098" s="10">
        <f t="shared" si="107"/>
        <v>16108.260000000002</v>
      </c>
    </row>
    <row r="1099" spans="1:9" x14ac:dyDescent="0.25">
      <c r="A1099" s="6">
        <v>1551</v>
      </c>
      <c r="B1099" s="5" t="str">
        <f>VLOOKUP(A1099, EmployeeMaster!$A:$D, 3, FALSE)</f>
        <v>Research &amp; Development</v>
      </c>
      <c r="C1099" s="8">
        <v>2296</v>
      </c>
      <c r="D1099" s="8">
        <f t="shared" si="102"/>
        <v>459.20000000000005</v>
      </c>
      <c r="E1099" s="8">
        <f t="shared" si="103"/>
        <v>275.52</v>
      </c>
      <c r="F1099" s="8">
        <f t="shared" si="104"/>
        <v>229.60000000000002</v>
      </c>
      <c r="G1099" s="8">
        <f t="shared" si="105"/>
        <v>2755.2</v>
      </c>
      <c r="H1099" s="8">
        <f t="shared" si="106"/>
        <v>505.12</v>
      </c>
      <c r="I1099" s="10">
        <f t="shared" si="107"/>
        <v>2250.08</v>
      </c>
    </row>
    <row r="1100" spans="1:9" x14ac:dyDescent="0.25">
      <c r="A1100" s="6">
        <v>1552</v>
      </c>
      <c r="B1100" s="5" t="str">
        <f>VLOOKUP(A1100, EmployeeMaster!$A:$D, 3, FALSE)</f>
        <v>Research &amp; Development</v>
      </c>
      <c r="C1100" s="8">
        <v>4069</v>
      </c>
      <c r="D1100" s="8">
        <f t="shared" si="102"/>
        <v>813.80000000000007</v>
      </c>
      <c r="E1100" s="8">
        <f t="shared" si="103"/>
        <v>488.28</v>
      </c>
      <c r="F1100" s="8">
        <f t="shared" si="104"/>
        <v>406.90000000000003</v>
      </c>
      <c r="G1100" s="8">
        <f t="shared" si="105"/>
        <v>4882.8</v>
      </c>
      <c r="H1100" s="8">
        <f t="shared" si="106"/>
        <v>895.18000000000006</v>
      </c>
      <c r="I1100" s="10">
        <f t="shared" si="107"/>
        <v>3987.62</v>
      </c>
    </row>
    <row r="1101" spans="1:9" x14ac:dyDescent="0.25">
      <c r="A1101" s="6">
        <v>1553</v>
      </c>
      <c r="B1101" s="5" t="str">
        <f>VLOOKUP(A1101, EmployeeMaster!$A:$D, 3, FALSE)</f>
        <v>Research &amp; Development</v>
      </c>
      <c r="C1101" s="8">
        <v>7441</v>
      </c>
      <c r="D1101" s="8">
        <f t="shared" si="102"/>
        <v>1488.2</v>
      </c>
      <c r="E1101" s="8">
        <f t="shared" si="103"/>
        <v>892.92</v>
      </c>
      <c r="F1101" s="8">
        <f t="shared" si="104"/>
        <v>744.1</v>
      </c>
      <c r="G1101" s="8">
        <f t="shared" si="105"/>
        <v>8929.2000000000007</v>
      </c>
      <c r="H1101" s="8">
        <f t="shared" si="106"/>
        <v>1637.02</v>
      </c>
      <c r="I1101" s="10">
        <f t="shared" si="107"/>
        <v>7292.18</v>
      </c>
    </row>
    <row r="1102" spans="1:9" x14ac:dyDescent="0.25">
      <c r="A1102" s="6">
        <v>1554</v>
      </c>
      <c r="B1102" s="5" t="str">
        <f>VLOOKUP(A1102, EmployeeMaster!$A:$D, 3, FALSE)</f>
        <v>Sales</v>
      </c>
      <c r="C1102" s="8">
        <v>2430</v>
      </c>
      <c r="D1102" s="8">
        <f t="shared" si="102"/>
        <v>486</v>
      </c>
      <c r="E1102" s="8">
        <f t="shared" si="103"/>
        <v>291.59999999999997</v>
      </c>
      <c r="F1102" s="8">
        <f t="shared" si="104"/>
        <v>243</v>
      </c>
      <c r="G1102" s="8">
        <f t="shared" si="105"/>
        <v>2916</v>
      </c>
      <c r="H1102" s="8">
        <f t="shared" si="106"/>
        <v>534.59999999999991</v>
      </c>
      <c r="I1102" s="10">
        <f t="shared" si="107"/>
        <v>2381.4</v>
      </c>
    </row>
    <row r="1103" spans="1:9" x14ac:dyDescent="0.25">
      <c r="A1103" s="6">
        <v>1555</v>
      </c>
      <c r="B1103" s="5" t="str">
        <f>VLOOKUP(A1103, EmployeeMaster!$A:$D, 3, FALSE)</f>
        <v>Research &amp; Development</v>
      </c>
      <c r="C1103" s="8">
        <v>5878</v>
      </c>
      <c r="D1103" s="8">
        <f t="shared" si="102"/>
        <v>1175.6000000000001</v>
      </c>
      <c r="E1103" s="8">
        <f t="shared" si="103"/>
        <v>705.36</v>
      </c>
      <c r="F1103" s="8">
        <f t="shared" si="104"/>
        <v>587.80000000000007</v>
      </c>
      <c r="G1103" s="8">
        <f t="shared" si="105"/>
        <v>7053.6</v>
      </c>
      <c r="H1103" s="8">
        <f t="shared" si="106"/>
        <v>1293.1600000000001</v>
      </c>
      <c r="I1103" s="10">
        <f t="shared" si="107"/>
        <v>5760.4400000000005</v>
      </c>
    </row>
    <row r="1104" spans="1:9" x14ac:dyDescent="0.25">
      <c r="A1104" s="6">
        <v>1556</v>
      </c>
      <c r="B1104" s="5" t="str">
        <f>VLOOKUP(A1104, EmployeeMaster!$A:$D, 3, FALSE)</f>
        <v>Sales</v>
      </c>
      <c r="C1104" s="8">
        <v>2644</v>
      </c>
      <c r="D1104" s="8">
        <f t="shared" si="102"/>
        <v>528.80000000000007</v>
      </c>
      <c r="E1104" s="8">
        <f t="shared" si="103"/>
        <v>317.27999999999997</v>
      </c>
      <c r="F1104" s="8">
        <f t="shared" si="104"/>
        <v>264.40000000000003</v>
      </c>
      <c r="G1104" s="8">
        <f t="shared" si="105"/>
        <v>3172.8</v>
      </c>
      <c r="H1104" s="8">
        <f t="shared" si="106"/>
        <v>581.68000000000006</v>
      </c>
      <c r="I1104" s="10">
        <f t="shared" si="107"/>
        <v>2591.12</v>
      </c>
    </row>
    <row r="1105" spans="1:9" x14ac:dyDescent="0.25">
      <c r="A1105" s="6">
        <v>1557</v>
      </c>
      <c r="B1105" s="5" t="str">
        <f>VLOOKUP(A1105, EmployeeMaster!$A:$D, 3, FALSE)</f>
        <v>Sales</v>
      </c>
      <c r="C1105" s="8">
        <v>6439</v>
      </c>
      <c r="D1105" s="8">
        <f t="shared" si="102"/>
        <v>1287.8000000000002</v>
      </c>
      <c r="E1105" s="8">
        <f t="shared" si="103"/>
        <v>772.68</v>
      </c>
      <c r="F1105" s="8">
        <f t="shared" si="104"/>
        <v>643.90000000000009</v>
      </c>
      <c r="G1105" s="8">
        <f t="shared" si="105"/>
        <v>7726.8</v>
      </c>
      <c r="H1105" s="8">
        <f t="shared" si="106"/>
        <v>1416.58</v>
      </c>
      <c r="I1105" s="10">
        <f t="shared" si="107"/>
        <v>6310.22</v>
      </c>
    </row>
    <row r="1106" spans="1:9" x14ac:dyDescent="0.25">
      <c r="A1106" s="6">
        <v>1558</v>
      </c>
      <c r="B1106" s="5" t="str">
        <f>VLOOKUP(A1106, EmployeeMaster!$A:$D, 3, FALSE)</f>
        <v>Research &amp; Development</v>
      </c>
      <c r="C1106" s="8">
        <v>2451</v>
      </c>
      <c r="D1106" s="8">
        <f t="shared" si="102"/>
        <v>490.20000000000005</v>
      </c>
      <c r="E1106" s="8">
        <f t="shared" si="103"/>
        <v>294.12</v>
      </c>
      <c r="F1106" s="8">
        <f t="shared" si="104"/>
        <v>245.10000000000002</v>
      </c>
      <c r="G1106" s="8">
        <f t="shared" si="105"/>
        <v>2941.2</v>
      </c>
      <c r="H1106" s="8">
        <f t="shared" si="106"/>
        <v>539.22</v>
      </c>
      <c r="I1106" s="10">
        <f t="shared" si="107"/>
        <v>2401.9799999999996</v>
      </c>
    </row>
    <row r="1107" spans="1:9" x14ac:dyDescent="0.25">
      <c r="A1107" s="6">
        <v>1560</v>
      </c>
      <c r="B1107" s="5" t="str">
        <f>VLOOKUP(A1107, EmployeeMaster!$A:$D, 3, FALSE)</f>
        <v>Sales</v>
      </c>
      <c r="C1107" s="8">
        <v>6392</v>
      </c>
      <c r="D1107" s="8">
        <f t="shared" si="102"/>
        <v>1278.4000000000001</v>
      </c>
      <c r="E1107" s="8">
        <f t="shared" si="103"/>
        <v>767.04</v>
      </c>
      <c r="F1107" s="8">
        <f t="shared" si="104"/>
        <v>639.20000000000005</v>
      </c>
      <c r="G1107" s="8">
        <f t="shared" si="105"/>
        <v>7670.4</v>
      </c>
      <c r="H1107" s="8">
        <f t="shared" si="106"/>
        <v>1406.24</v>
      </c>
      <c r="I1107" s="10">
        <f t="shared" si="107"/>
        <v>6264.16</v>
      </c>
    </row>
    <row r="1108" spans="1:9" x14ac:dyDescent="0.25">
      <c r="A1108" s="6">
        <v>1562</v>
      </c>
      <c r="B1108" s="5" t="str">
        <f>VLOOKUP(A1108, EmployeeMaster!$A:$D, 3, FALSE)</f>
        <v>Sales</v>
      </c>
      <c r="C1108" s="8">
        <v>9714</v>
      </c>
      <c r="D1108" s="8">
        <f t="shared" si="102"/>
        <v>1942.8000000000002</v>
      </c>
      <c r="E1108" s="8">
        <f t="shared" si="103"/>
        <v>1165.68</v>
      </c>
      <c r="F1108" s="8">
        <f t="shared" si="104"/>
        <v>971.40000000000009</v>
      </c>
      <c r="G1108" s="8">
        <f t="shared" si="105"/>
        <v>11656.8</v>
      </c>
      <c r="H1108" s="8">
        <f t="shared" si="106"/>
        <v>2137.08</v>
      </c>
      <c r="I1108" s="10">
        <f t="shared" si="107"/>
        <v>9519.7199999999993</v>
      </c>
    </row>
    <row r="1109" spans="1:9" x14ac:dyDescent="0.25">
      <c r="A1109" s="6">
        <v>1563</v>
      </c>
      <c r="B1109" s="5" t="str">
        <f>VLOOKUP(A1109, EmployeeMaster!$A:$D, 3, FALSE)</f>
        <v>Human Resources</v>
      </c>
      <c r="C1109" s="8">
        <v>6077</v>
      </c>
      <c r="D1109" s="8">
        <f t="shared" si="102"/>
        <v>1215.4000000000001</v>
      </c>
      <c r="E1109" s="8">
        <f t="shared" si="103"/>
        <v>729.24</v>
      </c>
      <c r="F1109" s="8">
        <f t="shared" si="104"/>
        <v>607.70000000000005</v>
      </c>
      <c r="G1109" s="8">
        <f t="shared" si="105"/>
        <v>7292.4</v>
      </c>
      <c r="H1109" s="8">
        <f t="shared" si="106"/>
        <v>1336.94</v>
      </c>
      <c r="I1109" s="10">
        <f t="shared" si="107"/>
        <v>5955.4599999999991</v>
      </c>
    </row>
    <row r="1110" spans="1:9" x14ac:dyDescent="0.25">
      <c r="A1110" s="6">
        <v>1564</v>
      </c>
      <c r="B1110" s="5" t="str">
        <f>VLOOKUP(A1110, EmployeeMaster!$A:$D, 3, FALSE)</f>
        <v>Research &amp; Development</v>
      </c>
      <c r="C1110" s="8">
        <v>2450</v>
      </c>
      <c r="D1110" s="8">
        <f t="shared" si="102"/>
        <v>490</v>
      </c>
      <c r="E1110" s="8">
        <f t="shared" si="103"/>
        <v>294</v>
      </c>
      <c r="F1110" s="8">
        <f t="shared" si="104"/>
        <v>245</v>
      </c>
      <c r="G1110" s="8">
        <f t="shared" si="105"/>
        <v>2940</v>
      </c>
      <c r="H1110" s="8">
        <f t="shared" si="106"/>
        <v>539</v>
      </c>
      <c r="I1110" s="10">
        <f t="shared" si="107"/>
        <v>2401</v>
      </c>
    </row>
    <row r="1111" spans="1:9" x14ac:dyDescent="0.25">
      <c r="A1111" s="6">
        <v>1568</v>
      </c>
      <c r="B1111" s="5" t="str">
        <f>VLOOKUP(A1111, EmployeeMaster!$A:$D, 3, FALSE)</f>
        <v>Sales</v>
      </c>
      <c r="C1111" s="8">
        <v>9250</v>
      </c>
      <c r="D1111" s="8">
        <f t="shared" si="102"/>
        <v>1850</v>
      </c>
      <c r="E1111" s="8">
        <f t="shared" si="103"/>
        <v>1110</v>
      </c>
      <c r="F1111" s="8">
        <f t="shared" si="104"/>
        <v>925</v>
      </c>
      <c r="G1111" s="8">
        <f t="shared" si="105"/>
        <v>11100</v>
      </c>
      <c r="H1111" s="8">
        <f t="shared" si="106"/>
        <v>2035</v>
      </c>
      <c r="I1111" s="10">
        <f t="shared" si="107"/>
        <v>9065</v>
      </c>
    </row>
    <row r="1112" spans="1:9" x14ac:dyDescent="0.25">
      <c r="A1112" s="6">
        <v>1569</v>
      </c>
      <c r="B1112" s="5" t="str">
        <f>VLOOKUP(A1112, EmployeeMaster!$A:$D, 3, FALSE)</f>
        <v>Research &amp; Development</v>
      </c>
      <c r="C1112" s="8">
        <v>2074</v>
      </c>
      <c r="D1112" s="8">
        <f t="shared" si="102"/>
        <v>414.8</v>
      </c>
      <c r="E1112" s="8">
        <f t="shared" si="103"/>
        <v>248.88</v>
      </c>
      <c r="F1112" s="8">
        <f t="shared" si="104"/>
        <v>207.4</v>
      </c>
      <c r="G1112" s="8">
        <f t="shared" si="105"/>
        <v>2488.8000000000002</v>
      </c>
      <c r="H1112" s="8">
        <f t="shared" si="106"/>
        <v>456.28</v>
      </c>
      <c r="I1112" s="10">
        <f t="shared" si="107"/>
        <v>2032.5200000000002</v>
      </c>
    </row>
    <row r="1113" spans="1:9" x14ac:dyDescent="0.25">
      <c r="A1113" s="6">
        <v>1572</v>
      </c>
      <c r="B1113" s="5" t="str">
        <f>VLOOKUP(A1113, EmployeeMaster!$A:$D, 3, FALSE)</f>
        <v>Research &amp; Development</v>
      </c>
      <c r="C1113" s="8">
        <v>10169</v>
      </c>
      <c r="D1113" s="8">
        <f t="shared" si="102"/>
        <v>2033.8000000000002</v>
      </c>
      <c r="E1113" s="8">
        <f t="shared" si="103"/>
        <v>1220.28</v>
      </c>
      <c r="F1113" s="8">
        <f t="shared" si="104"/>
        <v>1016.9000000000001</v>
      </c>
      <c r="G1113" s="8">
        <f t="shared" si="105"/>
        <v>12202.8</v>
      </c>
      <c r="H1113" s="8">
        <f t="shared" si="106"/>
        <v>2237.1800000000003</v>
      </c>
      <c r="I1113" s="10">
        <f t="shared" si="107"/>
        <v>9965.619999999999</v>
      </c>
    </row>
    <row r="1114" spans="1:9" x14ac:dyDescent="0.25">
      <c r="A1114" s="6">
        <v>1573</v>
      </c>
      <c r="B1114" s="5" t="str">
        <f>VLOOKUP(A1114, EmployeeMaster!$A:$D, 3, FALSE)</f>
        <v>Research &amp; Development</v>
      </c>
      <c r="C1114" s="8">
        <v>4855</v>
      </c>
      <c r="D1114" s="8">
        <f t="shared" si="102"/>
        <v>971</v>
      </c>
      <c r="E1114" s="8">
        <f t="shared" si="103"/>
        <v>582.6</v>
      </c>
      <c r="F1114" s="8">
        <f t="shared" si="104"/>
        <v>485.5</v>
      </c>
      <c r="G1114" s="8">
        <f t="shared" si="105"/>
        <v>5826</v>
      </c>
      <c r="H1114" s="8">
        <f t="shared" si="106"/>
        <v>1068.0999999999999</v>
      </c>
      <c r="I1114" s="10">
        <f t="shared" si="107"/>
        <v>4757.8999999999996</v>
      </c>
    </row>
    <row r="1115" spans="1:9" x14ac:dyDescent="0.25">
      <c r="A1115" s="6">
        <v>1574</v>
      </c>
      <c r="B1115" s="5" t="str">
        <f>VLOOKUP(A1115, EmployeeMaster!$A:$D, 3, FALSE)</f>
        <v>Research &amp; Development</v>
      </c>
      <c r="C1115" s="8">
        <v>4087</v>
      </c>
      <c r="D1115" s="8">
        <f t="shared" si="102"/>
        <v>817.40000000000009</v>
      </c>
      <c r="E1115" s="8">
        <f t="shared" si="103"/>
        <v>490.44</v>
      </c>
      <c r="F1115" s="8">
        <f t="shared" si="104"/>
        <v>408.70000000000005</v>
      </c>
      <c r="G1115" s="8">
        <f t="shared" si="105"/>
        <v>4904.3999999999996</v>
      </c>
      <c r="H1115" s="8">
        <f t="shared" si="106"/>
        <v>899.1400000000001</v>
      </c>
      <c r="I1115" s="10">
        <f t="shared" si="107"/>
        <v>4005.2599999999993</v>
      </c>
    </row>
    <row r="1116" spans="1:9" x14ac:dyDescent="0.25">
      <c r="A1116" s="6">
        <v>1576</v>
      </c>
      <c r="B1116" s="5" t="str">
        <f>VLOOKUP(A1116, EmployeeMaster!$A:$D, 3, FALSE)</f>
        <v>Research &amp; Development</v>
      </c>
      <c r="C1116" s="8">
        <v>2367</v>
      </c>
      <c r="D1116" s="8">
        <f t="shared" si="102"/>
        <v>473.40000000000003</v>
      </c>
      <c r="E1116" s="8">
        <f t="shared" si="103"/>
        <v>284.03999999999996</v>
      </c>
      <c r="F1116" s="8">
        <f t="shared" si="104"/>
        <v>236.70000000000002</v>
      </c>
      <c r="G1116" s="8">
        <f t="shared" si="105"/>
        <v>2840.4</v>
      </c>
      <c r="H1116" s="8">
        <f t="shared" si="106"/>
        <v>520.74</v>
      </c>
      <c r="I1116" s="10">
        <f t="shared" si="107"/>
        <v>2319.66</v>
      </c>
    </row>
    <row r="1117" spans="1:9" x14ac:dyDescent="0.25">
      <c r="A1117" s="6">
        <v>1577</v>
      </c>
      <c r="B1117" s="5" t="str">
        <f>VLOOKUP(A1117, EmployeeMaster!$A:$D, 3, FALSE)</f>
        <v>Research &amp; Development</v>
      </c>
      <c r="C1117" s="8">
        <v>2972</v>
      </c>
      <c r="D1117" s="8">
        <f t="shared" si="102"/>
        <v>594.4</v>
      </c>
      <c r="E1117" s="8">
        <f t="shared" si="103"/>
        <v>356.64</v>
      </c>
      <c r="F1117" s="8">
        <f t="shared" si="104"/>
        <v>297.2</v>
      </c>
      <c r="G1117" s="8">
        <f t="shared" si="105"/>
        <v>3566.4</v>
      </c>
      <c r="H1117" s="8">
        <f t="shared" si="106"/>
        <v>653.83999999999992</v>
      </c>
      <c r="I1117" s="10">
        <f t="shared" si="107"/>
        <v>2912.5600000000004</v>
      </c>
    </row>
    <row r="1118" spans="1:9" x14ac:dyDescent="0.25">
      <c r="A1118" s="6">
        <v>1578</v>
      </c>
      <c r="B1118" s="5" t="str">
        <f>VLOOKUP(A1118, EmployeeMaster!$A:$D, 3, FALSE)</f>
        <v>Sales</v>
      </c>
      <c r="C1118" s="8">
        <v>19586</v>
      </c>
      <c r="D1118" s="8">
        <f t="shared" si="102"/>
        <v>3917.2000000000003</v>
      </c>
      <c r="E1118" s="8">
        <f t="shared" si="103"/>
        <v>2350.3199999999997</v>
      </c>
      <c r="F1118" s="8">
        <f t="shared" si="104"/>
        <v>1958.6000000000001</v>
      </c>
      <c r="G1118" s="8">
        <f t="shared" si="105"/>
        <v>23503.200000000001</v>
      </c>
      <c r="H1118" s="8">
        <f t="shared" si="106"/>
        <v>4308.92</v>
      </c>
      <c r="I1118" s="10">
        <f t="shared" si="107"/>
        <v>19194.28</v>
      </c>
    </row>
    <row r="1119" spans="1:9" x14ac:dyDescent="0.25">
      <c r="A1119" s="6">
        <v>1580</v>
      </c>
      <c r="B1119" s="5" t="str">
        <f>VLOOKUP(A1119, EmployeeMaster!$A:$D, 3, FALSE)</f>
        <v>Research &amp; Development</v>
      </c>
      <c r="C1119" s="8">
        <v>5484</v>
      </c>
      <c r="D1119" s="8">
        <f t="shared" si="102"/>
        <v>1096.8</v>
      </c>
      <c r="E1119" s="8">
        <f t="shared" si="103"/>
        <v>658.07999999999993</v>
      </c>
      <c r="F1119" s="8">
        <f t="shared" si="104"/>
        <v>548.4</v>
      </c>
      <c r="G1119" s="8">
        <f t="shared" si="105"/>
        <v>6580.8</v>
      </c>
      <c r="H1119" s="8">
        <f t="shared" si="106"/>
        <v>1206.48</v>
      </c>
      <c r="I1119" s="10">
        <f t="shared" si="107"/>
        <v>5374.32</v>
      </c>
    </row>
    <row r="1120" spans="1:9" x14ac:dyDescent="0.25">
      <c r="A1120" s="6">
        <v>1581</v>
      </c>
      <c r="B1120" s="5" t="str">
        <f>VLOOKUP(A1120, EmployeeMaster!$A:$D, 3, FALSE)</f>
        <v>Research &amp; Development</v>
      </c>
      <c r="C1120" s="8">
        <v>2061</v>
      </c>
      <c r="D1120" s="8">
        <f t="shared" si="102"/>
        <v>412.20000000000005</v>
      </c>
      <c r="E1120" s="8">
        <f t="shared" si="103"/>
        <v>247.32</v>
      </c>
      <c r="F1120" s="8">
        <f t="shared" si="104"/>
        <v>206.10000000000002</v>
      </c>
      <c r="G1120" s="8">
        <f t="shared" si="105"/>
        <v>2473.1999999999998</v>
      </c>
      <c r="H1120" s="8">
        <f t="shared" si="106"/>
        <v>453.42</v>
      </c>
      <c r="I1120" s="10">
        <f t="shared" si="107"/>
        <v>2019.7799999999997</v>
      </c>
    </row>
    <row r="1121" spans="1:9" x14ac:dyDescent="0.25">
      <c r="A1121" s="6">
        <v>1582</v>
      </c>
      <c r="B1121" s="5" t="str">
        <f>VLOOKUP(A1121, EmployeeMaster!$A:$D, 3, FALSE)</f>
        <v>Sales</v>
      </c>
      <c r="C1121" s="8">
        <v>9924</v>
      </c>
      <c r="D1121" s="8">
        <f t="shared" si="102"/>
        <v>1984.8000000000002</v>
      </c>
      <c r="E1121" s="8">
        <f t="shared" si="103"/>
        <v>1190.8799999999999</v>
      </c>
      <c r="F1121" s="8">
        <f t="shared" si="104"/>
        <v>992.40000000000009</v>
      </c>
      <c r="G1121" s="8">
        <f t="shared" si="105"/>
        <v>11908.8</v>
      </c>
      <c r="H1121" s="8">
        <f t="shared" si="106"/>
        <v>2183.2799999999997</v>
      </c>
      <c r="I1121" s="10">
        <f t="shared" si="107"/>
        <v>9725.52</v>
      </c>
    </row>
    <row r="1122" spans="1:9" x14ac:dyDescent="0.25">
      <c r="A1122" s="6">
        <v>1583</v>
      </c>
      <c r="B1122" s="5" t="str">
        <f>VLOOKUP(A1122, EmployeeMaster!$A:$D, 3, FALSE)</f>
        <v>Sales</v>
      </c>
      <c r="C1122" s="8">
        <v>4198</v>
      </c>
      <c r="D1122" s="8">
        <f t="shared" si="102"/>
        <v>839.6</v>
      </c>
      <c r="E1122" s="8">
        <f t="shared" si="103"/>
        <v>503.76</v>
      </c>
      <c r="F1122" s="8">
        <f t="shared" si="104"/>
        <v>419.8</v>
      </c>
      <c r="G1122" s="8">
        <f t="shared" si="105"/>
        <v>5037.6000000000004</v>
      </c>
      <c r="H1122" s="8">
        <f t="shared" si="106"/>
        <v>923.56</v>
      </c>
      <c r="I1122" s="10">
        <f t="shared" si="107"/>
        <v>4114.0400000000009</v>
      </c>
    </row>
    <row r="1123" spans="1:9" x14ac:dyDescent="0.25">
      <c r="A1123" s="6">
        <v>1585</v>
      </c>
      <c r="B1123" s="5" t="str">
        <f>VLOOKUP(A1123, EmployeeMaster!$A:$D, 3, FALSE)</f>
        <v>Sales</v>
      </c>
      <c r="C1123" s="8">
        <v>6815</v>
      </c>
      <c r="D1123" s="8">
        <f t="shared" si="102"/>
        <v>1363</v>
      </c>
      <c r="E1123" s="8">
        <f t="shared" si="103"/>
        <v>817.8</v>
      </c>
      <c r="F1123" s="8">
        <f t="shared" si="104"/>
        <v>681.5</v>
      </c>
      <c r="G1123" s="8">
        <f t="shared" si="105"/>
        <v>8178</v>
      </c>
      <c r="H1123" s="8">
        <f t="shared" si="106"/>
        <v>1499.3</v>
      </c>
      <c r="I1123" s="10">
        <f t="shared" si="107"/>
        <v>6678.7</v>
      </c>
    </row>
    <row r="1124" spans="1:9" x14ac:dyDescent="0.25">
      <c r="A1124" s="6">
        <v>1586</v>
      </c>
      <c r="B1124" s="5" t="str">
        <f>VLOOKUP(A1124, EmployeeMaster!$A:$D, 3, FALSE)</f>
        <v>Research &amp; Development</v>
      </c>
      <c r="C1124" s="8">
        <v>4723</v>
      </c>
      <c r="D1124" s="8">
        <f t="shared" si="102"/>
        <v>944.6</v>
      </c>
      <c r="E1124" s="8">
        <f t="shared" si="103"/>
        <v>566.76</v>
      </c>
      <c r="F1124" s="8">
        <f t="shared" si="104"/>
        <v>472.3</v>
      </c>
      <c r="G1124" s="8">
        <f t="shared" si="105"/>
        <v>5667.6</v>
      </c>
      <c r="H1124" s="8">
        <f t="shared" si="106"/>
        <v>1039.06</v>
      </c>
      <c r="I1124" s="10">
        <f t="shared" si="107"/>
        <v>4628.5400000000009</v>
      </c>
    </row>
    <row r="1125" spans="1:9" x14ac:dyDescent="0.25">
      <c r="A1125" s="6">
        <v>1587</v>
      </c>
      <c r="B1125" s="5" t="str">
        <f>VLOOKUP(A1125, EmployeeMaster!$A:$D, 3, FALSE)</f>
        <v>Research &amp; Development</v>
      </c>
      <c r="C1125" s="8">
        <v>6142</v>
      </c>
      <c r="D1125" s="8">
        <f t="shared" si="102"/>
        <v>1228.4000000000001</v>
      </c>
      <c r="E1125" s="8">
        <f t="shared" si="103"/>
        <v>737.04</v>
      </c>
      <c r="F1125" s="8">
        <f t="shared" si="104"/>
        <v>614.20000000000005</v>
      </c>
      <c r="G1125" s="8">
        <f t="shared" si="105"/>
        <v>7370.4</v>
      </c>
      <c r="H1125" s="8">
        <f t="shared" si="106"/>
        <v>1351.24</v>
      </c>
      <c r="I1125" s="10">
        <f t="shared" si="107"/>
        <v>6019.16</v>
      </c>
    </row>
    <row r="1126" spans="1:9" x14ac:dyDescent="0.25">
      <c r="A1126" s="6">
        <v>1588</v>
      </c>
      <c r="B1126" s="5" t="str">
        <f>VLOOKUP(A1126, EmployeeMaster!$A:$D, 3, FALSE)</f>
        <v>Sales</v>
      </c>
      <c r="C1126" s="8">
        <v>8237</v>
      </c>
      <c r="D1126" s="8">
        <f t="shared" si="102"/>
        <v>1647.4</v>
      </c>
      <c r="E1126" s="8">
        <f t="shared" si="103"/>
        <v>988.43999999999994</v>
      </c>
      <c r="F1126" s="8">
        <f t="shared" si="104"/>
        <v>823.7</v>
      </c>
      <c r="G1126" s="8">
        <f t="shared" si="105"/>
        <v>9884.4</v>
      </c>
      <c r="H1126" s="8">
        <f t="shared" si="106"/>
        <v>1812.1399999999999</v>
      </c>
      <c r="I1126" s="10">
        <f t="shared" si="107"/>
        <v>8072.26</v>
      </c>
    </row>
    <row r="1127" spans="1:9" x14ac:dyDescent="0.25">
      <c r="A1127" s="6">
        <v>1590</v>
      </c>
      <c r="B1127" s="5" t="str">
        <f>VLOOKUP(A1127, EmployeeMaster!$A:$D, 3, FALSE)</f>
        <v>Research &amp; Development</v>
      </c>
      <c r="C1127" s="8">
        <v>8853</v>
      </c>
      <c r="D1127" s="8">
        <f t="shared" si="102"/>
        <v>1770.6000000000001</v>
      </c>
      <c r="E1127" s="8">
        <f t="shared" si="103"/>
        <v>1062.3599999999999</v>
      </c>
      <c r="F1127" s="8">
        <f t="shared" si="104"/>
        <v>885.30000000000007</v>
      </c>
      <c r="G1127" s="8">
        <f t="shared" si="105"/>
        <v>10623.6</v>
      </c>
      <c r="H1127" s="8">
        <f t="shared" si="106"/>
        <v>1947.6599999999999</v>
      </c>
      <c r="I1127" s="10">
        <f t="shared" si="107"/>
        <v>8675.94</v>
      </c>
    </row>
    <row r="1128" spans="1:9" x14ac:dyDescent="0.25">
      <c r="A1128" s="6">
        <v>1591</v>
      </c>
      <c r="B1128" s="5" t="str">
        <f>VLOOKUP(A1128, EmployeeMaster!$A:$D, 3, FALSE)</f>
        <v>Sales</v>
      </c>
      <c r="C1128" s="8">
        <v>19331</v>
      </c>
      <c r="D1128" s="8">
        <f t="shared" si="102"/>
        <v>3866.2000000000003</v>
      </c>
      <c r="E1128" s="8">
        <f t="shared" si="103"/>
        <v>2319.7199999999998</v>
      </c>
      <c r="F1128" s="8">
        <f t="shared" si="104"/>
        <v>1933.1000000000001</v>
      </c>
      <c r="G1128" s="8">
        <f t="shared" si="105"/>
        <v>23197.200000000001</v>
      </c>
      <c r="H1128" s="8">
        <f t="shared" si="106"/>
        <v>4252.82</v>
      </c>
      <c r="I1128" s="10">
        <f t="shared" si="107"/>
        <v>18944.38</v>
      </c>
    </row>
    <row r="1129" spans="1:9" x14ac:dyDescent="0.25">
      <c r="A1129" s="6">
        <v>1592</v>
      </c>
      <c r="B1129" s="5" t="str">
        <f>VLOOKUP(A1129, EmployeeMaster!$A:$D, 3, FALSE)</f>
        <v>Research &amp; Development</v>
      </c>
      <c r="C1129" s="8">
        <v>2073</v>
      </c>
      <c r="D1129" s="8">
        <f t="shared" si="102"/>
        <v>414.6</v>
      </c>
      <c r="E1129" s="8">
        <f t="shared" si="103"/>
        <v>248.76</v>
      </c>
      <c r="F1129" s="8">
        <f t="shared" si="104"/>
        <v>207.3</v>
      </c>
      <c r="G1129" s="8">
        <f t="shared" si="105"/>
        <v>2487.6</v>
      </c>
      <c r="H1129" s="8">
        <f t="shared" si="106"/>
        <v>456.06</v>
      </c>
      <c r="I1129" s="10">
        <f t="shared" si="107"/>
        <v>2031.54</v>
      </c>
    </row>
    <row r="1130" spans="1:9" x14ac:dyDescent="0.25">
      <c r="A1130" s="6">
        <v>1594</v>
      </c>
      <c r="B1130" s="5" t="str">
        <f>VLOOKUP(A1130, EmployeeMaster!$A:$D, 3, FALSE)</f>
        <v>Research &amp; Development</v>
      </c>
      <c r="C1130" s="8">
        <v>5562</v>
      </c>
      <c r="D1130" s="8">
        <f t="shared" si="102"/>
        <v>1112.4000000000001</v>
      </c>
      <c r="E1130" s="8">
        <f t="shared" si="103"/>
        <v>667.43999999999994</v>
      </c>
      <c r="F1130" s="8">
        <f t="shared" si="104"/>
        <v>556.20000000000005</v>
      </c>
      <c r="G1130" s="8">
        <f t="shared" si="105"/>
        <v>6674.4</v>
      </c>
      <c r="H1130" s="8">
        <f t="shared" si="106"/>
        <v>1223.6399999999999</v>
      </c>
      <c r="I1130" s="10">
        <f t="shared" si="107"/>
        <v>5450.76</v>
      </c>
    </row>
    <row r="1131" spans="1:9" x14ac:dyDescent="0.25">
      <c r="A1131" s="6">
        <v>1595</v>
      </c>
      <c r="B1131" s="5" t="str">
        <f>VLOOKUP(A1131, EmployeeMaster!$A:$D, 3, FALSE)</f>
        <v>Research &amp; Development</v>
      </c>
      <c r="C1131" s="8">
        <v>19613</v>
      </c>
      <c r="D1131" s="8">
        <f t="shared" si="102"/>
        <v>3922.6000000000004</v>
      </c>
      <c r="E1131" s="8">
        <f t="shared" si="103"/>
        <v>2353.56</v>
      </c>
      <c r="F1131" s="8">
        <f t="shared" si="104"/>
        <v>1961.3000000000002</v>
      </c>
      <c r="G1131" s="8">
        <f t="shared" si="105"/>
        <v>23535.599999999999</v>
      </c>
      <c r="H1131" s="8">
        <f t="shared" si="106"/>
        <v>4314.8600000000006</v>
      </c>
      <c r="I1131" s="10">
        <f t="shared" si="107"/>
        <v>19220.739999999998</v>
      </c>
    </row>
    <row r="1132" spans="1:9" x14ac:dyDescent="0.25">
      <c r="A1132" s="6">
        <v>1596</v>
      </c>
      <c r="B1132" s="5" t="str">
        <f>VLOOKUP(A1132, EmployeeMaster!$A:$D, 3, FALSE)</f>
        <v>Research &amp; Development</v>
      </c>
      <c r="C1132" s="8">
        <v>3407</v>
      </c>
      <c r="D1132" s="8">
        <f t="shared" si="102"/>
        <v>681.40000000000009</v>
      </c>
      <c r="E1132" s="8">
        <f t="shared" si="103"/>
        <v>408.84</v>
      </c>
      <c r="F1132" s="8">
        <f t="shared" si="104"/>
        <v>340.70000000000005</v>
      </c>
      <c r="G1132" s="8">
        <f t="shared" si="105"/>
        <v>4088.4</v>
      </c>
      <c r="H1132" s="8">
        <f t="shared" si="106"/>
        <v>749.54</v>
      </c>
      <c r="I1132" s="10">
        <f t="shared" si="107"/>
        <v>3338.86</v>
      </c>
    </row>
    <row r="1133" spans="1:9" x14ac:dyDescent="0.25">
      <c r="A1133" s="6">
        <v>1597</v>
      </c>
      <c r="B1133" s="5" t="str">
        <f>VLOOKUP(A1133, EmployeeMaster!$A:$D, 3, FALSE)</f>
        <v>Research &amp; Development</v>
      </c>
      <c r="C1133" s="8">
        <v>5063</v>
      </c>
      <c r="D1133" s="8">
        <f t="shared" si="102"/>
        <v>1012.6</v>
      </c>
      <c r="E1133" s="8">
        <f t="shared" si="103"/>
        <v>607.55999999999995</v>
      </c>
      <c r="F1133" s="8">
        <f t="shared" si="104"/>
        <v>506.3</v>
      </c>
      <c r="G1133" s="8">
        <f t="shared" si="105"/>
        <v>6075.6</v>
      </c>
      <c r="H1133" s="8">
        <f t="shared" si="106"/>
        <v>1113.8599999999999</v>
      </c>
      <c r="I1133" s="10">
        <f t="shared" si="107"/>
        <v>4961.7400000000007</v>
      </c>
    </row>
    <row r="1134" spans="1:9" x14ac:dyDescent="0.25">
      <c r="A1134" s="6">
        <v>1598</v>
      </c>
      <c r="B1134" s="5" t="str">
        <f>VLOOKUP(A1134, EmployeeMaster!$A:$D, 3, FALSE)</f>
        <v>Sales</v>
      </c>
      <c r="C1134" s="8">
        <v>4639</v>
      </c>
      <c r="D1134" s="8">
        <f t="shared" si="102"/>
        <v>927.80000000000007</v>
      </c>
      <c r="E1134" s="8">
        <f t="shared" si="103"/>
        <v>556.67999999999995</v>
      </c>
      <c r="F1134" s="8">
        <f t="shared" si="104"/>
        <v>463.90000000000003</v>
      </c>
      <c r="G1134" s="8">
        <f t="shared" si="105"/>
        <v>5566.8</v>
      </c>
      <c r="H1134" s="8">
        <f t="shared" si="106"/>
        <v>1020.5799999999999</v>
      </c>
      <c r="I1134" s="10">
        <f t="shared" si="107"/>
        <v>4546.22</v>
      </c>
    </row>
    <row r="1135" spans="1:9" x14ac:dyDescent="0.25">
      <c r="A1135" s="6">
        <v>1599</v>
      </c>
      <c r="B1135" s="5" t="str">
        <f>VLOOKUP(A1135, EmployeeMaster!$A:$D, 3, FALSE)</f>
        <v>Research &amp; Development</v>
      </c>
      <c r="C1135" s="8">
        <v>4876</v>
      </c>
      <c r="D1135" s="8">
        <f t="shared" si="102"/>
        <v>975.2</v>
      </c>
      <c r="E1135" s="8">
        <f t="shared" si="103"/>
        <v>585.12</v>
      </c>
      <c r="F1135" s="8">
        <f t="shared" si="104"/>
        <v>487.6</v>
      </c>
      <c r="G1135" s="8">
        <f t="shared" si="105"/>
        <v>5851.2</v>
      </c>
      <c r="H1135" s="8">
        <f t="shared" si="106"/>
        <v>1072.72</v>
      </c>
      <c r="I1135" s="10">
        <f t="shared" si="107"/>
        <v>4778.4799999999996</v>
      </c>
    </row>
    <row r="1136" spans="1:9" x14ac:dyDescent="0.25">
      <c r="A1136" s="6">
        <v>1601</v>
      </c>
      <c r="B1136" s="5" t="str">
        <f>VLOOKUP(A1136, EmployeeMaster!$A:$D, 3, FALSE)</f>
        <v>Research &amp; Development</v>
      </c>
      <c r="C1136" s="8">
        <v>2690</v>
      </c>
      <c r="D1136" s="8">
        <f t="shared" si="102"/>
        <v>538</v>
      </c>
      <c r="E1136" s="8">
        <f t="shared" si="103"/>
        <v>322.8</v>
      </c>
      <c r="F1136" s="8">
        <f t="shared" si="104"/>
        <v>269</v>
      </c>
      <c r="G1136" s="8">
        <f t="shared" si="105"/>
        <v>3228</v>
      </c>
      <c r="H1136" s="8">
        <f t="shared" si="106"/>
        <v>591.79999999999995</v>
      </c>
      <c r="I1136" s="10">
        <f t="shared" si="107"/>
        <v>2636.2</v>
      </c>
    </row>
    <row r="1137" spans="1:9" x14ac:dyDescent="0.25">
      <c r="A1137" s="6">
        <v>1602</v>
      </c>
      <c r="B1137" s="5" t="str">
        <f>VLOOKUP(A1137, EmployeeMaster!$A:$D, 3, FALSE)</f>
        <v>Sales</v>
      </c>
      <c r="C1137" s="8">
        <v>17567</v>
      </c>
      <c r="D1137" s="8">
        <f t="shared" si="102"/>
        <v>3513.4</v>
      </c>
      <c r="E1137" s="8">
        <f t="shared" si="103"/>
        <v>2108.04</v>
      </c>
      <c r="F1137" s="8">
        <f t="shared" si="104"/>
        <v>1756.7</v>
      </c>
      <c r="G1137" s="8">
        <f t="shared" si="105"/>
        <v>21080.400000000001</v>
      </c>
      <c r="H1137" s="8">
        <f t="shared" si="106"/>
        <v>3864.74</v>
      </c>
      <c r="I1137" s="10">
        <f t="shared" si="107"/>
        <v>17215.660000000003</v>
      </c>
    </row>
    <row r="1138" spans="1:9" x14ac:dyDescent="0.25">
      <c r="A1138" s="6">
        <v>1604</v>
      </c>
      <c r="B1138" s="5" t="str">
        <f>VLOOKUP(A1138, EmployeeMaster!$A:$D, 3, FALSE)</f>
        <v>Research &amp; Development</v>
      </c>
      <c r="C1138" s="8">
        <v>2408</v>
      </c>
      <c r="D1138" s="8">
        <f t="shared" si="102"/>
        <v>481.6</v>
      </c>
      <c r="E1138" s="8">
        <f t="shared" si="103"/>
        <v>288.95999999999998</v>
      </c>
      <c r="F1138" s="8">
        <f t="shared" si="104"/>
        <v>240.8</v>
      </c>
      <c r="G1138" s="8">
        <f t="shared" si="105"/>
        <v>2889.6</v>
      </c>
      <c r="H1138" s="8">
        <f t="shared" si="106"/>
        <v>529.76</v>
      </c>
      <c r="I1138" s="10">
        <f t="shared" si="107"/>
        <v>2359.84</v>
      </c>
    </row>
    <row r="1139" spans="1:9" x14ac:dyDescent="0.25">
      <c r="A1139" s="6">
        <v>1605</v>
      </c>
      <c r="B1139" s="5" t="str">
        <f>VLOOKUP(A1139, EmployeeMaster!$A:$D, 3, FALSE)</f>
        <v>Research &amp; Development</v>
      </c>
      <c r="C1139" s="8">
        <v>2814</v>
      </c>
      <c r="D1139" s="8">
        <f t="shared" si="102"/>
        <v>562.80000000000007</v>
      </c>
      <c r="E1139" s="8">
        <f t="shared" si="103"/>
        <v>337.68</v>
      </c>
      <c r="F1139" s="8">
        <f t="shared" si="104"/>
        <v>281.40000000000003</v>
      </c>
      <c r="G1139" s="8">
        <f t="shared" si="105"/>
        <v>3376.8</v>
      </c>
      <c r="H1139" s="8">
        <f t="shared" si="106"/>
        <v>619.08000000000004</v>
      </c>
      <c r="I1139" s="10">
        <f t="shared" si="107"/>
        <v>2757.7200000000003</v>
      </c>
    </row>
    <row r="1140" spans="1:9" x14ac:dyDescent="0.25">
      <c r="A1140" s="6">
        <v>1606</v>
      </c>
      <c r="B1140" s="5" t="str">
        <f>VLOOKUP(A1140, EmployeeMaster!$A:$D, 3, FALSE)</f>
        <v>Research &amp; Development</v>
      </c>
      <c r="C1140" s="8">
        <v>11245</v>
      </c>
      <c r="D1140" s="8">
        <f t="shared" si="102"/>
        <v>2249</v>
      </c>
      <c r="E1140" s="8">
        <f t="shared" si="103"/>
        <v>1349.3999999999999</v>
      </c>
      <c r="F1140" s="8">
        <f t="shared" si="104"/>
        <v>1124.5</v>
      </c>
      <c r="G1140" s="8">
        <f t="shared" si="105"/>
        <v>13494</v>
      </c>
      <c r="H1140" s="8">
        <f t="shared" si="106"/>
        <v>2473.8999999999996</v>
      </c>
      <c r="I1140" s="10">
        <f t="shared" si="107"/>
        <v>11020.1</v>
      </c>
    </row>
    <row r="1141" spans="1:9" x14ac:dyDescent="0.25">
      <c r="A1141" s="6">
        <v>1607</v>
      </c>
      <c r="B1141" s="5" t="str">
        <f>VLOOKUP(A1141, EmployeeMaster!$A:$D, 3, FALSE)</f>
        <v>Research &amp; Development</v>
      </c>
      <c r="C1141" s="8">
        <v>3312</v>
      </c>
      <c r="D1141" s="8">
        <f t="shared" si="102"/>
        <v>662.40000000000009</v>
      </c>
      <c r="E1141" s="8">
        <f t="shared" si="103"/>
        <v>397.44</v>
      </c>
      <c r="F1141" s="8">
        <f t="shared" si="104"/>
        <v>331.20000000000005</v>
      </c>
      <c r="G1141" s="8">
        <f t="shared" si="105"/>
        <v>3974.4</v>
      </c>
      <c r="H1141" s="8">
        <f t="shared" si="106"/>
        <v>728.6400000000001</v>
      </c>
      <c r="I1141" s="10">
        <f t="shared" si="107"/>
        <v>3245.76</v>
      </c>
    </row>
    <row r="1142" spans="1:9" x14ac:dyDescent="0.25">
      <c r="A1142" s="6">
        <v>1608</v>
      </c>
      <c r="B1142" s="5" t="str">
        <f>VLOOKUP(A1142, EmployeeMaster!$A:$D, 3, FALSE)</f>
        <v>Research &amp; Development</v>
      </c>
      <c r="C1142" s="8">
        <v>19049</v>
      </c>
      <c r="D1142" s="8">
        <f t="shared" si="102"/>
        <v>3809.8</v>
      </c>
      <c r="E1142" s="8">
        <f t="shared" si="103"/>
        <v>2285.88</v>
      </c>
      <c r="F1142" s="8">
        <f t="shared" si="104"/>
        <v>1904.9</v>
      </c>
      <c r="G1142" s="8">
        <f t="shared" si="105"/>
        <v>22858.799999999999</v>
      </c>
      <c r="H1142" s="8">
        <f t="shared" si="106"/>
        <v>4190.7800000000007</v>
      </c>
      <c r="I1142" s="10">
        <f t="shared" si="107"/>
        <v>18668.019999999997</v>
      </c>
    </row>
    <row r="1143" spans="1:9" x14ac:dyDescent="0.25">
      <c r="A1143" s="6">
        <v>1609</v>
      </c>
      <c r="B1143" s="5" t="str">
        <f>VLOOKUP(A1143, EmployeeMaster!$A:$D, 3, FALSE)</f>
        <v>Research &amp; Development</v>
      </c>
      <c r="C1143" s="8">
        <v>2141</v>
      </c>
      <c r="D1143" s="8">
        <f t="shared" si="102"/>
        <v>428.20000000000005</v>
      </c>
      <c r="E1143" s="8">
        <f t="shared" si="103"/>
        <v>256.92</v>
      </c>
      <c r="F1143" s="8">
        <f t="shared" si="104"/>
        <v>214.10000000000002</v>
      </c>
      <c r="G1143" s="8">
        <f t="shared" si="105"/>
        <v>2569.1999999999998</v>
      </c>
      <c r="H1143" s="8">
        <f t="shared" si="106"/>
        <v>471.02000000000004</v>
      </c>
      <c r="I1143" s="10">
        <f t="shared" si="107"/>
        <v>2098.1799999999998</v>
      </c>
    </row>
    <row r="1144" spans="1:9" x14ac:dyDescent="0.25">
      <c r="A1144" s="6">
        <v>1611</v>
      </c>
      <c r="B1144" s="5" t="str">
        <f>VLOOKUP(A1144, EmployeeMaster!$A:$D, 3, FALSE)</f>
        <v>Research &amp; Development</v>
      </c>
      <c r="C1144" s="8">
        <v>5769</v>
      </c>
      <c r="D1144" s="8">
        <f t="shared" si="102"/>
        <v>1153.8</v>
      </c>
      <c r="E1144" s="8">
        <f t="shared" si="103"/>
        <v>692.28</v>
      </c>
      <c r="F1144" s="8">
        <f t="shared" si="104"/>
        <v>576.9</v>
      </c>
      <c r="G1144" s="8">
        <f t="shared" si="105"/>
        <v>6922.8</v>
      </c>
      <c r="H1144" s="8">
        <f t="shared" si="106"/>
        <v>1269.1799999999998</v>
      </c>
      <c r="I1144" s="10">
        <f t="shared" si="107"/>
        <v>5653.6200000000008</v>
      </c>
    </row>
    <row r="1145" spans="1:9" x14ac:dyDescent="0.25">
      <c r="A1145" s="6">
        <v>1612</v>
      </c>
      <c r="B1145" s="5" t="str">
        <f>VLOOKUP(A1145, EmployeeMaster!$A:$D, 3, FALSE)</f>
        <v>Sales</v>
      </c>
      <c r="C1145" s="8">
        <v>4385</v>
      </c>
      <c r="D1145" s="8">
        <f t="shared" si="102"/>
        <v>877</v>
      </c>
      <c r="E1145" s="8">
        <f t="shared" si="103"/>
        <v>526.19999999999993</v>
      </c>
      <c r="F1145" s="8">
        <f t="shared" si="104"/>
        <v>438.5</v>
      </c>
      <c r="G1145" s="8">
        <f t="shared" si="105"/>
        <v>5262</v>
      </c>
      <c r="H1145" s="8">
        <f t="shared" si="106"/>
        <v>964.69999999999993</v>
      </c>
      <c r="I1145" s="10">
        <f t="shared" si="107"/>
        <v>4297.3</v>
      </c>
    </row>
    <row r="1146" spans="1:9" x14ac:dyDescent="0.25">
      <c r="A1146" s="6">
        <v>1613</v>
      </c>
      <c r="B1146" s="5" t="str">
        <f>VLOOKUP(A1146, EmployeeMaster!$A:$D, 3, FALSE)</f>
        <v>Sales</v>
      </c>
      <c r="C1146" s="8">
        <v>5332</v>
      </c>
      <c r="D1146" s="8">
        <f t="shared" si="102"/>
        <v>1066.4000000000001</v>
      </c>
      <c r="E1146" s="8">
        <f t="shared" si="103"/>
        <v>639.84</v>
      </c>
      <c r="F1146" s="8">
        <f t="shared" si="104"/>
        <v>533.20000000000005</v>
      </c>
      <c r="G1146" s="8">
        <f t="shared" si="105"/>
        <v>6398.4</v>
      </c>
      <c r="H1146" s="8">
        <f t="shared" si="106"/>
        <v>1173.04</v>
      </c>
      <c r="I1146" s="10">
        <f t="shared" si="107"/>
        <v>5225.3599999999997</v>
      </c>
    </row>
    <row r="1147" spans="1:9" x14ac:dyDescent="0.25">
      <c r="A1147" s="6">
        <v>1614</v>
      </c>
      <c r="B1147" s="5" t="str">
        <f>VLOOKUP(A1147, EmployeeMaster!$A:$D, 3, FALSE)</f>
        <v>Research &amp; Development</v>
      </c>
      <c r="C1147" s="8">
        <v>4663</v>
      </c>
      <c r="D1147" s="8">
        <f t="shared" si="102"/>
        <v>932.6</v>
      </c>
      <c r="E1147" s="8">
        <f t="shared" si="103"/>
        <v>559.55999999999995</v>
      </c>
      <c r="F1147" s="8">
        <f t="shared" si="104"/>
        <v>466.3</v>
      </c>
      <c r="G1147" s="8">
        <f t="shared" si="105"/>
        <v>5595.6</v>
      </c>
      <c r="H1147" s="8">
        <f t="shared" si="106"/>
        <v>1025.8599999999999</v>
      </c>
      <c r="I1147" s="10">
        <f t="shared" si="107"/>
        <v>4569.7400000000007</v>
      </c>
    </row>
    <row r="1148" spans="1:9" x14ac:dyDescent="0.25">
      <c r="A1148" s="6">
        <v>1615</v>
      </c>
      <c r="B1148" s="5" t="str">
        <f>VLOOKUP(A1148, EmployeeMaster!$A:$D, 3, FALSE)</f>
        <v>Research &amp; Development</v>
      </c>
      <c r="C1148" s="8">
        <v>4724</v>
      </c>
      <c r="D1148" s="8">
        <f t="shared" si="102"/>
        <v>944.80000000000007</v>
      </c>
      <c r="E1148" s="8">
        <f t="shared" si="103"/>
        <v>566.88</v>
      </c>
      <c r="F1148" s="8">
        <f t="shared" si="104"/>
        <v>472.40000000000003</v>
      </c>
      <c r="G1148" s="8">
        <f t="shared" si="105"/>
        <v>5668.8</v>
      </c>
      <c r="H1148" s="8">
        <f t="shared" si="106"/>
        <v>1039.28</v>
      </c>
      <c r="I1148" s="10">
        <f t="shared" si="107"/>
        <v>4629.5200000000004</v>
      </c>
    </row>
    <row r="1149" spans="1:9" x14ac:dyDescent="0.25">
      <c r="A1149" s="6">
        <v>1617</v>
      </c>
      <c r="B1149" s="5" t="str">
        <f>VLOOKUP(A1149, EmployeeMaster!$A:$D, 3, FALSE)</f>
        <v>Research &amp; Development</v>
      </c>
      <c r="C1149" s="8">
        <v>3211</v>
      </c>
      <c r="D1149" s="8">
        <f t="shared" si="102"/>
        <v>642.20000000000005</v>
      </c>
      <c r="E1149" s="8">
        <f t="shared" si="103"/>
        <v>385.32</v>
      </c>
      <c r="F1149" s="8">
        <f t="shared" si="104"/>
        <v>321.10000000000002</v>
      </c>
      <c r="G1149" s="8">
        <f t="shared" si="105"/>
        <v>3853.2</v>
      </c>
      <c r="H1149" s="8">
        <f t="shared" si="106"/>
        <v>706.42000000000007</v>
      </c>
      <c r="I1149" s="10">
        <f t="shared" si="107"/>
        <v>3146.7799999999997</v>
      </c>
    </row>
    <row r="1150" spans="1:9" x14ac:dyDescent="0.25">
      <c r="A1150" s="6">
        <v>1618</v>
      </c>
      <c r="B1150" s="5" t="str">
        <f>VLOOKUP(A1150, EmployeeMaster!$A:$D, 3, FALSE)</f>
        <v>Research &amp; Development</v>
      </c>
      <c r="C1150" s="8">
        <v>5377</v>
      </c>
      <c r="D1150" s="8">
        <f t="shared" si="102"/>
        <v>1075.4000000000001</v>
      </c>
      <c r="E1150" s="8">
        <f t="shared" si="103"/>
        <v>645.24</v>
      </c>
      <c r="F1150" s="8">
        <f t="shared" si="104"/>
        <v>537.70000000000005</v>
      </c>
      <c r="G1150" s="8">
        <f t="shared" si="105"/>
        <v>6452.4</v>
      </c>
      <c r="H1150" s="8">
        <f t="shared" si="106"/>
        <v>1182.94</v>
      </c>
      <c r="I1150" s="10">
        <f t="shared" si="107"/>
        <v>5269.4599999999991</v>
      </c>
    </row>
    <row r="1151" spans="1:9" x14ac:dyDescent="0.25">
      <c r="A1151" s="6">
        <v>1619</v>
      </c>
      <c r="B1151" s="5" t="str">
        <f>VLOOKUP(A1151, EmployeeMaster!$A:$D, 3, FALSE)</f>
        <v>Research &amp; Development</v>
      </c>
      <c r="C1151" s="8">
        <v>4066</v>
      </c>
      <c r="D1151" s="8">
        <f t="shared" si="102"/>
        <v>813.2</v>
      </c>
      <c r="E1151" s="8">
        <f t="shared" si="103"/>
        <v>487.91999999999996</v>
      </c>
      <c r="F1151" s="8">
        <f t="shared" si="104"/>
        <v>406.6</v>
      </c>
      <c r="G1151" s="8">
        <f t="shared" si="105"/>
        <v>4879.2</v>
      </c>
      <c r="H1151" s="8">
        <f t="shared" si="106"/>
        <v>894.52</v>
      </c>
      <c r="I1151" s="10">
        <f t="shared" si="107"/>
        <v>3984.68</v>
      </c>
    </row>
    <row r="1152" spans="1:9" x14ac:dyDescent="0.25">
      <c r="A1152" s="6">
        <v>1621</v>
      </c>
      <c r="B1152" s="5" t="str">
        <f>VLOOKUP(A1152, EmployeeMaster!$A:$D, 3, FALSE)</f>
        <v>Research &amp; Development</v>
      </c>
      <c r="C1152" s="8">
        <v>5208</v>
      </c>
      <c r="D1152" s="8">
        <f t="shared" si="102"/>
        <v>1041.6000000000001</v>
      </c>
      <c r="E1152" s="8">
        <f t="shared" si="103"/>
        <v>624.95999999999992</v>
      </c>
      <c r="F1152" s="8">
        <f t="shared" si="104"/>
        <v>520.80000000000007</v>
      </c>
      <c r="G1152" s="8">
        <f t="shared" si="105"/>
        <v>6249.6</v>
      </c>
      <c r="H1152" s="8">
        <f t="shared" si="106"/>
        <v>1145.76</v>
      </c>
      <c r="I1152" s="10">
        <f t="shared" si="107"/>
        <v>5103.84</v>
      </c>
    </row>
    <row r="1153" spans="1:9" x14ac:dyDescent="0.25">
      <c r="A1153" s="6">
        <v>1622</v>
      </c>
      <c r="B1153" s="5" t="str">
        <f>VLOOKUP(A1153, EmployeeMaster!$A:$D, 3, FALSE)</f>
        <v>Research &amp; Development</v>
      </c>
      <c r="C1153" s="8">
        <v>4877</v>
      </c>
      <c r="D1153" s="8">
        <f t="shared" si="102"/>
        <v>975.40000000000009</v>
      </c>
      <c r="E1153" s="8">
        <f t="shared" si="103"/>
        <v>585.24</v>
      </c>
      <c r="F1153" s="8">
        <f t="shared" si="104"/>
        <v>487.70000000000005</v>
      </c>
      <c r="G1153" s="8">
        <f t="shared" si="105"/>
        <v>5852.4</v>
      </c>
      <c r="H1153" s="8">
        <f t="shared" si="106"/>
        <v>1072.94</v>
      </c>
      <c r="I1153" s="10">
        <f t="shared" si="107"/>
        <v>4779.4599999999991</v>
      </c>
    </row>
    <row r="1154" spans="1:9" x14ac:dyDescent="0.25">
      <c r="A1154" s="6">
        <v>1623</v>
      </c>
      <c r="B1154" s="5" t="str">
        <f>VLOOKUP(A1154, EmployeeMaster!$A:$D, 3, FALSE)</f>
        <v>Research &amp; Development</v>
      </c>
      <c r="C1154" s="8">
        <v>3117</v>
      </c>
      <c r="D1154" s="8">
        <f t="shared" si="102"/>
        <v>623.40000000000009</v>
      </c>
      <c r="E1154" s="8">
        <f t="shared" si="103"/>
        <v>374.03999999999996</v>
      </c>
      <c r="F1154" s="8">
        <f t="shared" si="104"/>
        <v>311.70000000000005</v>
      </c>
      <c r="G1154" s="8">
        <f t="shared" si="105"/>
        <v>3740.4</v>
      </c>
      <c r="H1154" s="8">
        <f t="shared" si="106"/>
        <v>685.74</v>
      </c>
      <c r="I1154" s="10">
        <f t="shared" si="107"/>
        <v>3054.66</v>
      </c>
    </row>
    <row r="1155" spans="1:9" x14ac:dyDescent="0.25">
      <c r="A1155" s="6">
        <v>1624</v>
      </c>
      <c r="B1155" s="5" t="str">
        <f>VLOOKUP(A1155, EmployeeMaster!$A:$D, 3, FALSE)</f>
        <v>Sales</v>
      </c>
      <c r="C1155" s="8">
        <v>1569</v>
      </c>
      <c r="D1155" s="8">
        <f t="shared" ref="D1155:D1218" si="108">C1155*20%</f>
        <v>313.8</v>
      </c>
      <c r="E1155" s="8">
        <f t="shared" ref="E1155:E1218" si="109">C1155*12%</f>
        <v>188.28</v>
      </c>
      <c r="F1155" s="8">
        <f t="shared" ref="F1155:F1218" si="110">C1155*10%</f>
        <v>156.9</v>
      </c>
      <c r="G1155" s="8">
        <f t="shared" ref="G1155:G1218" si="111">C1155+D1155</f>
        <v>1882.8</v>
      </c>
      <c r="H1155" s="8">
        <f t="shared" ref="H1155:H1218" si="112">E1155+F1155</f>
        <v>345.18</v>
      </c>
      <c r="I1155" s="10">
        <f t="shared" ref="I1155:I1218" si="113">G1155-H1155</f>
        <v>1537.62</v>
      </c>
    </row>
    <row r="1156" spans="1:9" x14ac:dyDescent="0.25">
      <c r="A1156" s="6">
        <v>1625</v>
      </c>
      <c r="B1156" s="5" t="str">
        <f>VLOOKUP(A1156, EmployeeMaster!$A:$D, 3, FALSE)</f>
        <v>Human Resources</v>
      </c>
      <c r="C1156" s="8">
        <v>19658</v>
      </c>
      <c r="D1156" s="8">
        <f t="shared" si="108"/>
        <v>3931.6000000000004</v>
      </c>
      <c r="E1156" s="8">
        <f t="shared" si="109"/>
        <v>2358.96</v>
      </c>
      <c r="F1156" s="8">
        <f t="shared" si="110"/>
        <v>1965.8000000000002</v>
      </c>
      <c r="G1156" s="8">
        <f t="shared" si="111"/>
        <v>23589.599999999999</v>
      </c>
      <c r="H1156" s="8">
        <f t="shared" si="112"/>
        <v>4324.76</v>
      </c>
      <c r="I1156" s="10">
        <f t="shared" si="113"/>
        <v>19264.839999999997</v>
      </c>
    </row>
    <row r="1157" spans="1:9" x14ac:dyDescent="0.25">
      <c r="A1157" s="6">
        <v>1627</v>
      </c>
      <c r="B1157" s="5" t="str">
        <f>VLOOKUP(A1157, EmployeeMaster!$A:$D, 3, FALSE)</f>
        <v>Research &amp; Development</v>
      </c>
      <c r="C1157" s="8">
        <v>3069</v>
      </c>
      <c r="D1157" s="8">
        <f t="shared" si="108"/>
        <v>613.80000000000007</v>
      </c>
      <c r="E1157" s="8">
        <f t="shared" si="109"/>
        <v>368.28</v>
      </c>
      <c r="F1157" s="8">
        <f t="shared" si="110"/>
        <v>306.90000000000003</v>
      </c>
      <c r="G1157" s="8">
        <f t="shared" si="111"/>
        <v>3682.8</v>
      </c>
      <c r="H1157" s="8">
        <f t="shared" si="112"/>
        <v>675.18000000000006</v>
      </c>
      <c r="I1157" s="10">
        <f t="shared" si="113"/>
        <v>3007.62</v>
      </c>
    </row>
    <row r="1158" spans="1:9" x14ac:dyDescent="0.25">
      <c r="A1158" s="6">
        <v>1628</v>
      </c>
      <c r="B1158" s="5" t="str">
        <f>VLOOKUP(A1158, EmployeeMaster!$A:$D, 3, FALSE)</f>
        <v>Research &amp; Development</v>
      </c>
      <c r="C1158" s="8">
        <v>10435</v>
      </c>
      <c r="D1158" s="8">
        <f t="shared" si="108"/>
        <v>2087</v>
      </c>
      <c r="E1158" s="8">
        <f t="shared" si="109"/>
        <v>1252.2</v>
      </c>
      <c r="F1158" s="8">
        <f t="shared" si="110"/>
        <v>1043.5</v>
      </c>
      <c r="G1158" s="8">
        <f t="shared" si="111"/>
        <v>12522</v>
      </c>
      <c r="H1158" s="8">
        <f t="shared" si="112"/>
        <v>2295.6999999999998</v>
      </c>
      <c r="I1158" s="10">
        <f t="shared" si="113"/>
        <v>10226.299999999999</v>
      </c>
    </row>
    <row r="1159" spans="1:9" x14ac:dyDescent="0.25">
      <c r="A1159" s="6">
        <v>1630</v>
      </c>
      <c r="B1159" s="5" t="str">
        <f>VLOOKUP(A1159, EmployeeMaster!$A:$D, 3, FALSE)</f>
        <v>Research &amp; Development</v>
      </c>
      <c r="C1159" s="8">
        <v>4148</v>
      </c>
      <c r="D1159" s="8">
        <f t="shared" si="108"/>
        <v>829.6</v>
      </c>
      <c r="E1159" s="8">
        <f t="shared" si="109"/>
        <v>497.76</v>
      </c>
      <c r="F1159" s="8">
        <f t="shared" si="110"/>
        <v>414.8</v>
      </c>
      <c r="G1159" s="8">
        <f t="shared" si="111"/>
        <v>4977.6000000000004</v>
      </c>
      <c r="H1159" s="8">
        <f t="shared" si="112"/>
        <v>912.56</v>
      </c>
      <c r="I1159" s="10">
        <f t="shared" si="113"/>
        <v>4065.0400000000004</v>
      </c>
    </row>
    <row r="1160" spans="1:9" x14ac:dyDescent="0.25">
      <c r="A1160" s="6">
        <v>1631</v>
      </c>
      <c r="B1160" s="5" t="str">
        <f>VLOOKUP(A1160, EmployeeMaster!$A:$D, 3, FALSE)</f>
        <v>Research &amp; Development</v>
      </c>
      <c r="C1160" s="8">
        <v>5768</v>
      </c>
      <c r="D1160" s="8">
        <f t="shared" si="108"/>
        <v>1153.6000000000001</v>
      </c>
      <c r="E1160" s="8">
        <f t="shared" si="109"/>
        <v>692.16</v>
      </c>
      <c r="F1160" s="8">
        <f t="shared" si="110"/>
        <v>576.80000000000007</v>
      </c>
      <c r="G1160" s="8">
        <f t="shared" si="111"/>
        <v>6921.6</v>
      </c>
      <c r="H1160" s="8">
        <f t="shared" si="112"/>
        <v>1268.96</v>
      </c>
      <c r="I1160" s="10">
        <f t="shared" si="113"/>
        <v>5652.64</v>
      </c>
    </row>
    <row r="1161" spans="1:9" x14ac:dyDescent="0.25">
      <c r="A1161" s="6">
        <v>1633</v>
      </c>
      <c r="B1161" s="5" t="str">
        <f>VLOOKUP(A1161, EmployeeMaster!$A:$D, 3, FALSE)</f>
        <v>Research &amp; Development</v>
      </c>
      <c r="C1161" s="8">
        <v>5042</v>
      </c>
      <c r="D1161" s="8">
        <f t="shared" si="108"/>
        <v>1008.4000000000001</v>
      </c>
      <c r="E1161" s="8">
        <f t="shared" si="109"/>
        <v>605.04</v>
      </c>
      <c r="F1161" s="8">
        <f t="shared" si="110"/>
        <v>504.20000000000005</v>
      </c>
      <c r="G1161" s="8">
        <f t="shared" si="111"/>
        <v>6050.4</v>
      </c>
      <c r="H1161" s="8">
        <f t="shared" si="112"/>
        <v>1109.24</v>
      </c>
      <c r="I1161" s="10">
        <f t="shared" si="113"/>
        <v>4941.16</v>
      </c>
    </row>
    <row r="1162" spans="1:9" x14ac:dyDescent="0.25">
      <c r="A1162" s="6">
        <v>1635</v>
      </c>
      <c r="B1162" s="5" t="str">
        <f>VLOOKUP(A1162, EmployeeMaster!$A:$D, 3, FALSE)</f>
        <v>Research &amp; Development</v>
      </c>
      <c r="C1162" s="8">
        <v>5770</v>
      </c>
      <c r="D1162" s="8">
        <f t="shared" si="108"/>
        <v>1154</v>
      </c>
      <c r="E1162" s="8">
        <f t="shared" si="109"/>
        <v>692.4</v>
      </c>
      <c r="F1162" s="8">
        <f t="shared" si="110"/>
        <v>577</v>
      </c>
      <c r="G1162" s="8">
        <f t="shared" si="111"/>
        <v>6924</v>
      </c>
      <c r="H1162" s="8">
        <f t="shared" si="112"/>
        <v>1269.4000000000001</v>
      </c>
      <c r="I1162" s="10">
        <f t="shared" si="113"/>
        <v>5654.6</v>
      </c>
    </row>
    <row r="1163" spans="1:9" x14ac:dyDescent="0.25">
      <c r="A1163" s="6">
        <v>1638</v>
      </c>
      <c r="B1163" s="5" t="str">
        <f>VLOOKUP(A1163, EmployeeMaster!$A:$D, 3, FALSE)</f>
        <v>Research &amp; Development</v>
      </c>
      <c r="C1163" s="8">
        <v>7756</v>
      </c>
      <c r="D1163" s="8">
        <f t="shared" si="108"/>
        <v>1551.2</v>
      </c>
      <c r="E1163" s="8">
        <f t="shared" si="109"/>
        <v>930.71999999999991</v>
      </c>
      <c r="F1163" s="8">
        <f t="shared" si="110"/>
        <v>775.6</v>
      </c>
      <c r="G1163" s="8">
        <f t="shared" si="111"/>
        <v>9307.2000000000007</v>
      </c>
      <c r="H1163" s="8">
        <f t="shared" si="112"/>
        <v>1706.32</v>
      </c>
      <c r="I1163" s="10">
        <f t="shared" si="113"/>
        <v>7600.880000000001</v>
      </c>
    </row>
    <row r="1164" spans="1:9" x14ac:dyDescent="0.25">
      <c r="A1164" s="6">
        <v>1639</v>
      </c>
      <c r="B1164" s="5" t="str">
        <f>VLOOKUP(A1164, EmployeeMaster!$A:$D, 3, FALSE)</f>
        <v>Sales</v>
      </c>
      <c r="C1164" s="8">
        <v>10306</v>
      </c>
      <c r="D1164" s="8">
        <f t="shared" si="108"/>
        <v>2061.2000000000003</v>
      </c>
      <c r="E1164" s="8">
        <f t="shared" si="109"/>
        <v>1236.72</v>
      </c>
      <c r="F1164" s="8">
        <f t="shared" si="110"/>
        <v>1030.6000000000001</v>
      </c>
      <c r="G1164" s="8">
        <f t="shared" si="111"/>
        <v>12367.2</v>
      </c>
      <c r="H1164" s="8">
        <f t="shared" si="112"/>
        <v>2267.3200000000002</v>
      </c>
      <c r="I1164" s="10">
        <f t="shared" si="113"/>
        <v>10099.880000000001</v>
      </c>
    </row>
    <row r="1165" spans="1:9" x14ac:dyDescent="0.25">
      <c r="A1165" s="6">
        <v>1640</v>
      </c>
      <c r="B1165" s="5" t="str">
        <f>VLOOKUP(A1165, EmployeeMaster!$A:$D, 3, FALSE)</f>
        <v>Research &amp; Development</v>
      </c>
      <c r="C1165" s="8">
        <v>3936</v>
      </c>
      <c r="D1165" s="8">
        <f t="shared" si="108"/>
        <v>787.2</v>
      </c>
      <c r="E1165" s="8">
        <f t="shared" si="109"/>
        <v>472.32</v>
      </c>
      <c r="F1165" s="8">
        <f t="shared" si="110"/>
        <v>393.6</v>
      </c>
      <c r="G1165" s="8">
        <f t="shared" si="111"/>
        <v>4723.2</v>
      </c>
      <c r="H1165" s="8">
        <f t="shared" si="112"/>
        <v>865.92000000000007</v>
      </c>
      <c r="I1165" s="10">
        <f t="shared" si="113"/>
        <v>3857.2799999999997</v>
      </c>
    </row>
    <row r="1166" spans="1:9" x14ac:dyDescent="0.25">
      <c r="A1166" s="6">
        <v>1641</v>
      </c>
      <c r="B1166" s="5" t="str">
        <f>VLOOKUP(A1166, EmployeeMaster!$A:$D, 3, FALSE)</f>
        <v>Research &amp; Development</v>
      </c>
      <c r="C1166" s="8">
        <v>7945</v>
      </c>
      <c r="D1166" s="8">
        <f t="shared" si="108"/>
        <v>1589</v>
      </c>
      <c r="E1166" s="8">
        <f t="shared" si="109"/>
        <v>953.4</v>
      </c>
      <c r="F1166" s="8">
        <f t="shared" si="110"/>
        <v>794.5</v>
      </c>
      <c r="G1166" s="8">
        <f t="shared" si="111"/>
        <v>9534</v>
      </c>
      <c r="H1166" s="8">
        <f t="shared" si="112"/>
        <v>1747.9</v>
      </c>
      <c r="I1166" s="10">
        <f t="shared" si="113"/>
        <v>7786.1</v>
      </c>
    </row>
    <row r="1167" spans="1:9" x14ac:dyDescent="0.25">
      <c r="A1167" s="6">
        <v>1642</v>
      </c>
      <c r="B1167" s="5" t="str">
        <f>VLOOKUP(A1167, EmployeeMaster!$A:$D, 3, FALSE)</f>
        <v>Human Resources</v>
      </c>
      <c r="C1167" s="8">
        <v>5743</v>
      </c>
      <c r="D1167" s="8">
        <f t="shared" si="108"/>
        <v>1148.6000000000001</v>
      </c>
      <c r="E1167" s="8">
        <f t="shared" si="109"/>
        <v>689.16</v>
      </c>
      <c r="F1167" s="8">
        <f t="shared" si="110"/>
        <v>574.30000000000007</v>
      </c>
      <c r="G1167" s="8">
        <f t="shared" si="111"/>
        <v>6891.6</v>
      </c>
      <c r="H1167" s="8">
        <f t="shared" si="112"/>
        <v>1263.46</v>
      </c>
      <c r="I1167" s="10">
        <f t="shared" si="113"/>
        <v>5628.14</v>
      </c>
    </row>
    <row r="1168" spans="1:9" x14ac:dyDescent="0.25">
      <c r="A1168" s="6">
        <v>1644</v>
      </c>
      <c r="B1168" s="5" t="str">
        <f>VLOOKUP(A1168, EmployeeMaster!$A:$D, 3, FALSE)</f>
        <v>Research &amp; Development</v>
      </c>
      <c r="C1168" s="8">
        <v>15202</v>
      </c>
      <c r="D1168" s="8">
        <f t="shared" si="108"/>
        <v>3040.4</v>
      </c>
      <c r="E1168" s="8">
        <f t="shared" si="109"/>
        <v>1824.24</v>
      </c>
      <c r="F1168" s="8">
        <f t="shared" si="110"/>
        <v>1520.2</v>
      </c>
      <c r="G1168" s="8">
        <f t="shared" si="111"/>
        <v>18242.400000000001</v>
      </c>
      <c r="H1168" s="8">
        <f t="shared" si="112"/>
        <v>3344.44</v>
      </c>
      <c r="I1168" s="10">
        <f t="shared" si="113"/>
        <v>14897.960000000001</v>
      </c>
    </row>
    <row r="1169" spans="1:9" x14ac:dyDescent="0.25">
      <c r="A1169" s="6">
        <v>1645</v>
      </c>
      <c r="B1169" s="5" t="str">
        <f>VLOOKUP(A1169, EmployeeMaster!$A:$D, 3, FALSE)</f>
        <v>Sales</v>
      </c>
      <c r="C1169" s="8">
        <v>5440</v>
      </c>
      <c r="D1169" s="8">
        <f t="shared" si="108"/>
        <v>1088</v>
      </c>
      <c r="E1169" s="8">
        <f t="shared" si="109"/>
        <v>652.79999999999995</v>
      </c>
      <c r="F1169" s="8">
        <f t="shared" si="110"/>
        <v>544</v>
      </c>
      <c r="G1169" s="8">
        <f t="shared" si="111"/>
        <v>6528</v>
      </c>
      <c r="H1169" s="8">
        <f t="shared" si="112"/>
        <v>1196.8</v>
      </c>
      <c r="I1169" s="10">
        <f t="shared" si="113"/>
        <v>5331.2</v>
      </c>
    </row>
    <row r="1170" spans="1:9" x14ac:dyDescent="0.25">
      <c r="A1170" s="6">
        <v>1646</v>
      </c>
      <c r="B1170" s="5" t="str">
        <f>VLOOKUP(A1170, EmployeeMaster!$A:$D, 3, FALSE)</f>
        <v>Research &amp; Development</v>
      </c>
      <c r="C1170" s="8">
        <v>3760</v>
      </c>
      <c r="D1170" s="8">
        <f t="shared" si="108"/>
        <v>752</v>
      </c>
      <c r="E1170" s="8">
        <f t="shared" si="109"/>
        <v>451.2</v>
      </c>
      <c r="F1170" s="8">
        <f t="shared" si="110"/>
        <v>376</v>
      </c>
      <c r="G1170" s="8">
        <f t="shared" si="111"/>
        <v>4512</v>
      </c>
      <c r="H1170" s="8">
        <f t="shared" si="112"/>
        <v>827.2</v>
      </c>
      <c r="I1170" s="10">
        <f t="shared" si="113"/>
        <v>3684.8</v>
      </c>
    </row>
    <row r="1171" spans="1:9" x14ac:dyDescent="0.25">
      <c r="A1171" s="6">
        <v>1647</v>
      </c>
      <c r="B1171" s="5" t="str">
        <f>VLOOKUP(A1171, EmployeeMaster!$A:$D, 3, FALSE)</f>
        <v>Research &amp; Development</v>
      </c>
      <c r="C1171" s="8">
        <v>3517</v>
      </c>
      <c r="D1171" s="8">
        <f t="shared" si="108"/>
        <v>703.40000000000009</v>
      </c>
      <c r="E1171" s="8">
        <f t="shared" si="109"/>
        <v>422.03999999999996</v>
      </c>
      <c r="F1171" s="8">
        <f t="shared" si="110"/>
        <v>351.70000000000005</v>
      </c>
      <c r="G1171" s="8">
        <f t="shared" si="111"/>
        <v>4220.3999999999996</v>
      </c>
      <c r="H1171" s="8">
        <f t="shared" si="112"/>
        <v>773.74</v>
      </c>
      <c r="I1171" s="10">
        <f t="shared" si="113"/>
        <v>3446.66</v>
      </c>
    </row>
    <row r="1172" spans="1:9" x14ac:dyDescent="0.25">
      <c r="A1172" s="6">
        <v>1648</v>
      </c>
      <c r="B1172" s="5" t="str">
        <f>VLOOKUP(A1172, EmployeeMaster!$A:$D, 3, FALSE)</f>
        <v>Research &amp; Development</v>
      </c>
      <c r="C1172" s="8">
        <v>2580</v>
      </c>
      <c r="D1172" s="8">
        <f t="shared" si="108"/>
        <v>516</v>
      </c>
      <c r="E1172" s="8">
        <f t="shared" si="109"/>
        <v>309.59999999999997</v>
      </c>
      <c r="F1172" s="8">
        <f t="shared" si="110"/>
        <v>258</v>
      </c>
      <c r="G1172" s="8">
        <f t="shared" si="111"/>
        <v>3096</v>
      </c>
      <c r="H1172" s="8">
        <f t="shared" si="112"/>
        <v>567.59999999999991</v>
      </c>
      <c r="I1172" s="10">
        <f t="shared" si="113"/>
        <v>2528.4</v>
      </c>
    </row>
    <row r="1173" spans="1:9" x14ac:dyDescent="0.25">
      <c r="A1173" s="6">
        <v>1649</v>
      </c>
      <c r="B1173" s="5" t="str">
        <f>VLOOKUP(A1173, EmployeeMaster!$A:$D, 3, FALSE)</f>
        <v>Research &amp; Development</v>
      </c>
      <c r="C1173" s="8">
        <v>2166</v>
      </c>
      <c r="D1173" s="8">
        <f t="shared" si="108"/>
        <v>433.20000000000005</v>
      </c>
      <c r="E1173" s="8">
        <f t="shared" si="109"/>
        <v>259.92</v>
      </c>
      <c r="F1173" s="8">
        <f t="shared" si="110"/>
        <v>216.60000000000002</v>
      </c>
      <c r="G1173" s="8">
        <f t="shared" si="111"/>
        <v>2599.1999999999998</v>
      </c>
      <c r="H1173" s="8">
        <f t="shared" si="112"/>
        <v>476.52000000000004</v>
      </c>
      <c r="I1173" s="10">
        <f t="shared" si="113"/>
        <v>2122.6799999999998</v>
      </c>
    </row>
    <row r="1174" spans="1:9" x14ac:dyDescent="0.25">
      <c r="A1174" s="6">
        <v>1650</v>
      </c>
      <c r="B1174" s="5" t="str">
        <f>VLOOKUP(A1174, EmployeeMaster!$A:$D, 3, FALSE)</f>
        <v>Sales</v>
      </c>
      <c r="C1174" s="8">
        <v>5869</v>
      </c>
      <c r="D1174" s="8">
        <f t="shared" si="108"/>
        <v>1173.8</v>
      </c>
      <c r="E1174" s="8">
        <f t="shared" si="109"/>
        <v>704.28</v>
      </c>
      <c r="F1174" s="8">
        <f t="shared" si="110"/>
        <v>586.9</v>
      </c>
      <c r="G1174" s="8">
        <f t="shared" si="111"/>
        <v>7042.8</v>
      </c>
      <c r="H1174" s="8">
        <f t="shared" si="112"/>
        <v>1291.1799999999998</v>
      </c>
      <c r="I1174" s="10">
        <f t="shared" si="113"/>
        <v>5751.6200000000008</v>
      </c>
    </row>
    <row r="1175" spans="1:9" x14ac:dyDescent="0.25">
      <c r="A1175" s="6">
        <v>1651</v>
      </c>
      <c r="B1175" s="5" t="str">
        <f>VLOOKUP(A1175, EmployeeMaster!$A:$D, 3, FALSE)</f>
        <v>Research &amp; Development</v>
      </c>
      <c r="C1175" s="8">
        <v>8008</v>
      </c>
      <c r="D1175" s="8">
        <f t="shared" si="108"/>
        <v>1601.6000000000001</v>
      </c>
      <c r="E1175" s="8">
        <f t="shared" si="109"/>
        <v>960.95999999999992</v>
      </c>
      <c r="F1175" s="8">
        <f t="shared" si="110"/>
        <v>800.80000000000007</v>
      </c>
      <c r="G1175" s="8">
        <f t="shared" si="111"/>
        <v>9609.6</v>
      </c>
      <c r="H1175" s="8">
        <f t="shared" si="112"/>
        <v>1761.76</v>
      </c>
      <c r="I1175" s="10">
        <f t="shared" si="113"/>
        <v>7847.84</v>
      </c>
    </row>
    <row r="1176" spans="1:9" x14ac:dyDescent="0.25">
      <c r="A1176" s="6">
        <v>1653</v>
      </c>
      <c r="B1176" s="5" t="str">
        <f>VLOOKUP(A1176, EmployeeMaster!$A:$D, 3, FALSE)</f>
        <v>Research &amp; Development</v>
      </c>
      <c r="C1176" s="8">
        <v>5206</v>
      </c>
      <c r="D1176" s="8">
        <f t="shared" si="108"/>
        <v>1041.2</v>
      </c>
      <c r="E1176" s="8">
        <f t="shared" si="109"/>
        <v>624.72</v>
      </c>
      <c r="F1176" s="8">
        <f t="shared" si="110"/>
        <v>520.6</v>
      </c>
      <c r="G1176" s="8">
        <f t="shared" si="111"/>
        <v>6247.2</v>
      </c>
      <c r="H1176" s="8">
        <f t="shared" si="112"/>
        <v>1145.3200000000002</v>
      </c>
      <c r="I1176" s="10">
        <f t="shared" si="113"/>
        <v>5101.8799999999992</v>
      </c>
    </row>
    <row r="1177" spans="1:9" x14ac:dyDescent="0.25">
      <c r="A1177" s="6">
        <v>1654</v>
      </c>
      <c r="B1177" s="5" t="str">
        <f>VLOOKUP(A1177, EmployeeMaster!$A:$D, 3, FALSE)</f>
        <v>Research &amp; Development</v>
      </c>
      <c r="C1177" s="8">
        <v>5295</v>
      </c>
      <c r="D1177" s="8">
        <f t="shared" si="108"/>
        <v>1059</v>
      </c>
      <c r="E1177" s="8">
        <f t="shared" si="109"/>
        <v>635.4</v>
      </c>
      <c r="F1177" s="8">
        <f t="shared" si="110"/>
        <v>529.5</v>
      </c>
      <c r="G1177" s="8">
        <f t="shared" si="111"/>
        <v>6354</v>
      </c>
      <c r="H1177" s="8">
        <f t="shared" si="112"/>
        <v>1164.9000000000001</v>
      </c>
      <c r="I1177" s="10">
        <f t="shared" si="113"/>
        <v>5189.1000000000004</v>
      </c>
    </row>
    <row r="1178" spans="1:9" x14ac:dyDescent="0.25">
      <c r="A1178" s="6">
        <v>1655</v>
      </c>
      <c r="B1178" s="5" t="str">
        <f>VLOOKUP(A1178, EmployeeMaster!$A:$D, 3, FALSE)</f>
        <v>Research &amp; Development</v>
      </c>
      <c r="C1178" s="8">
        <v>16413</v>
      </c>
      <c r="D1178" s="8">
        <f t="shared" si="108"/>
        <v>3282.6000000000004</v>
      </c>
      <c r="E1178" s="8">
        <f t="shared" si="109"/>
        <v>1969.56</v>
      </c>
      <c r="F1178" s="8">
        <f t="shared" si="110"/>
        <v>1641.3000000000002</v>
      </c>
      <c r="G1178" s="8">
        <f t="shared" si="111"/>
        <v>19695.599999999999</v>
      </c>
      <c r="H1178" s="8">
        <f t="shared" si="112"/>
        <v>3610.86</v>
      </c>
      <c r="I1178" s="10">
        <f t="shared" si="113"/>
        <v>16084.739999999998</v>
      </c>
    </row>
    <row r="1179" spans="1:9" x14ac:dyDescent="0.25">
      <c r="A1179" s="6">
        <v>1656</v>
      </c>
      <c r="B1179" s="5" t="str">
        <f>VLOOKUP(A1179, EmployeeMaster!$A:$D, 3, FALSE)</f>
        <v>Research &amp; Development</v>
      </c>
      <c r="C1179" s="8">
        <v>13269</v>
      </c>
      <c r="D1179" s="8">
        <f t="shared" si="108"/>
        <v>2653.8</v>
      </c>
      <c r="E1179" s="8">
        <f t="shared" si="109"/>
        <v>1592.28</v>
      </c>
      <c r="F1179" s="8">
        <f t="shared" si="110"/>
        <v>1326.9</v>
      </c>
      <c r="G1179" s="8">
        <f t="shared" si="111"/>
        <v>15922.8</v>
      </c>
      <c r="H1179" s="8">
        <f t="shared" si="112"/>
        <v>2919.1800000000003</v>
      </c>
      <c r="I1179" s="10">
        <f t="shared" si="113"/>
        <v>13003.619999999999</v>
      </c>
    </row>
    <row r="1180" spans="1:9" x14ac:dyDescent="0.25">
      <c r="A1180" s="6">
        <v>1657</v>
      </c>
      <c r="B1180" s="5" t="str">
        <f>VLOOKUP(A1180, EmployeeMaster!$A:$D, 3, FALSE)</f>
        <v>Sales</v>
      </c>
      <c r="C1180" s="8">
        <v>2783</v>
      </c>
      <c r="D1180" s="8">
        <f t="shared" si="108"/>
        <v>556.6</v>
      </c>
      <c r="E1180" s="8">
        <f t="shared" si="109"/>
        <v>333.96</v>
      </c>
      <c r="F1180" s="8">
        <f t="shared" si="110"/>
        <v>278.3</v>
      </c>
      <c r="G1180" s="8">
        <f t="shared" si="111"/>
        <v>3339.6</v>
      </c>
      <c r="H1180" s="8">
        <f t="shared" si="112"/>
        <v>612.26</v>
      </c>
      <c r="I1180" s="10">
        <f t="shared" si="113"/>
        <v>2727.34</v>
      </c>
    </row>
    <row r="1181" spans="1:9" x14ac:dyDescent="0.25">
      <c r="A1181" s="6">
        <v>1658</v>
      </c>
      <c r="B1181" s="5" t="str">
        <f>VLOOKUP(A1181, EmployeeMaster!$A:$D, 3, FALSE)</f>
        <v>Research &amp; Development</v>
      </c>
      <c r="C1181" s="8">
        <v>5433</v>
      </c>
      <c r="D1181" s="8">
        <f t="shared" si="108"/>
        <v>1086.6000000000001</v>
      </c>
      <c r="E1181" s="8">
        <f t="shared" si="109"/>
        <v>651.95999999999992</v>
      </c>
      <c r="F1181" s="8">
        <f t="shared" si="110"/>
        <v>543.30000000000007</v>
      </c>
      <c r="G1181" s="8">
        <f t="shared" si="111"/>
        <v>6519.6</v>
      </c>
      <c r="H1181" s="8">
        <f t="shared" si="112"/>
        <v>1195.26</v>
      </c>
      <c r="I1181" s="10">
        <f t="shared" si="113"/>
        <v>5324.34</v>
      </c>
    </row>
    <row r="1182" spans="1:9" x14ac:dyDescent="0.25">
      <c r="A1182" s="6">
        <v>1659</v>
      </c>
      <c r="B1182" s="5" t="str">
        <f>VLOOKUP(A1182, EmployeeMaster!$A:$D, 3, FALSE)</f>
        <v>Research &amp; Development</v>
      </c>
      <c r="C1182" s="8">
        <v>2013</v>
      </c>
      <c r="D1182" s="8">
        <f t="shared" si="108"/>
        <v>402.6</v>
      </c>
      <c r="E1182" s="8">
        <f t="shared" si="109"/>
        <v>241.56</v>
      </c>
      <c r="F1182" s="8">
        <f t="shared" si="110"/>
        <v>201.3</v>
      </c>
      <c r="G1182" s="8">
        <f t="shared" si="111"/>
        <v>2415.6</v>
      </c>
      <c r="H1182" s="8">
        <f t="shared" si="112"/>
        <v>442.86</v>
      </c>
      <c r="I1182" s="10">
        <f t="shared" si="113"/>
        <v>1972.7399999999998</v>
      </c>
    </row>
    <row r="1183" spans="1:9" x14ac:dyDescent="0.25">
      <c r="A1183" s="6">
        <v>1661</v>
      </c>
      <c r="B1183" s="5" t="str">
        <f>VLOOKUP(A1183, EmployeeMaster!$A:$D, 3, FALSE)</f>
        <v>Research &amp; Development</v>
      </c>
      <c r="C1183" s="8">
        <v>13966</v>
      </c>
      <c r="D1183" s="8">
        <f t="shared" si="108"/>
        <v>2793.2000000000003</v>
      </c>
      <c r="E1183" s="8">
        <f t="shared" si="109"/>
        <v>1675.9199999999998</v>
      </c>
      <c r="F1183" s="8">
        <f t="shared" si="110"/>
        <v>1396.6000000000001</v>
      </c>
      <c r="G1183" s="8">
        <f t="shared" si="111"/>
        <v>16759.2</v>
      </c>
      <c r="H1183" s="8">
        <f t="shared" si="112"/>
        <v>3072.52</v>
      </c>
      <c r="I1183" s="10">
        <f t="shared" si="113"/>
        <v>13686.68</v>
      </c>
    </row>
    <row r="1184" spans="1:9" x14ac:dyDescent="0.25">
      <c r="A1184" s="6">
        <v>1662</v>
      </c>
      <c r="B1184" s="5" t="str">
        <f>VLOOKUP(A1184, EmployeeMaster!$A:$D, 3, FALSE)</f>
        <v>Research &amp; Development</v>
      </c>
      <c r="C1184" s="8">
        <v>4374</v>
      </c>
      <c r="D1184" s="8">
        <f t="shared" si="108"/>
        <v>874.80000000000007</v>
      </c>
      <c r="E1184" s="8">
        <f t="shared" si="109"/>
        <v>524.88</v>
      </c>
      <c r="F1184" s="8">
        <f t="shared" si="110"/>
        <v>437.40000000000003</v>
      </c>
      <c r="G1184" s="8">
        <f t="shared" si="111"/>
        <v>5248.8</v>
      </c>
      <c r="H1184" s="8">
        <f t="shared" si="112"/>
        <v>962.28</v>
      </c>
      <c r="I1184" s="10">
        <f t="shared" si="113"/>
        <v>4286.5200000000004</v>
      </c>
    </row>
    <row r="1185" spans="1:9" x14ac:dyDescent="0.25">
      <c r="A1185" s="6">
        <v>1664</v>
      </c>
      <c r="B1185" s="5" t="str">
        <f>VLOOKUP(A1185, EmployeeMaster!$A:$D, 3, FALSE)</f>
        <v>Research &amp; Development</v>
      </c>
      <c r="C1185" s="8">
        <v>6842</v>
      </c>
      <c r="D1185" s="8">
        <f t="shared" si="108"/>
        <v>1368.4</v>
      </c>
      <c r="E1185" s="8">
        <f t="shared" si="109"/>
        <v>821.04</v>
      </c>
      <c r="F1185" s="8">
        <f t="shared" si="110"/>
        <v>684.2</v>
      </c>
      <c r="G1185" s="8">
        <f t="shared" si="111"/>
        <v>8210.4</v>
      </c>
      <c r="H1185" s="8">
        <f t="shared" si="112"/>
        <v>1505.24</v>
      </c>
      <c r="I1185" s="10">
        <f t="shared" si="113"/>
        <v>6705.16</v>
      </c>
    </row>
    <row r="1186" spans="1:9" x14ac:dyDescent="0.25">
      <c r="A1186" s="6">
        <v>1665</v>
      </c>
      <c r="B1186" s="5" t="str">
        <f>VLOOKUP(A1186, EmployeeMaster!$A:$D, 3, FALSE)</f>
        <v>Research &amp; Development</v>
      </c>
      <c r="C1186" s="8">
        <v>17426</v>
      </c>
      <c r="D1186" s="8">
        <f t="shared" si="108"/>
        <v>3485.2000000000003</v>
      </c>
      <c r="E1186" s="8">
        <f t="shared" si="109"/>
        <v>2091.12</v>
      </c>
      <c r="F1186" s="8">
        <f t="shared" si="110"/>
        <v>1742.6000000000001</v>
      </c>
      <c r="G1186" s="8">
        <f t="shared" si="111"/>
        <v>20911.2</v>
      </c>
      <c r="H1186" s="8">
        <f t="shared" si="112"/>
        <v>3833.7200000000003</v>
      </c>
      <c r="I1186" s="10">
        <f t="shared" si="113"/>
        <v>17077.48</v>
      </c>
    </row>
    <row r="1187" spans="1:9" x14ac:dyDescent="0.25">
      <c r="A1187" s="6">
        <v>1666</v>
      </c>
      <c r="B1187" s="5" t="str">
        <f>VLOOKUP(A1187, EmployeeMaster!$A:$D, 3, FALSE)</f>
        <v>Research &amp; Development</v>
      </c>
      <c r="C1187" s="8">
        <v>17603</v>
      </c>
      <c r="D1187" s="8">
        <f t="shared" si="108"/>
        <v>3520.6000000000004</v>
      </c>
      <c r="E1187" s="8">
        <f t="shared" si="109"/>
        <v>2112.36</v>
      </c>
      <c r="F1187" s="8">
        <f t="shared" si="110"/>
        <v>1760.3000000000002</v>
      </c>
      <c r="G1187" s="8">
        <f t="shared" si="111"/>
        <v>21123.599999999999</v>
      </c>
      <c r="H1187" s="8">
        <f t="shared" si="112"/>
        <v>3872.6600000000003</v>
      </c>
      <c r="I1187" s="10">
        <f t="shared" si="113"/>
        <v>17250.939999999999</v>
      </c>
    </row>
    <row r="1188" spans="1:9" x14ac:dyDescent="0.25">
      <c r="A1188" s="6">
        <v>1667</v>
      </c>
      <c r="B1188" s="5" t="str">
        <f>VLOOKUP(A1188, EmployeeMaster!$A:$D, 3, FALSE)</f>
        <v>Sales</v>
      </c>
      <c r="C1188" s="8">
        <v>4581</v>
      </c>
      <c r="D1188" s="8">
        <f t="shared" si="108"/>
        <v>916.2</v>
      </c>
      <c r="E1188" s="8">
        <f t="shared" si="109"/>
        <v>549.72</v>
      </c>
      <c r="F1188" s="8">
        <f t="shared" si="110"/>
        <v>458.1</v>
      </c>
      <c r="G1188" s="8">
        <f t="shared" si="111"/>
        <v>5497.2</v>
      </c>
      <c r="H1188" s="8">
        <f t="shared" si="112"/>
        <v>1007.82</v>
      </c>
      <c r="I1188" s="10">
        <f t="shared" si="113"/>
        <v>4489.38</v>
      </c>
    </row>
    <row r="1189" spans="1:9" x14ac:dyDescent="0.25">
      <c r="A1189" s="6">
        <v>1668</v>
      </c>
      <c r="B1189" s="5" t="str">
        <f>VLOOKUP(A1189, EmployeeMaster!$A:$D, 3, FALSE)</f>
        <v>Research &amp; Development</v>
      </c>
      <c r="C1189" s="8">
        <v>4735</v>
      </c>
      <c r="D1189" s="8">
        <f t="shared" si="108"/>
        <v>947</v>
      </c>
      <c r="E1189" s="8">
        <f t="shared" si="109"/>
        <v>568.19999999999993</v>
      </c>
      <c r="F1189" s="8">
        <f t="shared" si="110"/>
        <v>473.5</v>
      </c>
      <c r="G1189" s="8">
        <f t="shared" si="111"/>
        <v>5682</v>
      </c>
      <c r="H1189" s="8">
        <f t="shared" si="112"/>
        <v>1041.6999999999998</v>
      </c>
      <c r="I1189" s="10">
        <f t="shared" si="113"/>
        <v>4640.3</v>
      </c>
    </row>
    <row r="1190" spans="1:9" x14ac:dyDescent="0.25">
      <c r="A1190" s="6">
        <v>1669</v>
      </c>
      <c r="B1190" s="5" t="str">
        <f>VLOOKUP(A1190, EmployeeMaster!$A:$D, 3, FALSE)</f>
        <v>Sales</v>
      </c>
      <c r="C1190" s="8">
        <v>4187</v>
      </c>
      <c r="D1190" s="8">
        <f t="shared" si="108"/>
        <v>837.40000000000009</v>
      </c>
      <c r="E1190" s="8">
        <f t="shared" si="109"/>
        <v>502.44</v>
      </c>
      <c r="F1190" s="8">
        <f t="shared" si="110"/>
        <v>418.70000000000005</v>
      </c>
      <c r="G1190" s="8">
        <f t="shared" si="111"/>
        <v>5024.3999999999996</v>
      </c>
      <c r="H1190" s="8">
        <f t="shared" si="112"/>
        <v>921.1400000000001</v>
      </c>
      <c r="I1190" s="10">
        <f t="shared" si="113"/>
        <v>4103.2599999999993</v>
      </c>
    </row>
    <row r="1191" spans="1:9" x14ac:dyDescent="0.25">
      <c r="A1191" s="6">
        <v>1670</v>
      </c>
      <c r="B1191" s="5" t="str">
        <f>VLOOKUP(A1191, EmployeeMaster!$A:$D, 3, FALSE)</f>
        <v>Sales</v>
      </c>
      <c r="C1191" s="8">
        <v>5505</v>
      </c>
      <c r="D1191" s="8">
        <f t="shared" si="108"/>
        <v>1101</v>
      </c>
      <c r="E1191" s="8">
        <f t="shared" si="109"/>
        <v>660.6</v>
      </c>
      <c r="F1191" s="8">
        <f t="shared" si="110"/>
        <v>550.5</v>
      </c>
      <c r="G1191" s="8">
        <f t="shared" si="111"/>
        <v>6606</v>
      </c>
      <c r="H1191" s="8">
        <f t="shared" si="112"/>
        <v>1211.0999999999999</v>
      </c>
      <c r="I1191" s="10">
        <f t="shared" si="113"/>
        <v>5394.9</v>
      </c>
    </row>
    <row r="1192" spans="1:9" x14ac:dyDescent="0.25">
      <c r="A1192" s="6">
        <v>1671</v>
      </c>
      <c r="B1192" s="5" t="str">
        <f>VLOOKUP(A1192, EmployeeMaster!$A:$D, 3, FALSE)</f>
        <v>Research &amp; Development</v>
      </c>
      <c r="C1192" s="8">
        <v>5470</v>
      </c>
      <c r="D1192" s="8">
        <f t="shared" si="108"/>
        <v>1094</v>
      </c>
      <c r="E1192" s="8">
        <f t="shared" si="109"/>
        <v>656.4</v>
      </c>
      <c r="F1192" s="8">
        <f t="shared" si="110"/>
        <v>547</v>
      </c>
      <c r="G1192" s="8">
        <f t="shared" si="111"/>
        <v>6564</v>
      </c>
      <c r="H1192" s="8">
        <f t="shared" si="112"/>
        <v>1203.4000000000001</v>
      </c>
      <c r="I1192" s="10">
        <f t="shared" si="113"/>
        <v>5360.6</v>
      </c>
    </row>
    <row r="1193" spans="1:9" x14ac:dyDescent="0.25">
      <c r="A1193" s="6">
        <v>1673</v>
      </c>
      <c r="B1193" s="5" t="str">
        <f>VLOOKUP(A1193, EmployeeMaster!$A:$D, 3, FALSE)</f>
        <v>Sales</v>
      </c>
      <c r="C1193" s="8">
        <v>5476</v>
      </c>
      <c r="D1193" s="8">
        <f t="shared" si="108"/>
        <v>1095.2</v>
      </c>
      <c r="E1193" s="8">
        <f t="shared" si="109"/>
        <v>657.12</v>
      </c>
      <c r="F1193" s="8">
        <f t="shared" si="110"/>
        <v>547.6</v>
      </c>
      <c r="G1193" s="8">
        <f t="shared" si="111"/>
        <v>6571.2</v>
      </c>
      <c r="H1193" s="8">
        <f t="shared" si="112"/>
        <v>1204.72</v>
      </c>
      <c r="I1193" s="10">
        <f t="shared" si="113"/>
        <v>5366.48</v>
      </c>
    </row>
    <row r="1194" spans="1:9" x14ac:dyDescent="0.25">
      <c r="A1194" s="6">
        <v>1674</v>
      </c>
      <c r="B1194" s="5" t="str">
        <f>VLOOKUP(A1194, EmployeeMaster!$A:$D, 3, FALSE)</f>
        <v>Research &amp; Development</v>
      </c>
      <c r="C1194" s="8">
        <v>2587</v>
      </c>
      <c r="D1194" s="8">
        <f t="shared" si="108"/>
        <v>517.4</v>
      </c>
      <c r="E1194" s="8">
        <f t="shared" si="109"/>
        <v>310.44</v>
      </c>
      <c r="F1194" s="8">
        <f t="shared" si="110"/>
        <v>258.7</v>
      </c>
      <c r="G1194" s="8">
        <f t="shared" si="111"/>
        <v>3104.4</v>
      </c>
      <c r="H1194" s="8">
        <f t="shared" si="112"/>
        <v>569.14</v>
      </c>
      <c r="I1194" s="10">
        <f t="shared" si="113"/>
        <v>2535.2600000000002</v>
      </c>
    </row>
    <row r="1195" spans="1:9" x14ac:dyDescent="0.25">
      <c r="A1195" s="6">
        <v>1675</v>
      </c>
      <c r="B1195" s="5" t="str">
        <f>VLOOKUP(A1195, EmployeeMaster!$A:$D, 3, FALSE)</f>
        <v>Research &amp; Development</v>
      </c>
      <c r="C1195" s="8">
        <v>2440</v>
      </c>
      <c r="D1195" s="8">
        <f t="shared" si="108"/>
        <v>488</v>
      </c>
      <c r="E1195" s="8">
        <f t="shared" si="109"/>
        <v>292.8</v>
      </c>
      <c r="F1195" s="8">
        <f t="shared" si="110"/>
        <v>244</v>
      </c>
      <c r="G1195" s="8">
        <f t="shared" si="111"/>
        <v>2928</v>
      </c>
      <c r="H1195" s="8">
        <f t="shared" si="112"/>
        <v>536.79999999999995</v>
      </c>
      <c r="I1195" s="10">
        <f t="shared" si="113"/>
        <v>2391.1999999999998</v>
      </c>
    </row>
    <row r="1196" spans="1:9" x14ac:dyDescent="0.25">
      <c r="A1196" s="6">
        <v>1676</v>
      </c>
      <c r="B1196" s="5" t="str">
        <f>VLOOKUP(A1196, EmployeeMaster!$A:$D, 3, FALSE)</f>
        <v>Sales</v>
      </c>
      <c r="C1196" s="8">
        <v>15972</v>
      </c>
      <c r="D1196" s="8">
        <f t="shared" si="108"/>
        <v>3194.4</v>
      </c>
      <c r="E1196" s="8">
        <f t="shared" si="109"/>
        <v>1916.6399999999999</v>
      </c>
      <c r="F1196" s="8">
        <f t="shared" si="110"/>
        <v>1597.2</v>
      </c>
      <c r="G1196" s="8">
        <f t="shared" si="111"/>
        <v>19166.400000000001</v>
      </c>
      <c r="H1196" s="8">
        <f t="shared" si="112"/>
        <v>3513.84</v>
      </c>
      <c r="I1196" s="10">
        <f t="shared" si="113"/>
        <v>15652.560000000001</v>
      </c>
    </row>
    <row r="1197" spans="1:9" x14ac:dyDescent="0.25">
      <c r="A1197" s="6">
        <v>1677</v>
      </c>
      <c r="B1197" s="5" t="str">
        <f>VLOOKUP(A1197, EmployeeMaster!$A:$D, 3, FALSE)</f>
        <v>Research &amp; Development</v>
      </c>
      <c r="C1197" s="8">
        <v>15379</v>
      </c>
      <c r="D1197" s="8">
        <f t="shared" si="108"/>
        <v>3075.8</v>
      </c>
      <c r="E1197" s="8">
        <f t="shared" si="109"/>
        <v>1845.48</v>
      </c>
      <c r="F1197" s="8">
        <f t="shared" si="110"/>
        <v>1537.9</v>
      </c>
      <c r="G1197" s="8">
        <f t="shared" si="111"/>
        <v>18454.8</v>
      </c>
      <c r="H1197" s="8">
        <f t="shared" si="112"/>
        <v>3383.38</v>
      </c>
      <c r="I1197" s="10">
        <f t="shared" si="113"/>
        <v>15071.419999999998</v>
      </c>
    </row>
    <row r="1198" spans="1:9" x14ac:dyDescent="0.25">
      <c r="A1198" s="6">
        <v>1678</v>
      </c>
      <c r="B1198" s="5" t="str">
        <f>VLOOKUP(A1198, EmployeeMaster!$A:$D, 3, FALSE)</f>
        <v>Sales</v>
      </c>
      <c r="C1198" s="8">
        <v>7082</v>
      </c>
      <c r="D1198" s="8">
        <f t="shared" si="108"/>
        <v>1416.4</v>
      </c>
      <c r="E1198" s="8">
        <f t="shared" si="109"/>
        <v>849.83999999999992</v>
      </c>
      <c r="F1198" s="8">
        <f t="shared" si="110"/>
        <v>708.2</v>
      </c>
      <c r="G1198" s="8">
        <f t="shared" si="111"/>
        <v>8498.4</v>
      </c>
      <c r="H1198" s="8">
        <f t="shared" si="112"/>
        <v>1558.04</v>
      </c>
      <c r="I1198" s="10">
        <f t="shared" si="113"/>
        <v>6940.36</v>
      </c>
    </row>
    <row r="1199" spans="1:9" x14ac:dyDescent="0.25">
      <c r="A1199" s="6">
        <v>1680</v>
      </c>
      <c r="B1199" s="5" t="str">
        <f>VLOOKUP(A1199, EmployeeMaster!$A:$D, 3, FALSE)</f>
        <v>Sales</v>
      </c>
      <c r="C1199" s="8">
        <v>2728</v>
      </c>
      <c r="D1199" s="8">
        <f t="shared" si="108"/>
        <v>545.6</v>
      </c>
      <c r="E1199" s="8">
        <f t="shared" si="109"/>
        <v>327.36</v>
      </c>
      <c r="F1199" s="8">
        <f t="shared" si="110"/>
        <v>272.8</v>
      </c>
      <c r="G1199" s="8">
        <f t="shared" si="111"/>
        <v>3273.6</v>
      </c>
      <c r="H1199" s="8">
        <f t="shared" si="112"/>
        <v>600.16000000000008</v>
      </c>
      <c r="I1199" s="10">
        <f t="shared" si="113"/>
        <v>2673.4399999999996</v>
      </c>
    </row>
    <row r="1200" spans="1:9" x14ac:dyDescent="0.25">
      <c r="A1200" s="6">
        <v>1681</v>
      </c>
      <c r="B1200" s="5" t="str">
        <f>VLOOKUP(A1200, EmployeeMaster!$A:$D, 3, FALSE)</f>
        <v>Sales</v>
      </c>
      <c r="C1200" s="8">
        <v>5368</v>
      </c>
      <c r="D1200" s="8">
        <f t="shared" si="108"/>
        <v>1073.6000000000001</v>
      </c>
      <c r="E1200" s="8">
        <f t="shared" si="109"/>
        <v>644.16</v>
      </c>
      <c r="F1200" s="8">
        <f t="shared" si="110"/>
        <v>536.80000000000007</v>
      </c>
      <c r="G1200" s="8">
        <f t="shared" si="111"/>
        <v>6441.6</v>
      </c>
      <c r="H1200" s="8">
        <f t="shared" si="112"/>
        <v>1180.96</v>
      </c>
      <c r="I1200" s="10">
        <f t="shared" si="113"/>
        <v>5260.64</v>
      </c>
    </row>
    <row r="1201" spans="1:9" x14ac:dyDescent="0.25">
      <c r="A1201" s="6">
        <v>1682</v>
      </c>
      <c r="B1201" s="5" t="str">
        <f>VLOOKUP(A1201, EmployeeMaster!$A:$D, 3, FALSE)</f>
        <v>Research &amp; Development</v>
      </c>
      <c r="C1201" s="8">
        <v>5347</v>
      </c>
      <c r="D1201" s="8">
        <f t="shared" si="108"/>
        <v>1069.4000000000001</v>
      </c>
      <c r="E1201" s="8">
        <f t="shared" si="109"/>
        <v>641.64</v>
      </c>
      <c r="F1201" s="8">
        <f t="shared" si="110"/>
        <v>534.70000000000005</v>
      </c>
      <c r="G1201" s="8">
        <f t="shared" si="111"/>
        <v>6416.4</v>
      </c>
      <c r="H1201" s="8">
        <f t="shared" si="112"/>
        <v>1176.3400000000001</v>
      </c>
      <c r="I1201" s="10">
        <f t="shared" si="113"/>
        <v>5240.0599999999995</v>
      </c>
    </row>
    <row r="1202" spans="1:9" x14ac:dyDescent="0.25">
      <c r="A1202" s="6">
        <v>1683</v>
      </c>
      <c r="B1202" s="5" t="str">
        <f>VLOOKUP(A1202, EmployeeMaster!$A:$D, 3, FALSE)</f>
        <v>Human Resources</v>
      </c>
      <c r="C1202" s="8">
        <v>3195</v>
      </c>
      <c r="D1202" s="8">
        <f t="shared" si="108"/>
        <v>639</v>
      </c>
      <c r="E1202" s="8">
        <f t="shared" si="109"/>
        <v>383.4</v>
      </c>
      <c r="F1202" s="8">
        <f t="shared" si="110"/>
        <v>319.5</v>
      </c>
      <c r="G1202" s="8">
        <f t="shared" si="111"/>
        <v>3834</v>
      </c>
      <c r="H1202" s="8">
        <f t="shared" si="112"/>
        <v>702.9</v>
      </c>
      <c r="I1202" s="10">
        <f t="shared" si="113"/>
        <v>3131.1</v>
      </c>
    </row>
    <row r="1203" spans="1:9" x14ac:dyDescent="0.25">
      <c r="A1203" s="6">
        <v>1684</v>
      </c>
      <c r="B1203" s="5" t="str">
        <f>VLOOKUP(A1203, EmployeeMaster!$A:$D, 3, FALSE)</f>
        <v>Research &amp; Development</v>
      </c>
      <c r="C1203" s="8">
        <v>3989</v>
      </c>
      <c r="D1203" s="8">
        <f t="shared" si="108"/>
        <v>797.80000000000007</v>
      </c>
      <c r="E1203" s="8">
        <f t="shared" si="109"/>
        <v>478.68</v>
      </c>
      <c r="F1203" s="8">
        <f t="shared" si="110"/>
        <v>398.90000000000003</v>
      </c>
      <c r="G1203" s="8">
        <f t="shared" si="111"/>
        <v>4786.8</v>
      </c>
      <c r="H1203" s="8">
        <f t="shared" si="112"/>
        <v>877.58</v>
      </c>
      <c r="I1203" s="10">
        <f t="shared" si="113"/>
        <v>3909.2200000000003</v>
      </c>
    </row>
    <row r="1204" spans="1:9" x14ac:dyDescent="0.25">
      <c r="A1204" s="6">
        <v>1687</v>
      </c>
      <c r="B1204" s="5" t="str">
        <f>VLOOKUP(A1204, EmployeeMaster!$A:$D, 3, FALSE)</f>
        <v>Research &amp; Development</v>
      </c>
      <c r="C1204" s="8">
        <v>3306</v>
      </c>
      <c r="D1204" s="8">
        <f t="shared" si="108"/>
        <v>661.2</v>
      </c>
      <c r="E1204" s="8">
        <f t="shared" si="109"/>
        <v>396.71999999999997</v>
      </c>
      <c r="F1204" s="8">
        <f t="shared" si="110"/>
        <v>330.6</v>
      </c>
      <c r="G1204" s="8">
        <f t="shared" si="111"/>
        <v>3967.2</v>
      </c>
      <c r="H1204" s="8">
        <f t="shared" si="112"/>
        <v>727.31999999999994</v>
      </c>
      <c r="I1204" s="10">
        <f t="shared" si="113"/>
        <v>3239.88</v>
      </c>
    </row>
    <row r="1205" spans="1:9" x14ac:dyDescent="0.25">
      <c r="A1205" s="6">
        <v>1689</v>
      </c>
      <c r="B1205" s="5" t="str">
        <f>VLOOKUP(A1205, EmployeeMaster!$A:$D, 3, FALSE)</f>
        <v>Research &amp; Development</v>
      </c>
      <c r="C1205" s="8">
        <v>7005</v>
      </c>
      <c r="D1205" s="8">
        <f t="shared" si="108"/>
        <v>1401</v>
      </c>
      <c r="E1205" s="8">
        <f t="shared" si="109"/>
        <v>840.6</v>
      </c>
      <c r="F1205" s="8">
        <f t="shared" si="110"/>
        <v>700.5</v>
      </c>
      <c r="G1205" s="8">
        <f t="shared" si="111"/>
        <v>8406</v>
      </c>
      <c r="H1205" s="8">
        <f t="shared" si="112"/>
        <v>1541.1</v>
      </c>
      <c r="I1205" s="10">
        <f t="shared" si="113"/>
        <v>6864.9</v>
      </c>
    </row>
    <row r="1206" spans="1:9" x14ac:dyDescent="0.25">
      <c r="A1206" s="6">
        <v>1691</v>
      </c>
      <c r="B1206" s="5" t="str">
        <f>VLOOKUP(A1206, EmployeeMaster!$A:$D, 3, FALSE)</f>
        <v>Sales</v>
      </c>
      <c r="C1206" s="8">
        <v>2655</v>
      </c>
      <c r="D1206" s="8">
        <f t="shared" si="108"/>
        <v>531</v>
      </c>
      <c r="E1206" s="8">
        <f t="shared" si="109"/>
        <v>318.59999999999997</v>
      </c>
      <c r="F1206" s="8">
        <f t="shared" si="110"/>
        <v>265.5</v>
      </c>
      <c r="G1206" s="8">
        <f t="shared" si="111"/>
        <v>3186</v>
      </c>
      <c r="H1206" s="8">
        <f t="shared" si="112"/>
        <v>584.09999999999991</v>
      </c>
      <c r="I1206" s="10">
        <f t="shared" si="113"/>
        <v>2601.9</v>
      </c>
    </row>
    <row r="1207" spans="1:9" x14ac:dyDescent="0.25">
      <c r="A1207" s="6">
        <v>1692</v>
      </c>
      <c r="B1207" s="5" t="str">
        <f>VLOOKUP(A1207, EmployeeMaster!$A:$D, 3, FALSE)</f>
        <v>Research &amp; Development</v>
      </c>
      <c r="C1207" s="8">
        <v>1393</v>
      </c>
      <c r="D1207" s="8">
        <f t="shared" si="108"/>
        <v>278.60000000000002</v>
      </c>
      <c r="E1207" s="8">
        <f t="shared" si="109"/>
        <v>167.16</v>
      </c>
      <c r="F1207" s="8">
        <f t="shared" si="110"/>
        <v>139.30000000000001</v>
      </c>
      <c r="G1207" s="8">
        <f t="shared" si="111"/>
        <v>1671.6</v>
      </c>
      <c r="H1207" s="8">
        <f t="shared" si="112"/>
        <v>306.46000000000004</v>
      </c>
      <c r="I1207" s="10">
        <f t="shared" si="113"/>
        <v>1365.1399999999999</v>
      </c>
    </row>
    <row r="1208" spans="1:9" x14ac:dyDescent="0.25">
      <c r="A1208" s="6">
        <v>1693</v>
      </c>
      <c r="B1208" s="5" t="str">
        <f>VLOOKUP(A1208, EmployeeMaster!$A:$D, 3, FALSE)</f>
        <v>Research &amp; Development</v>
      </c>
      <c r="C1208" s="8">
        <v>2570</v>
      </c>
      <c r="D1208" s="8">
        <f t="shared" si="108"/>
        <v>514</v>
      </c>
      <c r="E1208" s="8">
        <f t="shared" si="109"/>
        <v>308.39999999999998</v>
      </c>
      <c r="F1208" s="8">
        <f t="shared" si="110"/>
        <v>257</v>
      </c>
      <c r="G1208" s="8">
        <f t="shared" si="111"/>
        <v>3084</v>
      </c>
      <c r="H1208" s="8">
        <f t="shared" si="112"/>
        <v>565.4</v>
      </c>
      <c r="I1208" s="10">
        <f t="shared" si="113"/>
        <v>2518.6</v>
      </c>
    </row>
    <row r="1209" spans="1:9" x14ac:dyDescent="0.25">
      <c r="A1209" s="6">
        <v>1694</v>
      </c>
      <c r="B1209" s="5" t="str">
        <f>VLOOKUP(A1209, EmployeeMaster!$A:$D, 3, FALSE)</f>
        <v>Research &amp; Development</v>
      </c>
      <c r="C1209" s="8">
        <v>3537</v>
      </c>
      <c r="D1209" s="8">
        <f t="shared" si="108"/>
        <v>707.40000000000009</v>
      </c>
      <c r="E1209" s="8">
        <f t="shared" si="109"/>
        <v>424.44</v>
      </c>
      <c r="F1209" s="8">
        <f t="shared" si="110"/>
        <v>353.70000000000005</v>
      </c>
      <c r="G1209" s="8">
        <f t="shared" si="111"/>
        <v>4244.3999999999996</v>
      </c>
      <c r="H1209" s="8">
        <f t="shared" si="112"/>
        <v>778.1400000000001</v>
      </c>
      <c r="I1209" s="10">
        <f t="shared" si="113"/>
        <v>3466.2599999999993</v>
      </c>
    </row>
    <row r="1210" spans="1:9" x14ac:dyDescent="0.25">
      <c r="A1210" s="6">
        <v>1696</v>
      </c>
      <c r="B1210" s="5" t="str">
        <f>VLOOKUP(A1210, EmployeeMaster!$A:$D, 3, FALSE)</f>
        <v>Research &amp; Development</v>
      </c>
      <c r="C1210" s="8">
        <v>3986</v>
      </c>
      <c r="D1210" s="8">
        <f t="shared" si="108"/>
        <v>797.2</v>
      </c>
      <c r="E1210" s="8">
        <f t="shared" si="109"/>
        <v>478.32</v>
      </c>
      <c r="F1210" s="8">
        <f t="shared" si="110"/>
        <v>398.6</v>
      </c>
      <c r="G1210" s="8">
        <f t="shared" si="111"/>
        <v>4783.2</v>
      </c>
      <c r="H1210" s="8">
        <f t="shared" si="112"/>
        <v>876.92000000000007</v>
      </c>
      <c r="I1210" s="10">
        <f t="shared" si="113"/>
        <v>3906.2799999999997</v>
      </c>
    </row>
    <row r="1211" spans="1:9" x14ac:dyDescent="0.25">
      <c r="A1211" s="6">
        <v>1697</v>
      </c>
      <c r="B1211" s="5" t="str">
        <f>VLOOKUP(A1211, EmployeeMaster!$A:$D, 3, FALSE)</f>
        <v>Research &amp; Development</v>
      </c>
      <c r="C1211" s="8">
        <v>10883</v>
      </c>
      <c r="D1211" s="8">
        <f t="shared" si="108"/>
        <v>2176.6</v>
      </c>
      <c r="E1211" s="8">
        <f t="shared" si="109"/>
        <v>1305.96</v>
      </c>
      <c r="F1211" s="8">
        <f t="shared" si="110"/>
        <v>1088.3</v>
      </c>
      <c r="G1211" s="8">
        <f t="shared" si="111"/>
        <v>13059.6</v>
      </c>
      <c r="H1211" s="8">
        <f t="shared" si="112"/>
        <v>2394.2600000000002</v>
      </c>
      <c r="I1211" s="10">
        <f t="shared" si="113"/>
        <v>10665.34</v>
      </c>
    </row>
    <row r="1212" spans="1:9" x14ac:dyDescent="0.25">
      <c r="A1212" s="6">
        <v>1698</v>
      </c>
      <c r="B1212" s="5" t="str">
        <f>VLOOKUP(A1212, EmployeeMaster!$A:$D, 3, FALSE)</f>
        <v>Research &amp; Development</v>
      </c>
      <c r="C1212" s="8">
        <v>2028</v>
      </c>
      <c r="D1212" s="8">
        <f t="shared" si="108"/>
        <v>405.6</v>
      </c>
      <c r="E1212" s="8">
        <f t="shared" si="109"/>
        <v>243.35999999999999</v>
      </c>
      <c r="F1212" s="8">
        <f t="shared" si="110"/>
        <v>202.8</v>
      </c>
      <c r="G1212" s="8">
        <f t="shared" si="111"/>
        <v>2433.6</v>
      </c>
      <c r="H1212" s="8">
        <f t="shared" si="112"/>
        <v>446.15999999999997</v>
      </c>
      <c r="I1212" s="10">
        <f t="shared" si="113"/>
        <v>1987.44</v>
      </c>
    </row>
    <row r="1213" spans="1:9" x14ac:dyDescent="0.25">
      <c r="A1213" s="6">
        <v>1700</v>
      </c>
      <c r="B1213" s="5" t="str">
        <f>VLOOKUP(A1213, EmployeeMaster!$A:$D, 3, FALSE)</f>
        <v>Sales</v>
      </c>
      <c r="C1213" s="8">
        <v>9525</v>
      </c>
      <c r="D1213" s="8">
        <f t="shared" si="108"/>
        <v>1905</v>
      </c>
      <c r="E1213" s="8">
        <f t="shared" si="109"/>
        <v>1143</v>
      </c>
      <c r="F1213" s="8">
        <f t="shared" si="110"/>
        <v>952.5</v>
      </c>
      <c r="G1213" s="8">
        <f t="shared" si="111"/>
        <v>11430</v>
      </c>
      <c r="H1213" s="8">
        <f t="shared" si="112"/>
        <v>2095.5</v>
      </c>
      <c r="I1213" s="10">
        <f t="shared" si="113"/>
        <v>9334.5</v>
      </c>
    </row>
    <row r="1214" spans="1:9" x14ac:dyDescent="0.25">
      <c r="A1214" s="6">
        <v>1701</v>
      </c>
      <c r="B1214" s="5" t="str">
        <f>VLOOKUP(A1214, EmployeeMaster!$A:$D, 3, FALSE)</f>
        <v>Research &amp; Development</v>
      </c>
      <c r="C1214" s="8">
        <v>2929</v>
      </c>
      <c r="D1214" s="8">
        <f t="shared" si="108"/>
        <v>585.80000000000007</v>
      </c>
      <c r="E1214" s="8">
        <f t="shared" si="109"/>
        <v>351.47999999999996</v>
      </c>
      <c r="F1214" s="8">
        <f t="shared" si="110"/>
        <v>292.90000000000003</v>
      </c>
      <c r="G1214" s="8">
        <f t="shared" si="111"/>
        <v>3514.8</v>
      </c>
      <c r="H1214" s="8">
        <f t="shared" si="112"/>
        <v>644.38</v>
      </c>
      <c r="I1214" s="10">
        <f t="shared" si="113"/>
        <v>2870.42</v>
      </c>
    </row>
    <row r="1215" spans="1:9" x14ac:dyDescent="0.25">
      <c r="A1215" s="6">
        <v>1702</v>
      </c>
      <c r="B1215" s="5" t="str">
        <f>VLOOKUP(A1215, EmployeeMaster!$A:$D, 3, FALSE)</f>
        <v>Sales</v>
      </c>
      <c r="C1215" s="8">
        <v>2275</v>
      </c>
      <c r="D1215" s="8">
        <f t="shared" si="108"/>
        <v>455</v>
      </c>
      <c r="E1215" s="8">
        <f t="shared" si="109"/>
        <v>273</v>
      </c>
      <c r="F1215" s="8">
        <f t="shared" si="110"/>
        <v>227.5</v>
      </c>
      <c r="G1215" s="8">
        <f t="shared" si="111"/>
        <v>2730</v>
      </c>
      <c r="H1215" s="8">
        <f t="shared" si="112"/>
        <v>500.5</v>
      </c>
      <c r="I1215" s="10">
        <f t="shared" si="113"/>
        <v>2229.5</v>
      </c>
    </row>
    <row r="1216" spans="1:9" x14ac:dyDescent="0.25">
      <c r="A1216" s="6">
        <v>1703</v>
      </c>
      <c r="B1216" s="5" t="str">
        <f>VLOOKUP(A1216, EmployeeMaster!$A:$D, 3, FALSE)</f>
        <v>Research &amp; Development</v>
      </c>
      <c r="C1216" s="8">
        <v>7879</v>
      </c>
      <c r="D1216" s="8">
        <f t="shared" si="108"/>
        <v>1575.8000000000002</v>
      </c>
      <c r="E1216" s="8">
        <f t="shared" si="109"/>
        <v>945.48</v>
      </c>
      <c r="F1216" s="8">
        <f t="shared" si="110"/>
        <v>787.90000000000009</v>
      </c>
      <c r="G1216" s="8">
        <f t="shared" si="111"/>
        <v>9454.7999999999993</v>
      </c>
      <c r="H1216" s="8">
        <f t="shared" si="112"/>
        <v>1733.38</v>
      </c>
      <c r="I1216" s="10">
        <f t="shared" si="113"/>
        <v>7721.4199999999992</v>
      </c>
    </row>
    <row r="1217" spans="1:9" x14ac:dyDescent="0.25">
      <c r="A1217" s="6">
        <v>1704</v>
      </c>
      <c r="B1217" s="5" t="str">
        <f>VLOOKUP(A1217, EmployeeMaster!$A:$D, 3, FALSE)</f>
        <v>Research &amp; Development</v>
      </c>
      <c r="C1217" s="8">
        <v>4930</v>
      </c>
      <c r="D1217" s="8">
        <f t="shared" si="108"/>
        <v>986</v>
      </c>
      <c r="E1217" s="8">
        <f t="shared" si="109"/>
        <v>591.6</v>
      </c>
      <c r="F1217" s="8">
        <f t="shared" si="110"/>
        <v>493</v>
      </c>
      <c r="G1217" s="8">
        <f t="shared" si="111"/>
        <v>5916</v>
      </c>
      <c r="H1217" s="8">
        <f t="shared" si="112"/>
        <v>1084.5999999999999</v>
      </c>
      <c r="I1217" s="10">
        <f t="shared" si="113"/>
        <v>4831.3999999999996</v>
      </c>
    </row>
    <row r="1218" spans="1:9" x14ac:dyDescent="0.25">
      <c r="A1218" s="6">
        <v>1706</v>
      </c>
      <c r="B1218" s="5" t="str">
        <f>VLOOKUP(A1218, EmployeeMaster!$A:$D, 3, FALSE)</f>
        <v>Sales</v>
      </c>
      <c r="C1218" s="8">
        <v>7847</v>
      </c>
      <c r="D1218" s="8">
        <f t="shared" si="108"/>
        <v>1569.4</v>
      </c>
      <c r="E1218" s="8">
        <f t="shared" si="109"/>
        <v>941.64</v>
      </c>
      <c r="F1218" s="8">
        <f t="shared" si="110"/>
        <v>784.7</v>
      </c>
      <c r="G1218" s="8">
        <f t="shared" si="111"/>
        <v>9416.4</v>
      </c>
      <c r="H1218" s="8">
        <f t="shared" si="112"/>
        <v>1726.3400000000001</v>
      </c>
      <c r="I1218" s="10">
        <f t="shared" si="113"/>
        <v>7690.0599999999995</v>
      </c>
    </row>
    <row r="1219" spans="1:9" x14ac:dyDescent="0.25">
      <c r="A1219" s="6">
        <v>1707</v>
      </c>
      <c r="B1219" s="5" t="str">
        <f>VLOOKUP(A1219, EmployeeMaster!$A:$D, 3, FALSE)</f>
        <v>Research &amp; Development</v>
      </c>
      <c r="C1219" s="8">
        <v>4401</v>
      </c>
      <c r="D1219" s="8">
        <f t="shared" ref="D1219:D1282" si="114">C1219*20%</f>
        <v>880.2</v>
      </c>
      <c r="E1219" s="8">
        <f t="shared" ref="E1219:E1282" si="115">C1219*12%</f>
        <v>528.12</v>
      </c>
      <c r="F1219" s="8">
        <f t="shared" ref="F1219:F1282" si="116">C1219*10%</f>
        <v>440.1</v>
      </c>
      <c r="G1219" s="8">
        <f t="shared" ref="G1219:G1282" si="117">C1219+D1219</f>
        <v>5281.2</v>
      </c>
      <c r="H1219" s="8">
        <f t="shared" ref="H1219:H1282" si="118">E1219+F1219</f>
        <v>968.22</v>
      </c>
      <c r="I1219" s="10">
        <f t="shared" ref="I1219:I1282" si="119">G1219-H1219</f>
        <v>4312.9799999999996</v>
      </c>
    </row>
    <row r="1220" spans="1:9" x14ac:dyDescent="0.25">
      <c r="A1220" s="6">
        <v>1708</v>
      </c>
      <c r="B1220" s="5" t="str">
        <f>VLOOKUP(A1220, EmployeeMaster!$A:$D, 3, FALSE)</f>
        <v>Sales</v>
      </c>
      <c r="C1220" s="8">
        <v>9241</v>
      </c>
      <c r="D1220" s="8">
        <f t="shared" si="114"/>
        <v>1848.2</v>
      </c>
      <c r="E1220" s="8">
        <f t="shared" si="115"/>
        <v>1108.9199999999998</v>
      </c>
      <c r="F1220" s="8">
        <f t="shared" si="116"/>
        <v>924.1</v>
      </c>
      <c r="G1220" s="8">
        <f t="shared" si="117"/>
        <v>11089.2</v>
      </c>
      <c r="H1220" s="8">
        <f t="shared" si="118"/>
        <v>2033.02</v>
      </c>
      <c r="I1220" s="10">
        <f t="shared" si="119"/>
        <v>9056.18</v>
      </c>
    </row>
    <row r="1221" spans="1:9" x14ac:dyDescent="0.25">
      <c r="A1221" s="6">
        <v>1709</v>
      </c>
      <c r="B1221" s="5" t="str">
        <f>VLOOKUP(A1221, EmployeeMaster!$A:$D, 3, FALSE)</f>
        <v>Research &amp; Development</v>
      </c>
      <c r="C1221" s="8">
        <v>2974</v>
      </c>
      <c r="D1221" s="8">
        <f t="shared" si="114"/>
        <v>594.80000000000007</v>
      </c>
      <c r="E1221" s="8">
        <f t="shared" si="115"/>
        <v>356.88</v>
      </c>
      <c r="F1221" s="8">
        <f t="shared" si="116"/>
        <v>297.40000000000003</v>
      </c>
      <c r="G1221" s="8">
        <f t="shared" si="117"/>
        <v>3568.8</v>
      </c>
      <c r="H1221" s="8">
        <f t="shared" si="118"/>
        <v>654.28</v>
      </c>
      <c r="I1221" s="10">
        <f t="shared" si="119"/>
        <v>2914.5200000000004</v>
      </c>
    </row>
    <row r="1222" spans="1:9" x14ac:dyDescent="0.25">
      <c r="A1222" s="6">
        <v>1710</v>
      </c>
      <c r="B1222" s="5" t="str">
        <f>VLOOKUP(A1222, EmployeeMaster!$A:$D, 3, FALSE)</f>
        <v>Sales</v>
      </c>
      <c r="C1222" s="8">
        <v>4502</v>
      </c>
      <c r="D1222" s="8">
        <f t="shared" si="114"/>
        <v>900.40000000000009</v>
      </c>
      <c r="E1222" s="8">
        <f t="shared" si="115"/>
        <v>540.24</v>
      </c>
      <c r="F1222" s="8">
        <f t="shared" si="116"/>
        <v>450.20000000000005</v>
      </c>
      <c r="G1222" s="8">
        <f t="shared" si="117"/>
        <v>5402.4</v>
      </c>
      <c r="H1222" s="8">
        <f t="shared" si="118"/>
        <v>990.44</v>
      </c>
      <c r="I1222" s="10">
        <f t="shared" si="119"/>
        <v>4411.9599999999991</v>
      </c>
    </row>
    <row r="1223" spans="1:9" x14ac:dyDescent="0.25">
      <c r="A1223" s="6">
        <v>1712</v>
      </c>
      <c r="B1223" s="5" t="str">
        <f>VLOOKUP(A1223, EmployeeMaster!$A:$D, 3, FALSE)</f>
        <v>Research &amp; Development</v>
      </c>
      <c r="C1223" s="8">
        <v>10748</v>
      </c>
      <c r="D1223" s="8">
        <f t="shared" si="114"/>
        <v>2149.6</v>
      </c>
      <c r="E1223" s="8">
        <f t="shared" si="115"/>
        <v>1289.76</v>
      </c>
      <c r="F1223" s="8">
        <f t="shared" si="116"/>
        <v>1074.8</v>
      </c>
      <c r="G1223" s="8">
        <f t="shared" si="117"/>
        <v>12897.6</v>
      </c>
      <c r="H1223" s="8">
        <f t="shared" si="118"/>
        <v>2364.56</v>
      </c>
      <c r="I1223" s="10">
        <f t="shared" si="119"/>
        <v>10533.04</v>
      </c>
    </row>
    <row r="1224" spans="1:9" x14ac:dyDescent="0.25">
      <c r="A1224" s="6">
        <v>1714</v>
      </c>
      <c r="B1224" s="5" t="str">
        <f>VLOOKUP(A1224, EmployeeMaster!$A:$D, 3, FALSE)</f>
        <v>Human Resources</v>
      </c>
      <c r="C1224" s="8">
        <v>1555</v>
      </c>
      <c r="D1224" s="8">
        <f t="shared" si="114"/>
        <v>311</v>
      </c>
      <c r="E1224" s="8">
        <f t="shared" si="115"/>
        <v>186.6</v>
      </c>
      <c r="F1224" s="8">
        <f t="shared" si="116"/>
        <v>155.5</v>
      </c>
      <c r="G1224" s="8">
        <f t="shared" si="117"/>
        <v>1866</v>
      </c>
      <c r="H1224" s="8">
        <f t="shared" si="118"/>
        <v>342.1</v>
      </c>
      <c r="I1224" s="10">
        <f t="shared" si="119"/>
        <v>1523.9</v>
      </c>
    </row>
    <row r="1225" spans="1:9" x14ac:dyDescent="0.25">
      <c r="A1225" s="6">
        <v>1716</v>
      </c>
      <c r="B1225" s="5" t="str">
        <f>VLOOKUP(A1225, EmployeeMaster!$A:$D, 3, FALSE)</f>
        <v>Sales</v>
      </c>
      <c r="C1225" s="8">
        <v>12936</v>
      </c>
      <c r="D1225" s="8">
        <f t="shared" si="114"/>
        <v>2587.2000000000003</v>
      </c>
      <c r="E1225" s="8">
        <f t="shared" si="115"/>
        <v>1552.32</v>
      </c>
      <c r="F1225" s="8">
        <f t="shared" si="116"/>
        <v>1293.6000000000001</v>
      </c>
      <c r="G1225" s="8">
        <f t="shared" si="117"/>
        <v>15523.2</v>
      </c>
      <c r="H1225" s="8">
        <f t="shared" si="118"/>
        <v>2845.92</v>
      </c>
      <c r="I1225" s="10">
        <f t="shared" si="119"/>
        <v>12677.28</v>
      </c>
    </row>
    <row r="1226" spans="1:9" x14ac:dyDescent="0.25">
      <c r="A1226" s="6">
        <v>1718</v>
      </c>
      <c r="B1226" s="5" t="str">
        <f>VLOOKUP(A1226, EmployeeMaster!$A:$D, 3, FALSE)</f>
        <v>Research &amp; Development</v>
      </c>
      <c r="C1226" s="8">
        <v>2305</v>
      </c>
      <c r="D1226" s="8">
        <f t="shared" si="114"/>
        <v>461</v>
      </c>
      <c r="E1226" s="8">
        <f t="shared" si="115"/>
        <v>276.59999999999997</v>
      </c>
      <c r="F1226" s="8">
        <f t="shared" si="116"/>
        <v>230.5</v>
      </c>
      <c r="G1226" s="8">
        <f t="shared" si="117"/>
        <v>2766</v>
      </c>
      <c r="H1226" s="8">
        <f t="shared" si="118"/>
        <v>507.09999999999997</v>
      </c>
      <c r="I1226" s="10">
        <f t="shared" si="119"/>
        <v>2258.9</v>
      </c>
    </row>
    <row r="1227" spans="1:9" x14ac:dyDescent="0.25">
      <c r="A1227" s="6">
        <v>1719</v>
      </c>
      <c r="B1227" s="5" t="str">
        <f>VLOOKUP(A1227, EmployeeMaster!$A:$D, 3, FALSE)</f>
        <v>Research &amp; Development</v>
      </c>
      <c r="C1227" s="8">
        <v>16704</v>
      </c>
      <c r="D1227" s="8">
        <f t="shared" si="114"/>
        <v>3340.8</v>
      </c>
      <c r="E1227" s="8">
        <f t="shared" si="115"/>
        <v>2004.48</v>
      </c>
      <c r="F1227" s="8">
        <f t="shared" si="116"/>
        <v>1670.4</v>
      </c>
      <c r="G1227" s="8">
        <f t="shared" si="117"/>
        <v>20044.8</v>
      </c>
      <c r="H1227" s="8">
        <f t="shared" si="118"/>
        <v>3674.88</v>
      </c>
      <c r="I1227" s="10">
        <f t="shared" si="119"/>
        <v>16369.919999999998</v>
      </c>
    </row>
    <row r="1228" spans="1:9" x14ac:dyDescent="0.25">
      <c r="A1228" s="6">
        <v>1720</v>
      </c>
      <c r="B1228" s="5" t="str">
        <f>VLOOKUP(A1228, EmployeeMaster!$A:$D, 3, FALSE)</f>
        <v>Research &amp; Development</v>
      </c>
      <c r="C1228" s="8">
        <v>3433</v>
      </c>
      <c r="D1228" s="8">
        <f t="shared" si="114"/>
        <v>686.6</v>
      </c>
      <c r="E1228" s="8">
        <f t="shared" si="115"/>
        <v>411.96</v>
      </c>
      <c r="F1228" s="8">
        <f t="shared" si="116"/>
        <v>343.3</v>
      </c>
      <c r="G1228" s="8">
        <f t="shared" si="117"/>
        <v>4119.6000000000004</v>
      </c>
      <c r="H1228" s="8">
        <f t="shared" si="118"/>
        <v>755.26</v>
      </c>
      <c r="I1228" s="10">
        <f t="shared" si="119"/>
        <v>3364.34</v>
      </c>
    </row>
    <row r="1229" spans="1:9" x14ac:dyDescent="0.25">
      <c r="A1229" s="6">
        <v>1721</v>
      </c>
      <c r="B1229" s="5" t="str">
        <f>VLOOKUP(A1229, EmployeeMaster!$A:$D, 3, FALSE)</f>
        <v>Research &amp; Development</v>
      </c>
      <c r="C1229" s="8">
        <v>3477</v>
      </c>
      <c r="D1229" s="8">
        <f t="shared" si="114"/>
        <v>695.40000000000009</v>
      </c>
      <c r="E1229" s="8">
        <f t="shared" si="115"/>
        <v>417.24</v>
      </c>
      <c r="F1229" s="8">
        <f t="shared" si="116"/>
        <v>347.70000000000005</v>
      </c>
      <c r="G1229" s="8">
        <f t="shared" si="117"/>
        <v>4172.3999999999996</v>
      </c>
      <c r="H1229" s="8">
        <f t="shared" si="118"/>
        <v>764.94</v>
      </c>
      <c r="I1229" s="10">
        <f t="shared" si="119"/>
        <v>3407.4599999999996</v>
      </c>
    </row>
    <row r="1230" spans="1:9" x14ac:dyDescent="0.25">
      <c r="A1230" s="6">
        <v>1722</v>
      </c>
      <c r="B1230" s="5" t="str">
        <f>VLOOKUP(A1230, EmployeeMaster!$A:$D, 3, FALSE)</f>
        <v>Human Resources</v>
      </c>
      <c r="C1230" s="8">
        <v>6430</v>
      </c>
      <c r="D1230" s="8">
        <f t="shared" si="114"/>
        <v>1286</v>
      </c>
      <c r="E1230" s="8">
        <f t="shared" si="115"/>
        <v>771.6</v>
      </c>
      <c r="F1230" s="8">
        <f t="shared" si="116"/>
        <v>643</v>
      </c>
      <c r="G1230" s="8">
        <f t="shared" si="117"/>
        <v>7716</v>
      </c>
      <c r="H1230" s="8">
        <f t="shared" si="118"/>
        <v>1414.6</v>
      </c>
      <c r="I1230" s="10">
        <f t="shared" si="119"/>
        <v>6301.4</v>
      </c>
    </row>
    <row r="1231" spans="1:9" x14ac:dyDescent="0.25">
      <c r="A1231" s="6">
        <v>1724</v>
      </c>
      <c r="B1231" s="5" t="str">
        <f>VLOOKUP(A1231, EmployeeMaster!$A:$D, 3, FALSE)</f>
        <v>Research &amp; Development</v>
      </c>
      <c r="C1231" s="8">
        <v>6516</v>
      </c>
      <c r="D1231" s="8">
        <f t="shared" si="114"/>
        <v>1303.2</v>
      </c>
      <c r="E1231" s="8">
        <f t="shared" si="115"/>
        <v>781.92</v>
      </c>
      <c r="F1231" s="8">
        <f t="shared" si="116"/>
        <v>651.6</v>
      </c>
      <c r="G1231" s="8">
        <f t="shared" si="117"/>
        <v>7819.2</v>
      </c>
      <c r="H1231" s="8">
        <f t="shared" si="118"/>
        <v>1433.52</v>
      </c>
      <c r="I1231" s="10">
        <f t="shared" si="119"/>
        <v>6385.68</v>
      </c>
    </row>
    <row r="1232" spans="1:9" x14ac:dyDescent="0.25">
      <c r="A1232" s="6">
        <v>1725</v>
      </c>
      <c r="B1232" s="5" t="str">
        <f>VLOOKUP(A1232, EmployeeMaster!$A:$D, 3, FALSE)</f>
        <v>Research &amp; Development</v>
      </c>
      <c r="C1232" s="8">
        <v>3907</v>
      </c>
      <c r="D1232" s="8">
        <f t="shared" si="114"/>
        <v>781.40000000000009</v>
      </c>
      <c r="E1232" s="8">
        <f t="shared" si="115"/>
        <v>468.84</v>
      </c>
      <c r="F1232" s="8">
        <f t="shared" si="116"/>
        <v>390.70000000000005</v>
      </c>
      <c r="G1232" s="8">
        <f t="shared" si="117"/>
        <v>4688.3999999999996</v>
      </c>
      <c r="H1232" s="8">
        <f t="shared" si="118"/>
        <v>859.54</v>
      </c>
      <c r="I1232" s="10">
        <f t="shared" si="119"/>
        <v>3828.8599999999997</v>
      </c>
    </row>
    <row r="1233" spans="1:9" x14ac:dyDescent="0.25">
      <c r="A1233" s="6">
        <v>1727</v>
      </c>
      <c r="B1233" s="5" t="str">
        <f>VLOOKUP(A1233, EmployeeMaster!$A:$D, 3, FALSE)</f>
        <v>Research &amp; Development</v>
      </c>
      <c r="C1233" s="8">
        <v>5562</v>
      </c>
      <c r="D1233" s="8">
        <f t="shared" si="114"/>
        <v>1112.4000000000001</v>
      </c>
      <c r="E1233" s="8">
        <f t="shared" si="115"/>
        <v>667.43999999999994</v>
      </c>
      <c r="F1233" s="8">
        <f t="shared" si="116"/>
        <v>556.20000000000005</v>
      </c>
      <c r="G1233" s="8">
        <f t="shared" si="117"/>
        <v>6674.4</v>
      </c>
      <c r="H1233" s="8">
        <f t="shared" si="118"/>
        <v>1223.6399999999999</v>
      </c>
      <c r="I1233" s="10">
        <f t="shared" si="119"/>
        <v>5450.76</v>
      </c>
    </row>
    <row r="1234" spans="1:9" x14ac:dyDescent="0.25">
      <c r="A1234" s="6">
        <v>1728</v>
      </c>
      <c r="B1234" s="5" t="str">
        <f>VLOOKUP(A1234, EmployeeMaster!$A:$D, 3, FALSE)</f>
        <v>Research &amp; Development</v>
      </c>
      <c r="C1234" s="8">
        <v>6883</v>
      </c>
      <c r="D1234" s="8">
        <f t="shared" si="114"/>
        <v>1376.6000000000001</v>
      </c>
      <c r="E1234" s="8">
        <f t="shared" si="115"/>
        <v>825.95999999999992</v>
      </c>
      <c r="F1234" s="8">
        <f t="shared" si="116"/>
        <v>688.30000000000007</v>
      </c>
      <c r="G1234" s="8">
        <f t="shared" si="117"/>
        <v>8259.6</v>
      </c>
      <c r="H1234" s="8">
        <f t="shared" si="118"/>
        <v>1514.26</v>
      </c>
      <c r="I1234" s="10">
        <f t="shared" si="119"/>
        <v>6745.34</v>
      </c>
    </row>
    <row r="1235" spans="1:9" x14ac:dyDescent="0.25">
      <c r="A1235" s="6">
        <v>1729</v>
      </c>
      <c r="B1235" s="5" t="str">
        <f>VLOOKUP(A1235, EmployeeMaster!$A:$D, 3, FALSE)</f>
        <v>Research &amp; Development</v>
      </c>
      <c r="C1235" s="8">
        <v>2862</v>
      </c>
      <c r="D1235" s="8">
        <f t="shared" si="114"/>
        <v>572.4</v>
      </c>
      <c r="E1235" s="8">
        <f t="shared" si="115"/>
        <v>343.44</v>
      </c>
      <c r="F1235" s="8">
        <f t="shared" si="116"/>
        <v>286.2</v>
      </c>
      <c r="G1235" s="8">
        <f t="shared" si="117"/>
        <v>3434.4</v>
      </c>
      <c r="H1235" s="8">
        <f t="shared" si="118"/>
        <v>629.64</v>
      </c>
      <c r="I1235" s="10">
        <f t="shared" si="119"/>
        <v>2804.76</v>
      </c>
    </row>
    <row r="1236" spans="1:9" x14ac:dyDescent="0.25">
      <c r="A1236" s="6">
        <v>1731</v>
      </c>
      <c r="B1236" s="5" t="str">
        <f>VLOOKUP(A1236, EmployeeMaster!$A:$D, 3, FALSE)</f>
        <v>Sales</v>
      </c>
      <c r="C1236" s="8">
        <v>4978</v>
      </c>
      <c r="D1236" s="8">
        <f t="shared" si="114"/>
        <v>995.6</v>
      </c>
      <c r="E1236" s="8">
        <f t="shared" si="115"/>
        <v>597.36</v>
      </c>
      <c r="F1236" s="8">
        <f t="shared" si="116"/>
        <v>497.8</v>
      </c>
      <c r="G1236" s="8">
        <f t="shared" si="117"/>
        <v>5973.6</v>
      </c>
      <c r="H1236" s="8">
        <f t="shared" si="118"/>
        <v>1095.1600000000001</v>
      </c>
      <c r="I1236" s="10">
        <f t="shared" si="119"/>
        <v>4878.4400000000005</v>
      </c>
    </row>
    <row r="1237" spans="1:9" x14ac:dyDescent="0.25">
      <c r="A1237" s="6">
        <v>1732</v>
      </c>
      <c r="B1237" s="5" t="str">
        <f>VLOOKUP(A1237, EmployeeMaster!$A:$D, 3, FALSE)</f>
        <v>Sales</v>
      </c>
      <c r="C1237" s="8">
        <v>10368</v>
      </c>
      <c r="D1237" s="8">
        <f t="shared" si="114"/>
        <v>2073.6</v>
      </c>
      <c r="E1237" s="8">
        <f t="shared" si="115"/>
        <v>1244.1599999999999</v>
      </c>
      <c r="F1237" s="8">
        <f t="shared" si="116"/>
        <v>1036.8</v>
      </c>
      <c r="G1237" s="8">
        <f t="shared" si="117"/>
        <v>12441.6</v>
      </c>
      <c r="H1237" s="8">
        <f t="shared" si="118"/>
        <v>2280.96</v>
      </c>
      <c r="I1237" s="10">
        <f t="shared" si="119"/>
        <v>10160.64</v>
      </c>
    </row>
    <row r="1238" spans="1:9" x14ac:dyDescent="0.25">
      <c r="A1238" s="6">
        <v>1733</v>
      </c>
      <c r="B1238" s="5" t="str">
        <f>VLOOKUP(A1238, EmployeeMaster!$A:$D, 3, FALSE)</f>
        <v>Sales</v>
      </c>
      <c r="C1238" s="8">
        <v>6134</v>
      </c>
      <c r="D1238" s="8">
        <f t="shared" si="114"/>
        <v>1226.8</v>
      </c>
      <c r="E1238" s="8">
        <f t="shared" si="115"/>
        <v>736.07999999999993</v>
      </c>
      <c r="F1238" s="8">
        <f t="shared" si="116"/>
        <v>613.4</v>
      </c>
      <c r="G1238" s="8">
        <f t="shared" si="117"/>
        <v>7360.8</v>
      </c>
      <c r="H1238" s="8">
        <f t="shared" si="118"/>
        <v>1349.48</v>
      </c>
      <c r="I1238" s="10">
        <f t="shared" si="119"/>
        <v>6011.32</v>
      </c>
    </row>
    <row r="1239" spans="1:9" x14ac:dyDescent="0.25">
      <c r="A1239" s="6">
        <v>1734</v>
      </c>
      <c r="B1239" s="5" t="str">
        <f>VLOOKUP(A1239, EmployeeMaster!$A:$D, 3, FALSE)</f>
        <v>Sales</v>
      </c>
      <c r="C1239" s="8">
        <v>6735</v>
      </c>
      <c r="D1239" s="8">
        <f t="shared" si="114"/>
        <v>1347</v>
      </c>
      <c r="E1239" s="8">
        <f t="shared" si="115"/>
        <v>808.19999999999993</v>
      </c>
      <c r="F1239" s="8">
        <f t="shared" si="116"/>
        <v>673.5</v>
      </c>
      <c r="G1239" s="8">
        <f t="shared" si="117"/>
        <v>8082</v>
      </c>
      <c r="H1239" s="8">
        <f t="shared" si="118"/>
        <v>1481.6999999999998</v>
      </c>
      <c r="I1239" s="10">
        <f t="shared" si="119"/>
        <v>6600.3</v>
      </c>
    </row>
    <row r="1240" spans="1:9" x14ac:dyDescent="0.25">
      <c r="A1240" s="6">
        <v>1735</v>
      </c>
      <c r="B1240" s="5" t="str">
        <f>VLOOKUP(A1240, EmployeeMaster!$A:$D, 3, FALSE)</f>
        <v>Research &amp; Development</v>
      </c>
      <c r="C1240" s="8">
        <v>3295</v>
      </c>
      <c r="D1240" s="8">
        <f t="shared" si="114"/>
        <v>659</v>
      </c>
      <c r="E1240" s="8">
        <f t="shared" si="115"/>
        <v>395.4</v>
      </c>
      <c r="F1240" s="8">
        <f t="shared" si="116"/>
        <v>329.5</v>
      </c>
      <c r="G1240" s="8">
        <f t="shared" si="117"/>
        <v>3954</v>
      </c>
      <c r="H1240" s="8">
        <f t="shared" si="118"/>
        <v>724.9</v>
      </c>
      <c r="I1240" s="10">
        <f t="shared" si="119"/>
        <v>3229.1</v>
      </c>
    </row>
    <row r="1241" spans="1:9" x14ac:dyDescent="0.25">
      <c r="A1241" s="6">
        <v>1736</v>
      </c>
      <c r="B1241" s="5" t="str">
        <f>VLOOKUP(A1241, EmployeeMaster!$A:$D, 3, FALSE)</f>
        <v>Research &amp; Development</v>
      </c>
      <c r="C1241" s="8">
        <v>5238</v>
      </c>
      <c r="D1241" s="8">
        <f t="shared" si="114"/>
        <v>1047.6000000000001</v>
      </c>
      <c r="E1241" s="8">
        <f t="shared" si="115"/>
        <v>628.55999999999995</v>
      </c>
      <c r="F1241" s="8">
        <f t="shared" si="116"/>
        <v>523.80000000000007</v>
      </c>
      <c r="G1241" s="8">
        <f t="shared" si="117"/>
        <v>6285.6</v>
      </c>
      <c r="H1241" s="8">
        <f t="shared" si="118"/>
        <v>1152.3600000000001</v>
      </c>
      <c r="I1241" s="10">
        <f t="shared" si="119"/>
        <v>5133.24</v>
      </c>
    </row>
    <row r="1242" spans="1:9" x14ac:dyDescent="0.25">
      <c r="A1242" s="6">
        <v>1737</v>
      </c>
      <c r="B1242" s="5" t="str">
        <f>VLOOKUP(A1242, EmployeeMaster!$A:$D, 3, FALSE)</f>
        <v>Research &amp; Development</v>
      </c>
      <c r="C1242" s="8">
        <v>6472</v>
      </c>
      <c r="D1242" s="8">
        <f t="shared" si="114"/>
        <v>1294.4000000000001</v>
      </c>
      <c r="E1242" s="8">
        <f t="shared" si="115"/>
        <v>776.64</v>
      </c>
      <c r="F1242" s="8">
        <f t="shared" si="116"/>
        <v>647.20000000000005</v>
      </c>
      <c r="G1242" s="8">
        <f t="shared" si="117"/>
        <v>7766.4</v>
      </c>
      <c r="H1242" s="8">
        <f t="shared" si="118"/>
        <v>1423.8400000000001</v>
      </c>
      <c r="I1242" s="10">
        <f t="shared" si="119"/>
        <v>6342.5599999999995</v>
      </c>
    </row>
    <row r="1243" spans="1:9" x14ac:dyDescent="0.25">
      <c r="A1243" s="6">
        <v>1739</v>
      </c>
      <c r="B1243" s="5" t="str">
        <f>VLOOKUP(A1243, EmployeeMaster!$A:$D, 3, FALSE)</f>
        <v>Sales</v>
      </c>
      <c r="C1243" s="8">
        <v>9610</v>
      </c>
      <c r="D1243" s="8">
        <f t="shared" si="114"/>
        <v>1922</v>
      </c>
      <c r="E1243" s="8">
        <f t="shared" si="115"/>
        <v>1153.2</v>
      </c>
      <c r="F1243" s="8">
        <f t="shared" si="116"/>
        <v>961</v>
      </c>
      <c r="G1243" s="8">
        <f t="shared" si="117"/>
        <v>11532</v>
      </c>
      <c r="H1243" s="8">
        <f t="shared" si="118"/>
        <v>2114.1999999999998</v>
      </c>
      <c r="I1243" s="10">
        <f t="shared" si="119"/>
        <v>9417.7999999999993</v>
      </c>
    </row>
    <row r="1244" spans="1:9" x14ac:dyDescent="0.25">
      <c r="A1244" s="6">
        <v>1740</v>
      </c>
      <c r="B1244" s="5" t="str">
        <f>VLOOKUP(A1244, EmployeeMaster!$A:$D, 3, FALSE)</f>
        <v>Sales</v>
      </c>
      <c r="C1244" s="8">
        <v>19833</v>
      </c>
      <c r="D1244" s="8">
        <f t="shared" si="114"/>
        <v>3966.6000000000004</v>
      </c>
      <c r="E1244" s="8">
        <f t="shared" si="115"/>
        <v>2379.96</v>
      </c>
      <c r="F1244" s="8">
        <f t="shared" si="116"/>
        <v>1983.3000000000002</v>
      </c>
      <c r="G1244" s="8">
        <f t="shared" si="117"/>
        <v>23799.599999999999</v>
      </c>
      <c r="H1244" s="8">
        <f t="shared" si="118"/>
        <v>4363.26</v>
      </c>
      <c r="I1244" s="10">
        <f t="shared" si="119"/>
        <v>19436.339999999997</v>
      </c>
    </row>
    <row r="1245" spans="1:9" x14ac:dyDescent="0.25">
      <c r="A1245" s="6">
        <v>1744</v>
      </c>
      <c r="B1245" s="5" t="str">
        <f>VLOOKUP(A1245, EmployeeMaster!$A:$D, 3, FALSE)</f>
        <v>Human Resources</v>
      </c>
      <c r="C1245" s="8">
        <v>9756</v>
      </c>
      <c r="D1245" s="8">
        <f t="shared" si="114"/>
        <v>1951.2</v>
      </c>
      <c r="E1245" s="8">
        <f t="shared" si="115"/>
        <v>1170.72</v>
      </c>
      <c r="F1245" s="8">
        <f t="shared" si="116"/>
        <v>975.6</v>
      </c>
      <c r="G1245" s="8">
        <f t="shared" si="117"/>
        <v>11707.2</v>
      </c>
      <c r="H1245" s="8">
        <f t="shared" si="118"/>
        <v>2146.3200000000002</v>
      </c>
      <c r="I1245" s="10">
        <f t="shared" si="119"/>
        <v>9560.880000000001</v>
      </c>
    </row>
    <row r="1246" spans="1:9" x14ac:dyDescent="0.25">
      <c r="A1246" s="6">
        <v>1745</v>
      </c>
      <c r="B1246" s="5" t="str">
        <f>VLOOKUP(A1246, EmployeeMaster!$A:$D, 3, FALSE)</f>
        <v>Research &amp; Development</v>
      </c>
      <c r="C1246" s="8">
        <v>4968</v>
      </c>
      <c r="D1246" s="8">
        <f t="shared" si="114"/>
        <v>993.6</v>
      </c>
      <c r="E1246" s="8">
        <f t="shared" si="115"/>
        <v>596.16</v>
      </c>
      <c r="F1246" s="8">
        <f t="shared" si="116"/>
        <v>496.8</v>
      </c>
      <c r="G1246" s="8">
        <f t="shared" si="117"/>
        <v>5961.6</v>
      </c>
      <c r="H1246" s="8">
        <f t="shared" si="118"/>
        <v>1092.96</v>
      </c>
      <c r="I1246" s="10">
        <f t="shared" si="119"/>
        <v>4868.6400000000003</v>
      </c>
    </row>
    <row r="1247" spans="1:9" x14ac:dyDescent="0.25">
      <c r="A1247" s="6">
        <v>1746</v>
      </c>
      <c r="B1247" s="5" t="str">
        <f>VLOOKUP(A1247, EmployeeMaster!$A:$D, 3, FALSE)</f>
        <v>Human Resources</v>
      </c>
      <c r="C1247" s="8">
        <v>2145</v>
      </c>
      <c r="D1247" s="8">
        <f t="shared" si="114"/>
        <v>429</v>
      </c>
      <c r="E1247" s="8">
        <f t="shared" si="115"/>
        <v>257.39999999999998</v>
      </c>
      <c r="F1247" s="8">
        <f t="shared" si="116"/>
        <v>214.5</v>
      </c>
      <c r="G1247" s="8">
        <f t="shared" si="117"/>
        <v>2574</v>
      </c>
      <c r="H1247" s="8">
        <f t="shared" si="118"/>
        <v>471.9</v>
      </c>
      <c r="I1247" s="10">
        <f t="shared" si="119"/>
        <v>2102.1</v>
      </c>
    </row>
    <row r="1248" spans="1:9" x14ac:dyDescent="0.25">
      <c r="A1248" s="6">
        <v>1747</v>
      </c>
      <c r="B1248" s="5" t="str">
        <f>VLOOKUP(A1248, EmployeeMaster!$A:$D, 3, FALSE)</f>
        <v>Human Resources</v>
      </c>
      <c r="C1248" s="8">
        <v>2180</v>
      </c>
      <c r="D1248" s="8">
        <f t="shared" si="114"/>
        <v>436</v>
      </c>
      <c r="E1248" s="8">
        <f t="shared" si="115"/>
        <v>261.59999999999997</v>
      </c>
      <c r="F1248" s="8">
        <f t="shared" si="116"/>
        <v>218</v>
      </c>
      <c r="G1248" s="8">
        <f t="shared" si="117"/>
        <v>2616</v>
      </c>
      <c r="H1248" s="8">
        <f t="shared" si="118"/>
        <v>479.59999999999997</v>
      </c>
      <c r="I1248" s="10">
        <f t="shared" si="119"/>
        <v>2136.4</v>
      </c>
    </row>
    <row r="1249" spans="1:9" x14ac:dyDescent="0.25">
      <c r="A1249" s="6">
        <v>1749</v>
      </c>
      <c r="B1249" s="5" t="str">
        <f>VLOOKUP(A1249, EmployeeMaster!$A:$D, 3, FALSE)</f>
        <v>Sales</v>
      </c>
      <c r="C1249" s="8">
        <v>8346</v>
      </c>
      <c r="D1249" s="8">
        <f t="shared" si="114"/>
        <v>1669.2</v>
      </c>
      <c r="E1249" s="8">
        <f t="shared" si="115"/>
        <v>1001.52</v>
      </c>
      <c r="F1249" s="8">
        <f t="shared" si="116"/>
        <v>834.6</v>
      </c>
      <c r="G1249" s="8">
        <f t="shared" si="117"/>
        <v>10015.200000000001</v>
      </c>
      <c r="H1249" s="8">
        <f t="shared" si="118"/>
        <v>1836.12</v>
      </c>
      <c r="I1249" s="10">
        <f t="shared" si="119"/>
        <v>8179.0800000000008</v>
      </c>
    </row>
    <row r="1250" spans="1:9" x14ac:dyDescent="0.25">
      <c r="A1250" s="6">
        <v>1751</v>
      </c>
      <c r="B1250" s="5" t="str">
        <f>VLOOKUP(A1250, EmployeeMaster!$A:$D, 3, FALSE)</f>
        <v>Research &amp; Development</v>
      </c>
      <c r="C1250" s="8">
        <v>3445</v>
      </c>
      <c r="D1250" s="8">
        <f t="shared" si="114"/>
        <v>689</v>
      </c>
      <c r="E1250" s="8">
        <f t="shared" si="115"/>
        <v>413.4</v>
      </c>
      <c r="F1250" s="8">
        <f t="shared" si="116"/>
        <v>344.5</v>
      </c>
      <c r="G1250" s="8">
        <f t="shared" si="117"/>
        <v>4134</v>
      </c>
      <c r="H1250" s="8">
        <f t="shared" si="118"/>
        <v>757.9</v>
      </c>
      <c r="I1250" s="10">
        <f t="shared" si="119"/>
        <v>3376.1</v>
      </c>
    </row>
    <row r="1251" spans="1:9" x14ac:dyDescent="0.25">
      <c r="A1251" s="6">
        <v>1752</v>
      </c>
      <c r="B1251" s="5" t="str">
        <f>VLOOKUP(A1251, EmployeeMaster!$A:$D, 3, FALSE)</f>
        <v>Sales</v>
      </c>
      <c r="C1251" s="8">
        <v>2760</v>
      </c>
      <c r="D1251" s="8">
        <f t="shared" si="114"/>
        <v>552</v>
      </c>
      <c r="E1251" s="8">
        <f t="shared" si="115"/>
        <v>331.2</v>
      </c>
      <c r="F1251" s="8">
        <f t="shared" si="116"/>
        <v>276</v>
      </c>
      <c r="G1251" s="8">
        <f t="shared" si="117"/>
        <v>3312</v>
      </c>
      <c r="H1251" s="8">
        <f t="shared" si="118"/>
        <v>607.20000000000005</v>
      </c>
      <c r="I1251" s="10">
        <f t="shared" si="119"/>
        <v>2704.8</v>
      </c>
    </row>
    <row r="1252" spans="1:9" x14ac:dyDescent="0.25">
      <c r="A1252" s="6">
        <v>1753</v>
      </c>
      <c r="B1252" s="5" t="str">
        <f>VLOOKUP(A1252, EmployeeMaster!$A:$D, 3, FALSE)</f>
        <v>Research &amp; Development</v>
      </c>
      <c r="C1252" s="8">
        <v>6294</v>
      </c>
      <c r="D1252" s="8">
        <f t="shared" si="114"/>
        <v>1258.8000000000002</v>
      </c>
      <c r="E1252" s="8">
        <f t="shared" si="115"/>
        <v>755.28</v>
      </c>
      <c r="F1252" s="8">
        <f t="shared" si="116"/>
        <v>629.40000000000009</v>
      </c>
      <c r="G1252" s="8">
        <f t="shared" si="117"/>
        <v>7552.8</v>
      </c>
      <c r="H1252" s="8">
        <f t="shared" si="118"/>
        <v>1384.68</v>
      </c>
      <c r="I1252" s="10">
        <f t="shared" si="119"/>
        <v>6168.12</v>
      </c>
    </row>
    <row r="1253" spans="1:9" x14ac:dyDescent="0.25">
      <c r="A1253" s="6">
        <v>1754</v>
      </c>
      <c r="B1253" s="5" t="str">
        <f>VLOOKUP(A1253, EmployeeMaster!$A:$D, 3, FALSE)</f>
        <v>Sales</v>
      </c>
      <c r="C1253" s="8">
        <v>7140</v>
      </c>
      <c r="D1253" s="8">
        <f t="shared" si="114"/>
        <v>1428</v>
      </c>
      <c r="E1253" s="8">
        <f t="shared" si="115"/>
        <v>856.8</v>
      </c>
      <c r="F1253" s="8">
        <f t="shared" si="116"/>
        <v>714</v>
      </c>
      <c r="G1253" s="8">
        <f t="shared" si="117"/>
        <v>8568</v>
      </c>
      <c r="H1253" s="8">
        <f t="shared" si="118"/>
        <v>1570.8</v>
      </c>
      <c r="I1253" s="10">
        <f t="shared" si="119"/>
        <v>6997.2</v>
      </c>
    </row>
    <row r="1254" spans="1:9" x14ac:dyDescent="0.25">
      <c r="A1254" s="6">
        <v>1755</v>
      </c>
      <c r="B1254" s="5" t="str">
        <f>VLOOKUP(A1254, EmployeeMaster!$A:$D, 3, FALSE)</f>
        <v>Research &amp; Development</v>
      </c>
      <c r="C1254" s="8">
        <v>2932</v>
      </c>
      <c r="D1254" s="8">
        <f t="shared" si="114"/>
        <v>586.4</v>
      </c>
      <c r="E1254" s="8">
        <f t="shared" si="115"/>
        <v>351.84</v>
      </c>
      <c r="F1254" s="8">
        <f t="shared" si="116"/>
        <v>293.2</v>
      </c>
      <c r="G1254" s="8">
        <f t="shared" si="117"/>
        <v>3518.4</v>
      </c>
      <c r="H1254" s="8">
        <f t="shared" si="118"/>
        <v>645.04</v>
      </c>
      <c r="I1254" s="10">
        <f t="shared" si="119"/>
        <v>2873.36</v>
      </c>
    </row>
    <row r="1255" spans="1:9" x14ac:dyDescent="0.25">
      <c r="A1255" s="6">
        <v>1756</v>
      </c>
      <c r="B1255" s="5" t="str">
        <f>VLOOKUP(A1255, EmployeeMaster!$A:$D, 3, FALSE)</f>
        <v>Sales</v>
      </c>
      <c r="C1255" s="8">
        <v>5147</v>
      </c>
      <c r="D1255" s="8">
        <f t="shared" si="114"/>
        <v>1029.4000000000001</v>
      </c>
      <c r="E1255" s="8">
        <f t="shared" si="115"/>
        <v>617.64</v>
      </c>
      <c r="F1255" s="8">
        <f t="shared" si="116"/>
        <v>514.70000000000005</v>
      </c>
      <c r="G1255" s="8">
        <f t="shared" si="117"/>
        <v>6176.4</v>
      </c>
      <c r="H1255" s="8">
        <f t="shared" si="118"/>
        <v>1132.3400000000001</v>
      </c>
      <c r="I1255" s="10">
        <f t="shared" si="119"/>
        <v>5044.0599999999995</v>
      </c>
    </row>
    <row r="1256" spans="1:9" x14ac:dyDescent="0.25">
      <c r="A1256" s="6">
        <v>1757</v>
      </c>
      <c r="B1256" s="5" t="str">
        <f>VLOOKUP(A1256, EmployeeMaster!$A:$D, 3, FALSE)</f>
        <v>Sales</v>
      </c>
      <c r="C1256" s="8">
        <v>4507</v>
      </c>
      <c r="D1256" s="8">
        <f t="shared" si="114"/>
        <v>901.40000000000009</v>
      </c>
      <c r="E1256" s="8">
        <f t="shared" si="115"/>
        <v>540.84</v>
      </c>
      <c r="F1256" s="8">
        <f t="shared" si="116"/>
        <v>450.70000000000005</v>
      </c>
      <c r="G1256" s="8">
        <f t="shared" si="117"/>
        <v>5408.4</v>
      </c>
      <c r="H1256" s="8">
        <f t="shared" si="118"/>
        <v>991.54000000000008</v>
      </c>
      <c r="I1256" s="10">
        <f t="shared" si="119"/>
        <v>4416.8599999999997</v>
      </c>
    </row>
    <row r="1257" spans="1:9" x14ac:dyDescent="0.25">
      <c r="A1257" s="6">
        <v>1758</v>
      </c>
      <c r="B1257" s="5" t="str">
        <f>VLOOKUP(A1257, EmployeeMaster!$A:$D, 3, FALSE)</f>
        <v>Sales</v>
      </c>
      <c r="C1257" s="8">
        <v>8564</v>
      </c>
      <c r="D1257" s="8">
        <f t="shared" si="114"/>
        <v>1712.8000000000002</v>
      </c>
      <c r="E1257" s="8">
        <f t="shared" si="115"/>
        <v>1027.68</v>
      </c>
      <c r="F1257" s="8">
        <f t="shared" si="116"/>
        <v>856.40000000000009</v>
      </c>
      <c r="G1257" s="8">
        <f t="shared" si="117"/>
        <v>10276.799999999999</v>
      </c>
      <c r="H1257" s="8">
        <f t="shared" si="118"/>
        <v>1884.0800000000002</v>
      </c>
      <c r="I1257" s="10">
        <f t="shared" si="119"/>
        <v>8392.7199999999993</v>
      </c>
    </row>
    <row r="1258" spans="1:9" x14ac:dyDescent="0.25">
      <c r="A1258" s="6">
        <v>1760</v>
      </c>
      <c r="B1258" s="5" t="str">
        <f>VLOOKUP(A1258, EmployeeMaster!$A:$D, 3, FALSE)</f>
        <v>Research &amp; Development</v>
      </c>
      <c r="C1258" s="8">
        <v>2468</v>
      </c>
      <c r="D1258" s="8">
        <f t="shared" si="114"/>
        <v>493.6</v>
      </c>
      <c r="E1258" s="8">
        <f t="shared" si="115"/>
        <v>296.15999999999997</v>
      </c>
      <c r="F1258" s="8">
        <f t="shared" si="116"/>
        <v>246.8</v>
      </c>
      <c r="G1258" s="8">
        <f t="shared" si="117"/>
        <v>2961.6</v>
      </c>
      <c r="H1258" s="8">
        <f t="shared" si="118"/>
        <v>542.96</v>
      </c>
      <c r="I1258" s="10">
        <f t="shared" si="119"/>
        <v>2418.64</v>
      </c>
    </row>
    <row r="1259" spans="1:9" x14ac:dyDescent="0.25">
      <c r="A1259" s="6">
        <v>1761</v>
      </c>
      <c r="B1259" s="5" t="str">
        <f>VLOOKUP(A1259, EmployeeMaster!$A:$D, 3, FALSE)</f>
        <v>Sales</v>
      </c>
      <c r="C1259" s="8">
        <v>8161</v>
      </c>
      <c r="D1259" s="8">
        <f t="shared" si="114"/>
        <v>1632.2</v>
      </c>
      <c r="E1259" s="8">
        <f t="shared" si="115"/>
        <v>979.31999999999994</v>
      </c>
      <c r="F1259" s="8">
        <f t="shared" si="116"/>
        <v>816.1</v>
      </c>
      <c r="G1259" s="8">
        <f t="shared" si="117"/>
        <v>9793.2000000000007</v>
      </c>
      <c r="H1259" s="8">
        <f t="shared" si="118"/>
        <v>1795.42</v>
      </c>
      <c r="I1259" s="10">
        <f t="shared" si="119"/>
        <v>7997.7800000000007</v>
      </c>
    </row>
    <row r="1260" spans="1:9" x14ac:dyDescent="0.25">
      <c r="A1260" s="6">
        <v>1762</v>
      </c>
      <c r="B1260" s="5" t="str">
        <f>VLOOKUP(A1260, EmployeeMaster!$A:$D, 3, FALSE)</f>
        <v>Research &amp; Development</v>
      </c>
      <c r="C1260" s="8">
        <v>2109</v>
      </c>
      <c r="D1260" s="8">
        <f t="shared" si="114"/>
        <v>421.8</v>
      </c>
      <c r="E1260" s="8">
        <f t="shared" si="115"/>
        <v>253.07999999999998</v>
      </c>
      <c r="F1260" s="8">
        <f t="shared" si="116"/>
        <v>210.9</v>
      </c>
      <c r="G1260" s="8">
        <f t="shared" si="117"/>
        <v>2530.8000000000002</v>
      </c>
      <c r="H1260" s="8">
        <f t="shared" si="118"/>
        <v>463.98</v>
      </c>
      <c r="I1260" s="10">
        <f t="shared" si="119"/>
        <v>2066.8200000000002</v>
      </c>
    </row>
    <row r="1261" spans="1:9" x14ac:dyDescent="0.25">
      <c r="A1261" s="6">
        <v>1763</v>
      </c>
      <c r="B1261" s="5" t="str">
        <f>VLOOKUP(A1261, EmployeeMaster!$A:$D, 3, FALSE)</f>
        <v>Research &amp; Development</v>
      </c>
      <c r="C1261" s="8">
        <v>5294</v>
      </c>
      <c r="D1261" s="8">
        <f t="shared" si="114"/>
        <v>1058.8</v>
      </c>
      <c r="E1261" s="8">
        <f t="shared" si="115"/>
        <v>635.28</v>
      </c>
      <c r="F1261" s="8">
        <f t="shared" si="116"/>
        <v>529.4</v>
      </c>
      <c r="G1261" s="8">
        <f t="shared" si="117"/>
        <v>6352.8</v>
      </c>
      <c r="H1261" s="8">
        <f t="shared" si="118"/>
        <v>1164.6799999999998</v>
      </c>
      <c r="I1261" s="10">
        <f t="shared" si="119"/>
        <v>5188.1200000000008</v>
      </c>
    </row>
    <row r="1262" spans="1:9" x14ac:dyDescent="0.25">
      <c r="A1262" s="6">
        <v>1764</v>
      </c>
      <c r="B1262" s="5" t="str">
        <f>VLOOKUP(A1262, EmployeeMaster!$A:$D, 3, FALSE)</f>
        <v>Research &amp; Development</v>
      </c>
      <c r="C1262" s="8">
        <v>2718</v>
      </c>
      <c r="D1262" s="8">
        <f t="shared" si="114"/>
        <v>543.6</v>
      </c>
      <c r="E1262" s="8">
        <f t="shared" si="115"/>
        <v>326.15999999999997</v>
      </c>
      <c r="F1262" s="8">
        <f t="shared" si="116"/>
        <v>271.8</v>
      </c>
      <c r="G1262" s="8">
        <f t="shared" si="117"/>
        <v>3261.6</v>
      </c>
      <c r="H1262" s="8">
        <f t="shared" si="118"/>
        <v>597.96</v>
      </c>
      <c r="I1262" s="10">
        <f t="shared" si="119"/>
        <v>2663.64</v>
      </c>
    </row>
    <row r="1263" spans="1:9" x14ac:dyDescent="0.25">
      <c r="A1263" s="6">
        <v>1766</v>
      </c>
      <c r="B1263" s="5" t="str">
        <f>VLOOKUP(A1263, EmployeeMaster!$A:$D, 3, FALSE)</f>
        <v>Research &amp; Development</v>
      </c>
      <c r="C1263" s="8">
        <v>5811</v>
      </c>
      <c r="D1263" s="8">
        <f t="shared" si="114"/>
        <v>1162.2</v>
      </c>
      <c r="E1263" s="8">
        <f t="shared" si="115"/>
        <v>697.31999999999994</v>
      </c>
      <c r="F1263" s="8">
        <f t="shared" si="116"/>
        <v>581.1</v>
      </c>
      <c r="G1263" s="8">
        <f t="shared" si="117"/>
        <v>6973.2</v>
      </c>
      <c r="H1263" s="8">
        <f t="shared" si="118"/>
        <v>1278.42</v>
      </c>
      <c r="I1263" s="10">
        <f t="shared" si="119"/>
        <v>5694.78</v>
      </c>
    </row>
    <row r="1264" spans="1:9" x14ac:dyDescent="0.25">
      <c r="A1264" s="6">
        <v>1767</v>
      </c>
      <c r="B1264" s="5" t="str">
        <f>VLOOKUP(A1264, EmployeeMaster!$A:$D, 3, FALSE)</f>
        <v>Research &amp; Development</v>
      </c>
      <c r="C1264" s="8">
        <v>2437</v>
      </c>
      <c r="D1264" s="8">
        <f t="shared" si="114"/>
        <v>487.40000000000003</v>
      </c>
      <c r="E1264" s="8">
        <f t="shared" si="115"/>
        <v>292.44</v>
      </c>
      <c r="F1264" s="8">
        <f t="shared" si="116"/>
        <v>243.70000000000002</v>
      </c>
      <c r="G1264" s="8">
        <f t="shared" si="117"/>
        <v>2924.4</v>
      </c>
      <c r="H1264" s="8">
        <f t="shared" si="118"/>
        <v>536.14</v>
      </c>
      <c r="I1264" s="10">
        <f t="shared" si="119"/>
        <v>2388.2600000000002</v>
      </c>
    </row>
    <row r="1265" spans="1:9" x14ac:dyDescent="0.25">
      <c r="A1265" s="6">
        <v>1768</v>
      </c>
      <c r="B1265" s="5" t="str">
        <f>VLOOKUP(A1265, EmployeeMaster!$A:$D, 3, FALSE)</f>
        <v>Research &amp; Development</v>
      </c>
      <c r="C1265" s="8">
        <v>2766</v>
      </c>
      <c r="D1265" s="8">
        <f t="shared" si="114"/>
        <v>553.20000000000005</v>
      </c>
      <c r="E1265" s="8">
        <f t="shared" si="115"/>
        <v>331.92</v>
      </c>
      <c r="F1265" s="8">
        <f t="shared" si="116"/>
        <v>276.60000000000002</v>
      </c>
      <c r="G1265" s="8">
        <f t="shared" si="117"/>
        <v>3319.2</v>
      </c>
      <c r="H1265" s="8">
        <f t="shared" si="118"/>
        <v>608.52</v>
      </c>
      <c r="I1265" s="10">
        <f t="shared" si="119"/>
        <v>2710.68</v>
      </c>
    </row>
    <row r="1266" spans="1:9" x14ac:dyDescent="0.25">
      <c r="A1266" s="6">
        <v>1770</v>
      </c>
      <c r="B1266" s="5" t="str">
        <f>VLOOKUP(A1266, EmployeeMaster!$A:$D, 3, FALSE)</f>
        <v>Research &amp; Development</v>
      </c>
      <c r="C1266" s="8">
        <v>19038</v>
      </c>
      <c r="D1266" s="8">
        <f t="shared" si="114"/>
        <v>3807.6000000000004</v>
      </c>
      <c r="E1266" s="8">
        <f t="shared" si="115"/>
        <v>2284.56</v>
      </c>
      <c r="F1266" s="8">
        <f t="shared" si="116"/>
        <v>1903.8000000000002</v>
      </c>
      <c r="G1266" s="8">
        <f t="shared" si="117"/>
        <v>22845.599999999999</v>
      </c>
      <c r="H1266" s="8">
        <f t="shared" si="118"/>
        <v>4188.3600000000006</v>
      </c>
      <c r="I1266" s="10">
        <f t="shared" si="119"/>
        <v>18657.239999999998</v>
      </c>
    </row>
    <row r="1267" spans="1:9" x14ac:dyDescent="0.25">
      <c r="A1267" s="6">
        <v>1771</v>
      </c>
      <c r="B1267" s="5" t="str">
        <f>VLOOKUP(A1267, EmployeeMaster!$A:$D, 3, FALSE)</f>
        <v>Research &amp; Development</v>
      </c>
      <c r="C1267" s="8">
        <v>3055</v>
      </c>
      <c r="D1267" s="8">
        <f t="shared" si="114"/>
        <v>611</v>
      </c>
      <c r="E1267" s="8">
        <f t="shared" si="115"/>
        <v>366.59999999999997</v>
      </c>
      <c r="F1267" s="8">
        <f t="shared" si="116"/>
        <v>305.5</v>
      </c>
      <c r="G1267" s="8">
        <f t="shared" si="117"/>
        <v>3666</v>
      </c>
      <c r="H1267" s="8">
        <f t="shared" si="118"/>
        <v>672.09999999999991</v>
      </c>
      <c r="I1267" s="10">
        <f t="shared" si="119"/>
        <v>2993.9</v>
      </c>
    </row>
    <row r="1268" spans="1:9" x14ac:dyDescent="0.25">
      <c r="A1268" s="6">
        <v>1772</v>
      </c>
      <c r="B1268" s="5" t="str">
        <f>VLOOKUP(A1268, EmployeeMaster!$A:$D, 3, FALSE)</f>
        <v>Research &amp; Development</v>
      </c>
      <c r="C1268" s="8">
        <v>2289</v>
      </c>
      <c r="D1268" s="8">
        <f t="shared" si="114"/>
        <v>457.8</v>
      </c>
      <c r="E1268" s="8">
        <f t="shared" si="115"/>
        <v>274.68</v>
      </c>
      <c r="F1268" s="8">
        <f t="shared" si="116"/>
        <v>228.9</v>
      </c>
      <c r="G1268" s="8">
        <f t="shared" si="117"/>
        <v>2746.8</v>
      </c>
      <c r="H1268" s="8">
        <f t="shared" si="118"/>
        <v>503.58000000000004</v>
      </c>
      <c r="I1268" s="10">
        <f t="shared" si="119"/>
        <v>2243.2200000000003</v>
      </c>
    </row>
    <row r="1269" spans="1:9" x14ac:dyDescent="0.25">
      <c r="A1269" s="6">
        <v>1774</v>
      </c>
      <c r="B1269" s="5" t="str">
        <f>VLOOKUP(A1269, EmployeeMaster!$A:$D, 3, FALSE)</f>
        <v>Sales</v>
      </c>
      <c r="C1269" s="8">
        <v>4001</v>
      </c>
      <c r="D1269" s="8">
        <f t="shared" si="114"/>
        <v>800.2</v>
      </c>
      <c r="E1269" s="8">
        <f t="shared" si="115"/>
        <v>480.12</v>
      </c>
      <c r="F1269" s="8">
        <f t="shared" si="116"/>
        <v>400.1</v>
      </c>
      <c r="G1269" s="8">
        <f t="shared" si="117"/>
        <v>4801.2</v>
      </c>
      <c r="H1269" s="8">
        <f t="shared" si="118"/>
        <v>880.22</v>
      </c>
      <c r="I1269" s="10">
        <f t="shared" si="119"/>
        <v>3920.9799999999996</v>
      </c>
    </row>
    <row r="1270" spans="1:9" x14ac:dyDescent="0.25">
      <c r="A1270" s="6">
        <v>1775</v>
      </c>
      <c r="B1270" s="5" t="str">
        <f>VLOOKUP(A1270, EmployeeMaster!$A:$D, 3, FALSE)</f>
        <v>Research &amp; Development</v>
      </c>
      <c r="C1270" s="8">
        <v>12965</v>
      </c>
      <c r="D1270" s="8">
        <f t="shared" si="114"/>
        <v>2593</v>
      </c>
      <c r="E1270" s="8">
        <f t="shared" si="115"/>
        <v>1555.8</v>
      </c>
      <c r="F1270" s="8">
        <f t="shared" si="116"/>
        <v>1296.5</v>
      </c>
      <c r="G1270" s="8">
        <f t="shared" si="117"/>
        <v>15558</v>
      </c>
      <c r="H1270" s="8">
        <f t="shared" si="118"/>
        <v>2852.3</v>
      </c>
      <c r="I1270" s="10">
        <f t="shared" si="119"/>
        <v>12705.7</v>
      </c>
    </row>
    <row r="1271" spans="1:9" x14ac:dyDescent="0.25">
      <c r="A1271" s="6">
        <v>1778</v>
      </c>
      <c r="B1271" s="5" t="str">
        <f>VLOOKUP(A1271, EmployeeMaster!$A:$D, 3, FALSE)</f>
        <v>Human Resources</v>
      </c>
      <c r="C1271" s="8">
        <v>3539</v>
      </c>
      <c r="D1271" s="8">
        <f t="shared" si="114"/>
        <v>707.80000000000007</v>
      </c>
      <c r="E1271" s="8">
        <f t="shared" si="115"/>
        <v>424.68</v>
      </c>
      <c r="F1271" s="8">
        <f t="shared" si="116"/>
        <v>353.90000000000003</v>
      </c>
      <c r="G1271" s="8">
        <f t="shared" si="117"/>
        <v>4246.8</v>
      </c>
      <c r="H1271" s="8">
        <f t="shared" si="118"/>
        <v>778.58</v>
      </c>
      <c r="I1271" s="10">
        <f t="shared" si="119"/>
        <v>3468.2200000000003</v>
      </c>
    </row>
    <row r="1272" spans="1:9" x14ac:dyDescent="0.25">
      <c r="A1272" s="6">
        <v>1779</v>
      </c>
      <c r="B1272" s="5" t="str">
        <f>VLOOKUP(A1272, EmployeeMaster!$A:$D, 3, FALSE)</f>
        <v>Sales</v>
      </c>
      <c r="C1272" s="8">
        <v>6029</v>
      </c>
      <c r="D1272" s="8">
        <f t="shared" si="114"/>
        <v>1205.8</v>
      </c>
      <c r="E1272" s="8">
        <f t="shared" si="115"/>
        <v>723.48</v>
      </c>
      <c r="F1272" s="8">
        <f t="shared" si="116"/>
        <v>602.9</v>
      </c>
      <c r="G1272" s="8">
        <f t="shared" si="117"/>
        <v>7234.8</v>
      </c>
      <c r="H1272" s="8">
        <f t="shared" si="118"/>
        <v>1326.38</v>
      </c>
      <c r="I1272" s="10">
        <f t="shared" si="119"/>
        <v>5908.42</v>
      </c>
    </row>
    <row r="1273" spans="1:9" x14ac:dyDescent="0.25">
      <c r="A1273" s="6">
        <v>1780</v>
      </c>
      <c r="B1273" s="5" t="str">
        <f>VLOOKUP(A1273, EmployeeMaster!$A:$D, 3, FALSE)</f>
        <v>Sales</v>
      </c>
      <c r="C1273" s="8">
        <v>2679</v>
      </c>
      <c r="D1273" s="8">
        <f t="shared" si="114"/>
        <v>535.80000000000007</v>
      </c>
      <c r="E1273" s="8">
        <f t="shared" si="115"/>
        <v>321.47999999999996</v>
      </c>
      <c r="F1273" s="8">
        <f t="shared" si="116"/>
        <v>267.90000000000003</v>
      </c>
      <c r="G1273" s="8">
        <f t="shared" si="117"/>
        <v>3214.8</v>
      </c>
      <c r="H1273" s="8">
        <f t="shared" si="118"/>
        <v>589.38</v>
      </c>
      <c r="I1273" s="10">
        <f t="shared" si="119"/>
        <v>2625.42</v>
      </c>
    </row>
    <row r="1274" spans="1:9" x14ac:dyDescent="0.25">
      <c r="A1274" s="6">
        <v>1782</v>
      </c>
      <c r="B1274" s="5" t="str">
        <f>VLOOKUP(A1274, EmployeeMaster!$A:$D, 3, FALSE)</f>
        <v>Research &amp; Development</v>
      </c>
      <c r="C1274" s="8">
        <v>3702</v>
      </c>
      <c r="D1274" s="8">
        <f t="shared" si="114"/>
        <v>740.40000000000009</v>
      </c>
      <c r="E1274" s="8">
        <f t="shared" si="115"/>
        <v>444.24</v>
      </c>
      <c r="F1274" s="8">
        <f t="shared" si="116"/>
        <v>370.20000000000005</v>
      </c>
      <c r="G1274" s="8">
        <f t="shared" si="117"/>
        <v>4442.3999999999996</v>
      </c>
      <c r="H1274" s="8">
        <f t="shared" si="118"/>
        <v>814.44</v>
      </c>
      <c r="I1274" s="10">
        <f t="shared" si="119"/>
        <v>3627.9599999999996</v>
      </c>
    </row>
    <row r="1275" spans="1:9" x14ac:dyDescent="0.25">
      <c r="A1275" s="6">
        <v>1783</v>
      </c>
      <c r="B1275" s="5" t="str">
        <f>VLOOKUP(A1275, EmployeeMaster!$A:$D, 3, FALSE)</f>
        <v>Research &amp; Development</v>
      </c>
      <c r="C1275" s="8">
        <v>2398</v>
      </c>
      <c r="D1275" s="8">
        <f t="shared" si="114"/>
        <v>479.6</v>
      </c>
      <c r="E1275" s="8">
        <f t="shared" si="115"/>
        <v>287.76</v>
      </c>
      <c r="F1275" s="8">
        <f t="shared" si="116"/>
        <v>239.8</v>
      </c>
      <c r="G1275" s="8">
        <f t="shared" si="117"/>
        <v>2877.6</v>
      </c>
      <c r="H1275" s="8">
        <f t="shared" si="118"/>
        <v>527.55999999999995</v>
      </c>
      <c r="I1275" s="10">
        <f t="shared" si="119"/>
        <v>2350.04</v>
      </c>
    </row>
    <row r="1276" spans="1:9" x14ac:dyDescent="0.25">
      <c r="A1276" s="6">
        <v>1784</v>
      </c>
      <c r="B1276" s="5" t="str">
        <f>VLOOKUP(A1276, EmployeeMaster!$A:$D, 3, FALSE)</f>
        <v>Sales</v>
      </c>
      <c r="C1276" s="8">
        <v>5468</v>
      </c>
      <c r="D1276" s="8">
        <f t="shared" si="114"/>
        <v>1093.6000000000001</v>
      </c>
      <c r="E1276" s="8">
        <f t="shared" si="115"/>
        <v>656.16</v>
      </c>
      <c r="F1276" s="8">
        <f t="shared" si="116"/>
        <v>546.80000000000007</v>
      </c>
      <c r="G1276" s="8">
        <f t="shared" si="117"/>
        <v>6561.6</v>
      </c>
      <c r="H1276" s="8">
        <f t="shared" si="118"/>
        <v>1202.96</v>
      </c>
      <c r="I1276" s="10">
        <f t="shared" si="119"/>
        <v>5358.64</v>
      </c>
    </row>
    <row r="1277" spans="1:9" x14ac:dyDescent="0.25">
      <c r="A1277" s="6">
        <v>1786</v>
      </c>
      <c r="B1277" s="5" t="str">
        <f>VLOOKUP(A1277, EmployeeMaster!$A:$D, 3, FALSE)</f>
        <v>Research &amp; Development</v>
      </c>
      <c r="C1277" s="8">
        <v>13116</v>
      </c>
      <c r="D1277" s="8">
        <f t="shared" si="114"/>
        <v>2623.2000000000003</v>
      </c>
      <c r="E1277" s="8">
        <f t="shared" si="115"/>
        <v>1573.9199999999998</v>
      </c>
      <c r="F1277" s="8">
        <f t="shared" si="116"/>
        <v>1311.6000000000001</v>
      </c>
      <c r="G1277" s="8">
        <f t="shared" si="117"/>
        <v>15739.2</v>
      </c>
      <c r="H1277" s="8">
        <f t="shared" si="118"/>
        <v>2885.52</v>
      </c>
      <c r="I1277" s="10">
        <f t="shared" si="119"/>
        <v>12853.68</v>
      </c>
    </row>
    <row r="1278" spans="1:9" x14ac:dyDescent="0.25">
      <c r="A1278" s="6">
        <v>1787</v>
      </c>
      <c r="B1278" s="5" t="str">
        <f>VLOOKUP(A1278, EmployeeMaster!$A:$D, 3, FALSE)</f>
        <v>Sales</v>
      </c>
      <c r="C1278" s="8">
        <v>4189</v>
      </c>
      <c r="D1278" s="8">
        <f t="shared" si="114"/>
        <v>837.80000000000007</v>
      </c>
      <c r="E1278" s="8">
        <f t="shared" si="115"/>
        <v>502.68</v>
      </c>
      <c r="F1278" s="8">
        <f t="shared" si="116"/>
        <v>418.90000000000003</v>
      </c>
      <c r="G1278" s="8">
        <f t="shared" si="117"/>
        <v>5026.8</v>
      </c>
      <c r="H1278" s="8">
        <f t="shared" si="118"/>
        <v>921.58</v>
      </c>
      <c r="I1278" s="10">
        <f t="shared" si="119"/>
        <v>4105.22</v>
      </c>
    </row>
    <row r="1279" spans="1:9" x14ac:dyDescent="0.25">
      <c r="A1279" s="6">
        <v>1789</v>
      </c>
      <c r="B1279" s="5" t="str">
        <f>VLOOKUP(A1279, EmployeeMaster!$A:$D, 3, FALSE)</f>
        <v>Research &amp; Development</v>
      </c>
      <c r="C1279" s="8">
        <v>19328</v>
      </c>
      <c r="D1279" s="8">
        <f t="shared" si="114"/>
        <v>3865.6000000000004</v>
      </c>
      <c r="E1279" s="8">
        <f t="shared" si="115"/>
        <v>2319.36</v>
      </c>
      <c r="F1279" s="8">
        <f t="shared" si="116"/>
        <v>1932.8000000000002</v>
      </c>
      <c r="G1279" s="8">
        <f t="shared" si="117"/>
        <v>23193.599999999999</v>
      </c>
      <c r="H1279" s="8">
        <f t="shared" si="118"/>
        <v>4252.16</v>
      </c>
      <c r="I1279" s="10">
        <f t="shared" si="119"/>
        <v>18941.439999999999</v>
      </c>
    </row>
    <row r="1280" spans="1:9" x14ac:dyDescent="0.25">
      <c r="A1280" s="6">
        <v>1790</v>
      </c>
      <c r="B1280" s="5" t="str">
        <f>VLOOKUP(A1280, EmployeeMaster!$A:$D, 3, FALSE)</f>
        <v>Research &amp; Development</v>
      </c>
      <c r="C1280" s="8">
        <v>8321</v>
      </c>
      <c r="D1280" s="8">
        <f t="shared" si="114"/>
        <v>1664.2</v>
      </c>
      <c r="E1280" s="8">
        <f t="shared" si="115"/>
        <v>998.52</v>
      </c>
      <c r="F1280" s="8">
        <f t="shared" si="116"/>
        <v>832.1</v>
      </c>
      <c r="G1280" s="8">
        <f t="shared" si="117"/>
        <v>9985.2000000000007</v>
      </c>
      <c r="H1280" s="8">
        <f t="shared" si="118"/>
        <v>1830.62</v>
      </c>
      <c r="I1280" s="10">
        <f t="shared" si="119"/>
        <v>8154.5800000000008</v>
      </c>
    </row>
    <row r="1281" spans="1:9" x14ac:dyDescent="0.25">
      <c r="A1281" s="6">
        <v>1792</v>
      </c>
      <c r="B1281" s="5" t="str">
        <f>VLOOKUP(A1281, EmployeeMaster!$A:$D, 3, FALSE)</f>
        <v>Research &amp; Development</v>
      </c>
      <c r="C1281" s="8">
        <v>2342</v>
      </c>
      <c r="D1281" s="8">
        <f t="shared" si="114"/>
        <v>468.40000000000003</v>
      </c>
      <c r="E1281" s="8">
        <f t="shared" si="115"/>
        <v>281.03999999999996</v>
      </c>
      <c r="F1281" s="8">
        <f t="shared" si="116"/>
        <v>234.20000000000002</v>
      </c>
      <c r="G1281" s="8">
        <f t="shared" si="117"/>
        <v>2810.4</v>
      </c>
      <c r="H1281" s="8">
        <f t="shared" si="118"/>
        <v>515.24</v>
      </c>
      <c r="I1281" s="10">
        <f t="shared" si="119"/>
        <v>2295.16</v>
      </c>
    </row>
    <row r="1282" spans="1:9" x14ac:dyDescent="0.25">
      <c r="A1282" s="6">
        <v>1794</v>
      </c>
      <c r="B1282" s="5" t="str">
        <f>VLOOKUP(A1282, EmployeeMaster!$A:$D, 3, FALSE)</f>
        <v>Human Resources</v>
      </c>
      <c r="C1282" s="8">
        <v>4071</v>
      </c>
      <c r="D1282" s="8">
        <f t="shared" si="114"/>
        <v>814.2</v>
      </c>
      <c r="E1282" s="8">
        <f t="shared" si="115"/>
        <v>488.52</v>
      </c>
      <c r="F1282" s="8">
        <f t="shared" si="116"/>
        <v>407.1</v>
      </c>
      <c r="G1282" s="8">
        <f t="shared" si="117"/>
        <v>4885.2</v>
      </c>
      <c r="H1282" s="8">
        <f t="shared" si="118"/>
        <v>895.62</v>
      </c>
      <c r="I1282" s="10">
        <f t="shared" si="119"/>
        <v>3989.58</v>
      </c>
    </row>
    <row r="1283" spans="1:9" x14ac:dyDescent="0.25">
      <c r="A1283" s="6">
        <v>1797</v>
      </c>
      <c r="B1283" s="5" t="str">
        <f>VLOOKUP(A1283, EmployeeMaster!$A:$D, 3, FALSE)</f>
        <v>Sales</v>
      </c>
      <c r="C1283" s="8">
        <v>5813</v>
      </c>
      <c r="D1283" s="8">
        <f t="shared" ref="D1283:D1346" si="120">C1283*20%</f>
        <v>1162.6000000000001</v>
      </c>
      <c r="E1283" s="8">
        <f t="shared" ref="E1283:E1346" si="121">C1283*12%</f>
        <v>697.56</v>
      </c>
      <c r="F1283" s="8">
        <f t="shared" ref="F1283:F1346" si="122">C1283*10%</f>
        <v>581.30000000000007</v>
      </c>
      <c r="G1283" s="8">
        <f t="shared" ref="G1283:G1346" si="123">C1283+D1283</f>
        <v>6975.6</v>
      </c>
      <c r="H1283" s="8">
        <f t="shared" ref="H1283:H1346" si="124">E1283+F1283</f>
        <v>1278.8600000000001</v>
      </c>
      <c r="I1283" s="10">
        <f t="shared" ref="I1283:I1346" si="125">G1283-H1283</f>
        <v>5696.74</v>
      </c>
    </row>
    <row r="1284" spans="1:9" x14ac:dyDescent="0.25">
      <c r="A1284" s="6">
        <v>1798</v>
      </c>
      <c r="B1284" s="5" t="str">
        <f>VLOOKUP(A1284, EmployeeMaster!$A:$D, 3, FALSE)</f>
        <v>Research &amp; Development</v>
      </c>
      <c r="C1284" s="8">
        <v>3143</v>
      </c>
      <c r="D1284" s="8">
        <f t="shared" si="120"/>
        <v>628.6</v>
      </c>
      <c r="E1284" s="8">
        <f t="shared" si="121"/>
        <v>377.15999999999997</v>
      </c>
      <c r="F1284" s="8">
        <f t="shared" si="122"/>
        <v>314.3</v>
      </c>
      <c r="G1284" s="8">
        <f t="shared" si="123"/>
        <v>3771.6</v>
      </c>
      <c r="H1284" s="8">
        <f t="shared" si="124"/>
        <v>691.46</v>
      </c>
      <c r="I1284" s="10">
        <f t="shared" si="125"/>
        <v>3080.14</v>
      </c>
    </row>
    <row r="1285" spans="1:9" x14ac:dyDescent="0.25">
      <c r="A1285" s="6">
        <v>1799</v>
      </c>
      <c r="B1285" s="5" t="str">
        <f>VLOOKUP(A1285, EmployeeMaster!$A:$D, 3, FALSE)</f>
        <v>Research &amp; Development</v>
      </c>
      <c r="C1285" s="8">
        <v>2044</v>
      </c>
      <c r="D1285" s="8">
        <f t="shared" si="120"/>
        <v>408.8</v>
      </c>
      <c r="E1285" s="8">
        <f t="shared" si="121"/>
        <v>245.28</v>
      </c>
      <c r="F1285" s="8">
        <f t="shared" si="122"/>
        <v>204.4</v>
      </c>
      <c r="G1285" s="8">
        <f t="shared" si="123"/>
        <v>2452.8000000000002</v>
      </c>
      <c r="H1285" s="8">
        <f t="shared" si="124"/>
        <v>449.68</v>
      </c>
      <c r="I1285" s="10">
        <f t="shared" si="125"/>
        <v>2003.1200000000001</v>
      </c>
    </row>
    <row r="1286" spans="1:9" x14ac:dyDescent="0.25">
      <c r="A1286" s="6">
        <v>1800</v>
      </c>
      <c r="B1286" s="5" t="str">
        <f>VLOOKUP(A1286, EmployeeMaster!$A:$D, 3, FALSE)</f>
        <v>Research &amp; Development</v>
      </c>
      <c r="C1286" s="8">
        <v>13464</v>
      </c>
      <c r="D1286" s="8">
        <f t="shared" si="120"/>
        <v>2692.8</v>
      </c>
      <c r="E1286" s="8">
        <f t="shared" si="121"/>
        <v>1615.6799999999998</v>
      </c>
      <c r="F1286" s="8">
        <f t="shared" si="122"/>
        <v>1346.4</v>
      </c>
      <c r="G1286" s="8">
        <f t="shared" si="123"/>
        <v>16156.8</v>
      </c>
      <c r="H1286" s="8">
        <f t="shared" si="124"/>
        <v>2962.08</v>
      </c>
      <c r="I1286" s="10">
        <f t="shared" si="125"/>
        <v>13194.72</v>
      </c>
    </row>
    <row r="1287" spans="1:9" x14ac:dyDescent="0.25">
      <c r="A1287" s="6">
        <v>1801</v>
      </c>
      <c r="B1287" s="5" t="str">
        <f>VLOOKUP(A1287, EmployeeMaster!$A:$D, 3, FALSE)</f>
        <v>Sales</v>
      </c>
      <c r="C1287" s="8">
        <v>7991</v>
      </c>
      <c r="D1287" s="8">
        <f t="shared" si="120"/>
        <v>1598.2</v>
      </c>
      <c r="E1287" s="8">
        <f t="shared" si="121"/>
        <v>958.92</v>
      </c>
      <c r="F1287" s="8">
        <f t="shared" si="122"/>
        <v>799.1</v>
      </c>
      <c r="G1287" s="8">
        <f t="shared" si="123"/>
        <v>9589.2000000000007</v>
      </c>
      <c r="H1287" s="8">
        <f t="shared" si="124"/>
        <v>1758.02</v>
      </c>
      <c r="I1287" s="10">
        <f t="shared" si="125"/>
        <v>7831.18</v>
      </c>
    </row>
    <row r="1288" spans="1:9" x14ac:dyDescent="0.25">
      <c r="A1288" s="6">
        <v>1802</v>
      </c>
      <c r="B1288" s="5" t="str">
        <f>VLOOKUP(A1288, EmployeeMaster!$A:$D, 3, FALSE)</f>
        <v>Research &amp; Development</v>
      </c>
      <c r="C1288" s="8">
        <v>3377</v>
      </c>
      <c r="D1288" s="8">
        <f t="shared" si="120"/>
        <v>675.40000000000009</v>
      </c>
      <c r="E1288" s="8">
        <f t="shared" si="121"/>
        <v>405.24</v>
      </c>
      <c r="F1288" s="8">
        <f t="shared" si="122"/>
        <v>337.70000000000005</v>
      </c>
      <c r="G1288" s="8">
        <f t="shared" si="123"/>
        <v>4052.4</v>
      </c>
      <c r="H1288" s="8">
        <f t="shared" si="124"/>
        <v>742.94</v>
      </c>
      <c r="I1288" s="10">
        <f t="shared" si="125"/>
        <v>3309.46</v>
      </c>
    </row>
    <row r="1289" spans="1:9" x14ac:dyDescent="0.25">
      <c r="A1289" s="6">
        <v>1803</v>
      </c>
      <c r="B1289" s="5" t="str">
        <f>VLOOKUP(A1289, EmployeeMaster!$A:$D, 3, FALSE)</f>
        <v>Research &amp; Development</v>
      </c>
      <c r="C1289" s="8">
        <v>5538</v>
      </c>
      <c r="D1289" s="8">
        <f t="shared" si="120"/>
        <v>1107.6000000000001</v>
      </c>
      <c r="E1289" s="8">
        <f t="shared" si="121"/>
        <v>664.56</v>
      </c>
      <c r="F1289" s="8">
        <f t="shared" si="122"/>
        <v>553.80000000000007</v>
      </c>
      <c r="G1289" s="8">
        <f t="shared" si="123"/>
        <v>6645.6</v>
      </c>
      <c r="H1289" s="8">
        <f t="shared" si="124"/>
        <v>1218.3600000000001</v>
      </c>
      <c r="I1289" s="10">
        <f t="shared" si="125"/>
        <v>5427.24</v>
      </c>
    </row>
    <row r="1290" spans="1:9" x14ac:dyDescent="0.25">
      <c r="A1290" s="6">
        <v>1804</v>
      </c>
      <c r="B1290" s="5" t="str">
        <f>VLOOKUP(A1290, EmployeeMaster!$A:$D, 3, FALSE)</f>
        <v>Research &amp; Development</v>
      </c>
      <c r="C1290" s="8">
        <v>5762</v>
      </c>
      <c r="D1290" s="8">
        <f t="shared" si="120"/>
        <v>1152.4000000000001</v>
      </c>
      <c r="E1290" s="8">
        <f t="shared" si="121"/>
        <v>691.43999999999994</v>
      </c>
      <c r="F1290" s="8">
        <f t="shared" si="122"/>
        <v>576.20000000000005</v>
      </c>
      <c r="G1290" s="8">
        <f t="shared" si="123"/>
        <v>6914.4</v>
      </c>
      <c r="H1290" s="8">
        <f t="shared" si="124"/>
        <v>1267.6399999999999</v>
      </c>
      <c r="I1290" s="10">
        <f t="shared" si="125"/>
        <v>5646.76</v>
      </c>
    </row>
    <row r="1291" spans="1:9" x14ac:dyDescent="0.25">
      <c r="A1291" s="6">
        <v>1805</v>
      </c>
      <c r="B1291" s="5" t="str">
        <f>VLOOKUP(A1291, EmployeeMaster!$A:$D, 3, FALSE)</f>
        <v>Human Resources</v>
      </c>
      <c r="C1291" s="8">
        <v>2592</v>
      </c>
      <c r="D1291" s="8">
        <f t="shared" si="120"/>
        <v>518.4</v>
      </c>
      <c r="E1291" s="8">
        <f t="shared" si="121"/>
        <v>311.03999999999996</v>
      </c>
      <c r="F1291" s="8">
        <f t="shared" si="122"/>
        <v>259.2</v>
      </c>
      <c r="G1291" s="8">
        <f t="shared" si="123"/>
        <v>3110.4</v>
      </c>
      <c r="H1291" s="8">
        <f t="shared" si="124"/>
        <v>570.24</v>
      </c>
      <c r="I1291" s="10">
        <f t="shared" si="125"/>
        <v>2540.16</v>
      </c>
    </row>
    <row r="1292" spans="1:9" x14ac:dyDescent="0.25">
      <c r="A1292" s="6">
        <v>1807</v>
      </c>
      <c r="B1292" s="5" t="str">
        <f>VLOOKUP(A1292, EmployeeMaster!$A:$D, 3, FALSE)</f>
        <v>Research &amp; Development</v>
      </c>
      <c r="C1292" s="8">
        <v>5346</v>
      </c>
      <c r="D1292" s="8">
        <f t="shared" si="120"/>
        <v>1069.2</v>
      </c>
      <c r="E1292" s="8">
        <f t="shared" si="121"/>
        <v>641.52</v>
      </c>
      <c r="F1292" s="8">
        <f t="shared" si="122"/>
        <v>534.6</v>
      </c>
      <c r="G1292" s="8">
        <f t="shared" si="123"/>
        <v>6415.2</v>
      </c>
      <c r="H1292" s="8">
        <f t="shared" si="124"/>
        <v>1176.1199999999999</v>
      </c>
      <c r="I1292" s="10">
        <f t="shared" si="125"/>
        <v>5239.08</v>
      </c>
    </row>
    <row r="1293" spans="1:9" x14ac:dyDescent="0.25">
      <c r="A1293" s="6">
        <v>1809</v>
      </c>
      <c r="B1293" s="5" t="str">
        <f>VLOOKUP(A1293, EmployeeMaster!$A:$D, 3, FALSE)</f>
        <v>Research &amp; Development</v>
      </c>
      <c r="C1293" s="8">
        <v>4213</v>
      </c>
      <c r="D1293" s="8">
        <f t="shared" si="120"/>
        <v>842.6</v>
      </c>
      <c r="E1293" s="8">
        <f t="shared" si="121"/>
        <v>505.56</v>
      </c>
      <c r="F1293" s="8">
        <f t="shared" si="122"/>
        <v>421.3</v>
      </c>
      <c r="G1293" s="8">
        <f t="shared" si="123"/>
        <v>5055.6000000000004</v>
      </c>
      <c r="H1293" s="8">
        <f t="shared" si="124"/>
        <v>926.86</v>
      </c>
      <c r="I1293" s="10">
        <f t="shared" si="125"/>
        <v>4128.7400000000007</v>
      </c>
    </row>
    <row r="1294" spans="1:9" x14ac:dyDescent="0.25">
      <c r="A1294" s="6">
        <v>1812</v>
      </c>
      <c r="B1294" s="5" t="str">
        <f>VLOOKUP(A1294, EmployeeMaster!$A:$D, 3, FALSE)</f>
        <v>Sales</v>
      </c>
      <c r="C1294" s="8">
        <v>4127</v>
      </c>
      <c r="D1294" s="8">
        <f t="shared" si="120"/>
        <v>825.40000000000009</v>
      </c>
      <c r="E1294" s="8">
        <f t="shared" si="121"/>
        <v>495.24</v>
      </c>
      <c r="F1294" s="8">
        <f t="shared" si="122"/>
        <v>412.70000000000005</v>
      </c>
      <c r="G1294" s="8">
        <f t="shared" si="123"/>
        <v>4952.3999999999996</v>
      </c>
      <c r="H1294" s="8">
        <f t="shared" si="124"/>
        <v>907.94</v>
      </c>
      <c r="I1294" s="10">
        <f t="shared" si="125"/>
        <v>4044.4599999999996</v>
      </c>
    </row>
    <row r="1295" spans="1:9" x14ac:dyDescent="0.25">
      <c r="A1295" s="6">
        <v>1813</v>
      </c>
      <c r="B1295" s="5" t="str">
        <f>VLOOKUP(A1295, EmployeeMaster!$A:$D, 3, FALSE)</f>
        <v>Research &amp; Development</v>
      </c>
      <c r="C1295" s="8">
        <v>2438</v>
      </c>
      <c r="D1295" s="8">
        <f t="shared" si="120"/>
        <v>487.6</v>
      </c>
      <c r="E1295" s="8">
        <f t="shared" si="121"/>
        <v>292.56</v>
      </c>
      <c r="F1295" s="8">
        <f t="shared" si="122"/>
        <v>243.8</v>
      </c>
      <c r="G1295" s="8">
        <f t="shared" si="123"/>
        <v>2925.6</v>
      </c>
      <c r="H1295" s="8">
        <f t="shared" si="124"/>
        <v>536.36</v>
      </c>
      <c r="I1295" s="10">
        <f t="shared" si="125"/>
        <v>2389.2399999999998</v>
      </c>
    </row>
    <row r="1296" spans="1:9" x14ac:dyDescent="0.25">
      <c r="A1296" s="6">
        <v>1814</v>
      </c>
      <c r="B1296" s="5" t="str">
        <f>VLOOKUP(A1296, EmployeeMaster!$A:$D, 3, FALSE)</f>
        <v>Research &amp; Development</v>
      </c>
      <c r="C1296" s="8">
        <v>6870</v>
      </c>
      <c r="D1296" s="8">
        <f t="shared" si="120"/>
        <v>1374</v>
      </c>
      <c r="E1296" s="8">
        <f t="shared" si="121"/>
        <v>824.4</v>
      </c>
      <c r="F1296" s="8">
        <f t="shared" si="122"/>
        <v>687</v>
      </c>
      <c r="G1296" s="8">
        <f t="shared" si="123"/>
        <v>8244</v>
      </c>
      <c r="H1296" s="8">
        <f t="shared" si="124"/>
        <v>1511.4</v>
      </c>
      <c r="I1296" s="10">
        <f t="shared" si="125"/>
        <v>6732.6</v>
      </c>
    </row>
    <row r="1297" spans="1:9" x14ac:dyDescent="0.25">
      <c r="A1297" s="6">
        <v>1815</v>
      </c>
      <c r="B1297" s="5" t="str">
        <f>VLOOKUP(A1297, EmployeeMaster!$A:$D, 3, FALSE)</f>
        <v>Sales</v>
      </c>
      <c r="C1297" s="8">
        <v>10447</v>
      </c>
      <c r="D1297" s="8">
        <f t="shared" si="120"/>
        <v>2089.4</v>
      </c>
      <c r="E1297" s="8">
        <f t="shared" si="121"/>
        <v>1253.6399999999999</v>
      </c>
      <c r="F1297" s="8">
        <f t="shared" si="122"/>
        <v>1044.7</v>
      </c>
      <c r="G1297" s="8">
        <f t="shared" si="123"/>
        <v>12536.4</v>
      </c>
      <c r="H1297" s="8">
        <f t="shared" si="124"/>
        <v>2298.34</v>
      </c>
      <c r="I1297" s="10">
        <f t="shared" si="125"/>
        <v>10238.06</v>
      </c>
    </row>
    <row r="1298" spans="1:9" x14ac:dyDescent="0.25">
      <c r="A1298" s="6">
        <v>1816</v>
      </c>
      <c r="B1298" s="5" t="str">
        <f>VLOOKUP(A1298, EmployeeMaster!$A:$D, 3, FALSE)</f>
        <v>Research &amp; Development</v>
      </c>
      <c r="C1298" s="8">
        <v>9667</v>
      </c>
      <c r="D1298" s="8">
        <f t="shared" si="120"/>
        <v>1933.4</v>
      </c>
      <c r="E1298" s="8">
        <f t="shared" si="121"/>
        <v>1160.04</v>
      </c>
      <c r="F1298" s="8">
        <f t="shared" si="122"/>
        <v>966.7</v>
      </c>
      <c r="G1298" s="8">
        <f t="shared" si="123"/>
        <v>11600.4</v>
      </c>
      <c r="H1298" s="8">
        <f t="shared" si="124"/>
        <v>2126.7399999999998</v>
      </c>
      <c r="I1298" s="10">
        <f t="shared" si="125"/>
        <v>9473.66</v>
      </c>
    </row>
    <row r="1299" spans="1:9" x14ac:dyDescent="0.25">
      <c r="A1299" s="6">
        <v>1818</v>
      </c>
      <c r="B1299" s="5" t="str">
        <f>VLOOKUP(A1299, EmployeeMaster!$A:$D, 3, FALSE)</f>
        <v>Human Resources</v>
      </c>
      <c r="C1299" s="8">
        <v>2148</v>
      </c>
      <c r="D1299" s="8">
        <f t="shared" si="120"/>
        <v>429.6</v>
      </c>
      <c r="E1299" s="8">
        <f t="shared" si="121"/>
        <v>257.76</v>
      </c>
      <c r="F1299" s="8">
        <f t="shared" si="122"/>
        <v>214.8</v>
      </c>
      <c r="G1299" s="8">
        <f t="shared" si="123"/>
        <v>2577.6</v>
      </c>
      <c r="H1299" s="8">
        <f t="shared" si="124"/>
        <v>472.56</v>
      </c>
      <c r="I1299" s="10">
        <f t="shared" si="125"/>
        <v>2105.04</v>
      </c>
    </row>
    <row r="1300" spans="1:9" x14ac:dyDescent="0.25">
      <c r="A1300" s="6">
        <v>1821</v>
      </c>
      <c r="B1300" s="5" t="str">
        <f>VLOOKUP(A1300, EmployeeMaster!$A:$D, 3, FALSE)</f>
        <v>Research &amp; Development</v>
      </c>
      <c r="C1300" s="8">
        <v>8926</v>
      </c>
      <c r="D1300" s="8">
        <f t="shared" si="120"/>
        <v>1785.2</v>
      </c>
      <c r="E1300" s="8">
        <f t="shared" si="121"/>
        <v>1071.1199999999999</v>
      </c>
      <c r="F1300" s="8">
        <f t="shared" si="122"/>
        <v>892.6</v>
      </c>
      <c r="G1300" s="8">
        <f t="shared" si="123"/>
        <v>10711.2</v>
      </c>
      <c r="H1300" s="8">
        <f t="shared" si="124"/>
        <v>1963.7199999999998</v>
      </c>
      <c r="I1300" s="10">
        <f t="shared" si="125"/>
        <v>8747.4800000000014</v>
      </c>
    </row>
    <row r="1301" spans="1:9" x14ac:dyDescent="0.25">
      <c r="A1301" s="6">
        <v>1822</v>
      </c>
      <c r="B1301" s="5" t="str">
        <f>VLOOKUP(A1301, EmployeeMaster!$A:$D, 3, FALSE)</f>
        <v>Research &amp; Development</v>
      </c>
      <c r="C1301" s="8">
        <v>6513</v>
      </c>
      <c r="D1301" s="8">
        <f t="shared" si="120"/>
        <v>1302.6000000000001</v>
      </c>
      <c r="E1301" s="8">
        <f t="shared" si="121"/>
        <v>781.56</v>
      </c>
      <c r="F1301" s="8">
        <f t="shared" si="122"/>
        <v>651.30000000000007</v>
      </c>
      <c r="G1301" s="8">
        <f t="shared" si="123"/>
        <v>7815.6</v>
      </c>
      <c r="H1301" s="8">
        <f t="shared" si="124"/>
        <v>1432.8600000000001</v>
      </c>
      <c r="I1301" s="10">
        <f t="shared" si="125"/>
        <v>6382.74</v>
      </c>
    </row>
    <row r="1302" spans="1:9" x14ac:dyDescent="0.25">
      <c r="A1302" s="6">
        <v>1823</v>
      </c>
      <c r="B1302" s="5" t="str">
        <f>VLOOKUP(A1302, EmployeeMaster!$A:$D, 3, FALSE)</f>
        <v>Sales</v>
      </c>
      <c r="C1302" s="8">
        <v>6799</v>
      </c>
      <c r="D1302" s="8">
        <f t="shared" si="120"/>
        <v>1359.8000000000002</v>
      </c>
      <c r="E1302" s="8">
        <f t="shared" si="121"/>
        <v>815.88</v>
      </c>
      <c r="F1302" s="8">
        <f t="shared" si="122"/>
        <v>679.90000000000009</v>
      </c>
      <c r="G1302" s="8">
        <f t="shared" si="123"/>
        <v>8158.8</v>
      </c>
      <c r="H1302" s="8">
        <f t="shared" si="124"/>
        <v>1495.7800000000002</v>
      </c>
      <c r="I1302" s="10">
        <f t="shared" si="125"/>
        <v>6663.02</v>
      </c>
    </row>
    <row r="1303" spans="1:9" x14ac:dyDescent="0.25">
      <c r="A1303" s="6">
        <v>1824</v>
      </c>
      <c r="B1303" s="5" t="str">
        <f>VLOOKUP(A1303, EmployeeMaster!$A:$D, 3, FALSE)</f>
        <v>Sales</v>
      </c>
      <c r="C1303" s="8">
        <v>16291</v>
      </c>
      <c r="D1303" s="8">
        <f t="shared" si="120"/>
        <v>3258.2000000000003</v>
      </c>
      <c r="E1303" s="8">
        <f t="shared" si="121"/>
        <v>1954.9199999999998</v>
      </c>
      <c r="F1303" s="8">
        <f t="shared" si="122"/>
        <v>1629.1000000000001</v>
      </c>
      <c r="G1303" s="8">
        <f t="shared" si="123"/>
        <v>19549.2</v>
      </c>
      <c r="H1303" s="8">
        <f t="shared" si="124"/>
        <v>3584.02</v>
      </c>
      <c r="I1303" s="10">
        <f t="shared" si="125"/>
        <v>15965.18</v>
      </c>
    </row>
    <row r="1304" spans="1:9" x14ac:dyDescent="0.25">
      <c r="A1304" s="6">
        <v>1826</v>
      </c>
      <c r="B1304" s="5" t="str">
        <f>VLOOKUP(A1304, EmployeeMaster!$A:$D, 3, FALSE)</f>
        <v>Research &amp; Development</v>
      </c>
      <c r="C1304" s="8">
        <v>2705</v>
      </c>
      <c r="D1304" s="8">
        <f t="shared" si="120"/>
        <v>541</v>
      </c>
      <c r="E1304" s="8">
        <f t="shared" si="121"/>
        <v>324.59999999999997</v>
      </c>
      <c r="F1304" s="8">
        <f t="shared" si="122"/>
        <v>270.5</v>
      </c>
      <c r="G1304" s="8">
        <f t="shared" si="123"/>
        <v>3246</v>
      </c>
      <c r="H1304" s="8">
        <f t="shared" si="124"/>
        <v>595.09999999999991</v>
      </c>
      <c r="I1304" s="10">
        <f t="shared" si="125"/>
        <v>2650.9</v>
      </c>
    </row>
    <row r="1305" spans="1:9" x14ac:dyDescent="0.25">
      <c r="A1305" s="6">
        <v>1827</v>
      </c>
      <c r="B1305" s="5" t="str">
        <f>VLOOKUP(A1305, EmployeeMaster!$A:$D, 3, FALSE)</f>
        <v>Research &amp; Development</v>
      </c>
      <c r="C1305" s="8">
        <v>10333</v>
      </c>
      <c r="D1305" s="8">
        <f t="shared" si="120"/>
        <v>2066.6</v>
      </c>
      <c r="E1305" s="8">
        <f t="shared" si="121"/>
        <v>1239.96</v>
      </c>
      <c r="F1305" s="8">
        <f t="shared" si="122"/>
        <v>1033.3</v>
      </c>
      <c r="G1305" s="8">
        <f t="shared" si="123"/>
        <v>12399.6</v>
      </c>
      <c r="H1305" s="8">
        <f t="shared" si="124"/>
        <v>2273.2600000000002</v>
      </c>
      <c r="I1305" s="10">
        <f t="shared" si="125"/>
        <v>10126.34</v>
      </c>
    </row>
    <row r="1306" spans="1:9" x14ac:dyDescent="0.25">
      <c r="A1306" s="6">
        <v>1829</v>
      </c>
      <c r="B1306" s="5" t="str">
        <f>VLOOKUP(A1306, EmployeeMaster!$A:$D, 3, FALSE)</f>
        <v>Research &amp; Development</v>
      </c>
      <c r="C1306" s="8">
        <v>4448</v>
      </c>
      <c r="D1306" s="8">
        <f t="shared" si="120"/>
        <v>889.6</v>
      </c>
      <c r="E1306" s="8">
        <f t="shared" si="121"/>
        <v>533.76</v>
      </c>
      <c r="F1306" s="8">
        <f t="shared" si="122"/>
        <v>444.8</v>
      </c>
      <c r="G1306" s="8">
        <f t="shared" si="123"/>
        <v>5337.6</v>
      </c>
      <c r="H1306" s="8">
        <f t="shared" si="124"/>
        <v>978.56</v>
      </c>
      <c r="I1306" s="10">
        <f t="shared" si="125"/>
        <v>4359.0400000000009</v>
      </c>
    </row>
    <row r="1307" spans="1:9" x14ac:dyDescent="0.25">
      <c r="A1307" s="6">
        <v>1830</v>
      </c>
      <c r="B1307" s="5" t="str">
        <f>VLOOKUP(A1307, EmployeeMaster!$A:$D, 3, FALSE)</f>
        <v>Research &amp; Development</v>
      </c>
      <c r="C1307" s="8">
        <v>6854</v>
      </c>
      <c r="D1307" s="8">
        <f t="shared" si="120"/>
        <v>1370.8000000000002</v>
      </c>
      <c r="E1307" s="8">
        <f t="shared" si="121"/>
        <v>822.48</v>
      </c>
      <c r="F1307" s="8">
        <f t="shared" si="122"/>
        <v>685.40000000000009</v>
      </c>
      <c r="G1307" s="8">
        <f t="shared" si="123"/>
        <v>8224.7999999999993</v>
      </c>
      <c r="H1307" s="8">
        <f t="shared" si="124"/>
        <v>1507.88</v>
      </c>
      <c r="I1307" s="10">
        <f t="shared" si="125"/>
        <v>6716.9199999999992</v>
      </c>
    </row>
    <row r="1308" spans="1:9" x14ac:dyDescent="0.25">
      <c r="A1308" s="6">
        <v>1833</v>
      </c>
      <c r="B1308" s="5" t="str">
        <f>VLOOKUP(A1308, EmployeeMaster!$A:$D, 3, FALSE)</f>
        <v>Sales</v>
      </c>
      <c r="C1308" s="8">
        <v>9637</v>
      </c>
      <c r="D1308" s="8">
        <f t="shared" si="120"/>
        <v>1927.4</v>
      </c>
      <c r="E1308" s="8">
        <f t="shared" si="121"/>
        <v>1156.44</v>
      </c>
      <c r="F1308" s="8">
        <f t="shared" si="122"/>
        <v>963.7</v>
      </c>
      <c r="G1308" s="8">
        <f t="shared" si="123"/>
        <v>11564.4</v>
      </c>
      <c r="H1308" s="8">
        <f t="shared" si="124"/>
        <v>2120.1400000000003</v>
      </c>
      <c r="I1308" s="10">
        <f t="shared" si="125"/>
        <v>9444.2599999999984</v>
      </c>
    </row>
    <row r="1309" spans="1:9" x14ac:dyDescent="0.25">
      <c r="A1309" s="6">
        <v>1834</v>
      </c>
      <c r="B1309" s="5" t="str">
        <f>VLOOKUP(A1309, EmployeeMaster!$A:$D, 3, FALSE)</f>
        <v>Research &amp; Development</v>
      </c>
      <c r="C1309" s="8">
        <v>3591</v>
      </c>
      <c r="D1309" s="8">
        <f t="shared" si="120"/>
        <v>718.2</v>
      </c>
      <c r="E1309" s="8">
        <f t="shared" si="121"/>
        <v>430.91999999999996</v>
      </c>
      <c r="F1309" s="8">
        <f t="shared" si="122"/>
        <v>359.1</v>
      </c>
      <c r="G1309" s="8">
        <f t="shared" si="123"/>
        <v>4309.2</v>
      </c>
      <c r="H1309" s="8">
        <f t="shared" si="124"/>
        <v>790.02</v>
      </c>
      <c r="I1309" s="10">
        <f t="shared" si="125"/>
        <v>3519.18</v>
      </c>
    </row>
    <row r="1310" spans="1:9" x14ac:dyDescent="0.25">
      <c r="A1310" s="6">
        <v>1835</v>
      </c>
      <c r="B1310" s="5" t="str">
        <f>VLOOKUP(A1310, EmployeeMaster!$A:$D, 3, FALSE)</f>
        <v>Sales</v>
      </c>
      <c r="C1310" s="8">
        <v>5405</v>
      </c>
      <c r="D1310" s="8">
        <f t="shared" si="120"/>
        <v>1081</v>
      </c>
      <c r="E1310" s="8">
        <f t="shared" si="121"/>
        <v>648.6</v>
      </c>
      <c r="F1310" s="8">
        <f t="shared" si="122"/>
        <v>540.5</v>
      </c>
      <c r="G1310" s="8">
        <f t="shared" si="123"/>
        <v>6486</v>
      </c>
      <c r="H1310" s="8">
        <f t="shared" si="124"/>
        <v>1189.0999999999999</v>
      </c>
      <c r="I1310" s="10">
        <f t="shared" si="125"/>
        <v>5296.9</v>
      </c>
    </row>
    <row r="1311" spans="1:9" x14ac:dyDescent="0.25">
      <c r="A1311" s="6">
        <v>1836</v>
      </c>
      <c r="B1311" s="5" t="str">
        <f>VLOOKUP(A1311, EmployeeMaster!$A:$D, 3, FALSE)</f>
        <v>Sales</v>
      </c>
      <c r="C1311" s="8">
        <v>4684</v>
      </c>
      <c r="D1311" s="8">
        <f t="shared" si="120"/>
        <v>936.80000000000007</v>
      </c>
      <c r="E1311" s="8">
        <f t="shared" si="121"/>
        <v>562.07999999999993</v>
      </c>
      <c r="F1311" s="8">
        <f t="shared" si="122"/>
        <v>468.40000000000003</v>
      </c>
      <c r="G1311" s="8">
        <f t="shared" si="123"/>
        <v>5620.8</v>
      </c>
      <c r="H1311" s="8">
        <f t="shared" si="124"/>
        <v>1030.48</v>
      </c>
      <c r="I1311" s="10">
        <f t="shared" si="125"/>
        <v>4590.32</v>
      </c>
    </row>
    <row r="1312" spans="1:9" x14ac:dyDescent="0.25">
      <c r="A1312" s="6">
        <v>1837</v>
      </c>
      <c r="B1312" s="5" t="str">
        <f>VLOOKUP(A1312, EmployeeMaster!$A:$D, 3, FALSE)</f>
        <v>Research &amp; Development</v>
      </c>
      <c r="C1312" s="8">
        <v>15787</v>
      </c>
      <c r="D1312" s="8">
        <f t="shared" si="120"/>
        <v>3157.4</v>
      </c>
      <c r="E1312" s="8">
        <f t="shared" si="121"/>
        <v>1894.4399999999998</v>
      </c>
      <c r="F1312" s="8">
        <f t="shared" si="122"/>
        <v>1578.7</v>
      </c>
      <c r="G1312" s="8">
        <f t="shared" si="123"/>
        <v>18944.400000000001</v>
      </c>
      <c r="H1312" s="8">
        <f t="shared" si="124"/>
        <v>3473.14</v>
      </c>
      <c r="I1312" s="10">
        <f t="shared" si="125"/>
        <v>15471.260000000002</v>
      </c>
    </row>
    <row r="1313" spans="1:9" x14ac:dyDescent="0.25">
      <c r="A1313" s="6">
        <v>1839</v>
      </c>
      <c r="B1313" s="5" t="str">
        <f>VLOOKUP(A1313, EmployeeMaster!$A:$D, 3, FALSE)</f>
        <v>Research &amp; Development</v>
      </c>
      <c r="C1313" s="8">
        <v>1514</v>
      </c>
      <c r="D1313" s="8">
        <f t="shared" si="120"/>
        <v>302.8</v>
      </c>
      <c r="E1313" s="8">
        <f t="shared" si="121"/>
        <v>181.68</v>
      </c>
      <c r="F1313" s="8">
        <f t="shared" si="122"/>
        <v>151.4</v>
      </c>
      <c r="G1313" s="8">
        <f t="shared" si="123"/>
        <v>1816.8</v>
      </c>
      <c r="H1313" s="8">
        <f t="shared" si="124"/>
        <v>333.08000000000004</v>
      </c>
      <c r="I1313" s="10">
        <f t="shared" si="125"/>
        <v>1483.7199999999998</v>
      </c>
    </row>
    <row r="1314" spans="1:9" x14ac:dyDescent="0.25">
      <c r="A1314" s="6">
        <v>1842</v>
      </c>
      <c r="B1314" s="5" t="str">
        <f>VLOOKUP(A1314, EmployeeMaster!$A:$D, 3, FALSE)</f>
        <v>Human Resources</v>
      </c>
      <c r="C1314" s="8">
        <v>2956</v>
      </c>
      <c r="D1314" s="8">
        <f t="shared" si="120"/>
        <v>591.20000000000005</v>
      </c>
      <c r="E1314" s="8">
        <f t="shared" si="121"/>
        <v>354.71999999999997</v>
      </c>
      <c r="F1314" s="8">
        <f t="shared" si="122"/>
        <v>295.60000000000002</v>
      </c>
      <c r="G1314" s="8">
        <f t="shared" si="123"/>
        <v>3547.2</v>
      </c>
      <c r="H1314" s="8">
        <f t="shared" si="124"/>
        <v>650.31999999999994</v>
      </c>
      <c r="I1314" s="10">
        <f t="shared" si="125"/>
        <v>2896.88</v>
      </c>
    </row>
    <row r="1315" spans="1:9" x14ac:dyDescent="0.25">
      <c r="A1315" s="6">
        <v>1844</v>
      </c>
      <c r="B1315" s="5" t="str">
        <f>VLOOKUP(A1315, EmployeeMaster!$A:$D, 3, FALSE)</f>
        <v>Human Resources</v>
      </c>
      <c r="C1315" s="8">
        <v>2335</v>
      </c>
      <c r="D1315" s="8">
        <f t="shared" si="120"/>
        <v>467</v>
      </c>
      <c r="E1315" s="8">
        <f t="shared" si="121"/>
        <v>280.2</v>
      </c>
      <c r="F1315" s="8">
        <f t="shared" si="122"/>
        <v>233.5</v>
      </c>
      <c r="G1315" s="8">
        <f t="shared" si="123"/>
        <v>2802</v>
      </c>
      <c r="H1315" s="8">
        <f t="shared" si="124"/>
        <v>513.70000000000005</v>
      </c>
      <c r="I1315" s="10">
        <f t="shared" si="125"/>
        <v>2288.3000000000002</v>
      </c>
    </row>
    <row r="1316" spans="1:9" x14ac:dyDescent="0.25">
      <c r="A1316" s="6">
        <v>1845</v>
      </c>
      <c r="B1316" s="5" t="str">
        <f>VLOOKUP(A1316, EmployeeMaster!$A:$D, 3, FALSE)</f>
        <v>Sales</v>
      </c>
      <c r="C1316" s="8">
        <v>5154</v>
      </c>
      <c r="D1316" s="8">
        <f t="shared" si="120"/>
        <v>1030.8</v>
      </c>
      <c r="E1316" s="8">
        <f t="shared" si="121"/>
        <v>618.48</v>
      </c>
      <c r="F1316" s="8">
        <f t="shared" si="122"/>
        <v>515.4</v>
      </c>
      <c r="G1316" s="8">
        <f t="shared" si="123"/>
        <v>6184.8</v>
      </c>
      <c r="H1316" s="8">
        <f t="shared" si="124"/>
        <v>1133.8800000000001</v>
      </c>
      <c r="I1316" s="10">
        <f t="shared" si="125"/>
        <v>5050.92</v>
      </c>
    </row>
    <row r="1317" spans="1:9" x14ac:dyDescent="0.25">
      <c r="A1317" s="6">
        <v>1847</v>
      </c>
      <c r="B1317" s="5" t="str">
        <f>VLOOKUP(A1317, EmployeeMaster!$A:$D, 3, FALSE)</f>
        <v>Research &amp; Development</v>
      </c>
      <c r="C1317" s="8">
        <v>6962</v>
      </c>
      <c r="D1317" s="8">
        <f t="shared" si="120"/>
        <v>1392.4</v>
      </c>
      <c r="E1317" s="8">
        <f t="shared" si="121"/>
        <v>835.43999999999994</v>
      </c>
      <c r="F1317" s="8">
        <f t="shared" si="122"/>
        <v>696.2</v>
      </c>
      <c r="G1317" s="8">
        <f t="shared" si="123"/>
        <v>8354.4</v>
      </c>
      <c r="H1317" s="8">
        <f t="shared" si="124"/>
        <v>1531.6399999999999</v>
      </c>
      <c r="I1317" s="10">
        <f t="shared" si="125"/>
        <v>6822.76</v>
      </c>
    </row>
    <row r="1318" spans="1:9" x14ac:dyDescent="0.25">
      <c r="A1318" s="6">
        <v>1849</v>
      </c>
      <c r="B1318" s="5" t="str">
        <f>VLOOKUP(A1318, EmployeeMaster!$A:$D, 3, FALSE)</f>
        <v>Sales</v>
      </c>
      <c r="C1318" s="8">
        <v>5675</v>
      </c>
      <c r="D1318" s="8">
        <f t="shared" si="120"/>
        <v>1135</v>
      </c>
      <c r="E1318" s="8">
        <f t="shared" si="121"/>
        <v>681</v>
      </c>
      <c r="F1318" s="8">
        <f t="shared" si="122"/>
        <v>567.5</v>
      </c>
      <c r="G1318" s="8">
        <f t="shared" si="123"/>
        <v>6810</v>
      </c>
      <c r="H1318" s="8">
        <f t="shared" si="124"/>
        <v>1248.5</v>
      </c>
      <c r="I1318" s="10">
        <f t="shared" si="125"/>
        <v>5561.5</v>
      </c>
    </row>
    <row r="1319" spans="1:9" x14ac:dyDescent="0.25">
      <c r="A1319" s="6">
        <v>1850</v>
      </c>
      <c r="B1319" s="5" t="str">
        <f>VLOOKUP(A1319, EmployeeMaster!$A:$D, 3, FALSE)</f>
        <v>Research &amp; Development</v>
      </c>
      <c r="C1319" s="8">
        <v>2379</v>
      </c>
      <c r="D1319" s="8">
        <f t="shared" si="120"/>
        <v>475.8</v>
      </c>
      <c r="E1319" s="8">
        <f t="shared" si="121"/>
        <v>285.47999999999996</v>
      </c>
      <c r="F1319" s="8">
        <f t="shared" si="122"/>
        <v>237.9</v>
      </c>
      <c r="G1319" s="8">
        <f t="shared" si="123"/>
        <v>2854.8</v>
      </c>
      <c r="H1319" s="8">
        <f t="shared" si="124"/>
        <v>523.38</v>
      </c>
      <c r="I1319" s="10">
        <f t="shared" si="125"/>
        <v>2331.42</v>
      </c>
    </row>
    <row r="1320" spans="1:9" x14ac:dyDescent="0.25">
      <c r="A1320" s="6">
        <v>1852</v>
      </c>
      <c r="B1320" s="5" t="str">
        <f>VLOOKUP(A1320, EmployeeMaster!$A:$D, 3, FALSE)</f>
        <v>Research &amp; Development</v>
      </c>
      <c r="C1320" s="8">
        <v>3812</v>
      </c>
      <c r="D1320" s="8">
        <f t="shared" si="120"/>
        <v>762.40000000000009</v>
      </c>
      <c r="E1320" s="8">
        <f t="shared" si="121"/>
        <v>457.44</v>
      </c>
      <c r="F1320" s="8">
        <f t="shared" si="122"/>
        <v>381.20000000000005</v>
      </c>
      <c r="G1320" s="8">
        <f t="shared" si="123"/>
        <v>4574.3999999999996</v>
      </c>
      <c r="H1320" s="8">
        <f t="shared" si="124"/>
        <v>838.6400000000001</v>
      </c>
      <c r="I1320" s="10">
        <f t="shared" si="125"/>
        <v>3735.7599999999993</v>
      </c>
    </row>
    <row r="1321" spans="1:9" x14ac:dyDescent="0.25">
      <c r="A1321" s="6">
        <v>1853</v>
      </c>
      <c r="B1321" s="5" t="str">
        <f>VLOOKUP(A1321, EmployeeMaster!$A:$D, 3, FALSE)</f>
        <v>Sales</v>
      </c>
      <c r="C1321" s="8">
        <v>4648</v>
      </c>
      <c r="D1321" s="8">
        <f t="shared" si="120"/>
        <v>929.6</v>
      </c>
      <c r="E1321" s="8">
        <f t="shared" si="121"/>
        <v>557.76</v>
      </c>
      <c r="F1321" s="8">
        <f t="shared" si="122"/>
        <v>464.8</v>
      </c>
      <c r="G1321" s="8">
        <f t="shared" si="123"/>
        <v>5577.6</v>
      </c>
      <c r="H1321" s="8">
        <f t="shared" si="124"/>
        <v>1022.56</v>
      </c>
      <c r="I1321" s="10">
        <f t="shared" si="125"/>
        <v>4555.0400000000009</v>
      </c>
    </row>
    <row r="1322" spans="1:9" x14ac:dyDescent="0.25">
      <c r="A1322" s="6">
        <v>1854</v>
      </c>
      <c r="B1322" s="5" t="str">
        <f>VLOOKUP(A1322, EmployeeMaster!$A:$D, 3, FALSE)</f>
        <v>Research &amp; Development</v>
      </c>
      <c r="C1322" s="8">
        <v>2936</v>
      </c>
      <c r="D1322" s="8">
        <f t="shared" si="120"/>
        <v>587.20000000000005</v>
      </c>
      <c r="E1322" s="8">
        <f t="shared" si="121"/>
        <v>352.32</v>
      </c>
      <c r="F1322" s="8">
        <f t="shared" si="122"/>
        <v>293.60000000000002</v>
      </c>
      <c r="G1322" s="8">
        <f t="shared" si="123"/>
        <v>3523.2</v>
      </c>
      <c r="H1322" s="8">
        <f t="shared" si="124"/>
        <v>645.92000000000007</v>
      </c>
      <c r="I1322" s="10">
        <f t="shared" si="125"/>
        <v>2877.2799999999997</v>
      </c>
    </row>
    <row r="1323" spans="1:9" x14ac:dyDescent="0.25">
      <c r="A1323" s="6">
        <v>1856</v>
      </c>
      <c r="B1323" s="5" t="str">
        <f>VLOOKUP(A1323, EmployeeMaster!$A:$D, 3, FALSE)</f>
        <v>Research &amp; Development</v>
      </c>
      <c r="C1323" s="8">
        <v>2105</v>
      </c>
      <c r="D1323" s="8">
        <f t="shared" si="120"/>
        <v>421</v>
      </c>
      <c r="E1323" s="8">
        <f t="shared" si="121"/>
        <v>252.6</v>
      </c>
      <c r="F1323" s="8">
        <f t="shared" si="122"/>
        <v>210.5</v>
      </c>
      <c r="G1323" s="8">
        <f t="shared" si="123"/>
        <v>2526</v>
      </c>
      <c r="H1323" s="8">
        <f t="shared" si="124"/>
        <v>463.1</v>
      </c>
      <c r="I1323" s="10">
        <f t="shared" si="125"/>
        <v>2062.9</v>
      </c>
    </row>
    <row r="1324" spans="1:9" x14ac:dyDescent="0.25">
      <c r="A1324" s="6">
        <v>1857</v>
      </c>
      <c r="B1324" s="5" t="str">
        <f>VLOOKUP(A1324, EmployeeMaster!$A:$D, 3, FALSE)</f>
        <v>Research &amp; Development</v>
      </c>
      <c r="C1324" s="8">
        <v>8578</v>
      </c>
      <c r="D1324" s="8">
        <f t="shared" si="120"/>
        <v>1715.6000000000001</v>
      </c>
      <c r="E1324" s="8">
        <f t="shared" si="121"/>
        <v>1029.3599999999999</v>
      </c>
      <c r="F1324" s="8">
        <f t="shared" si="122"/>
        <v>857.80000000000007</v>
      </c>
      <c r="G1324" s="8">
        <f t="shared" si="123"/>
        <v>10293.6</v>
      </c>
      <c r="H1324" s="8">
        <f t="shared" si="124"/>
        <v>1887.1599999999999</v>
      </c>
      <c r="I1324" s="10">
        <f t="shared" si="125"/>
        <v>8406.44</v>
      </c>
    </row>
    <row r="1325" spans="1:9" x14ac:dyDescent="0.25">
      <c r="A1325" s="6">
        <v>1858</v>
      </c>
      <c r="B1325" s="5" t="str">
        <f>VLOOKUP(A1325, EmployeeMaster!$A:$D, 3, FALSE)</f>
        <v>Human Resources</v>
      </c>
      <c r="C1325" s="8">
        <v>2706</v>
      </c>
      <c r="D1325" s="8">
        <f t="shared" si="120"/>
        <v>541.20000000000005</v>
      </c>
      <c r="E1325" s="8">
        <f t="shared" si="121"/>
        <v>324.71999999999997</v>
      </c>
      <c r="F1325" s="8">
        <f t="shared" si="122"/>
        <v>270.60000000000002</v>
      </c>
      <c r="G1325" s="8">
        <f t="shared" si="123"/>
        <v>3247.2</v>
      </c>
      <c r="H1325" s="8">
        <f t="shared" si="124"/>
        <v>595.31999999999994</v>
      </c>
      <c r="I1325" s="10">
        <f t="shared" si="125"/>
        <v>2651.88</v>
      </c>
    </row>
    <row r="1326" spans="1:9" x14ac:dyDescent="0.25">
      <c r="A1326" s="6">
        <v>1859</v>
      </c>
      <c r="B1326" s="5" t="str">
        <f>VLOOKUP(A1326, EmployeeMaster!$A:$D, 3, FALSE)</f>
        <v>Research &amp; Development</v>
      </c>
      <c r="C1326" s="8">
        <v>6384</v>
      </c>
      <c r="D1326" s="8">
        <f t="shared" si="120"/>
        <v>1276.8000000000002</v>
      </c>
      <c r="E1326" s="8">
        <f t="shared" si="121"/>
        <v>766.07999999999993</v>
      </c>
      <c r="F1326" s="8">
        <f t="shared" si="122"/>
        <v>638.40000000000009</v>
      </c>
      <c r="G1326" s="8">
        <f t="shared" si="123"/>
        <v>7660.8</v>
      </c>
      <c r="H1326" s="8">
        <f t="shared" si="124"/>
        <v>1404.48</v>
      </c>
      <c r="I1326" s="10">
        <f t="shared" si="125"/>
        <v>6256.32</v>
      </c>
    </row>
    <row r="1327" spans="1:9" x14ac:dyDescent="0.25">
      <c r="A1327" s="6">
        <v>1860</v>
      </c>
      <c r="B1327" s="5" t="str">
        <f>VLOOKUP(A1327, EmployeeMaster!$A:$D, 3, FALSE)</f>
        <v>Research &amp; Development</v>
      </c>
      <c r="C1327" s="8">
        <v>3968</v>
      </c>
      <c r="D1327" s="8">
        <f t="shared" si="120"/>
        <v>793.6</v>
      </c>
      <c r="E1327" s="8">
        <f t="shared" si="121"/>
        <v>476.15999999999997</v>
      </c>
      <c r="F1327" s="8">
        <f t="shared" si="122"/>
        <v>396.8</v>
      </c>
      <c r="G1327" s="8">
        <f t="shared" si="123"/>
        <v>4761.6000000000004</v>
      </c>
      <c r="H1327" s="8">
        <f t="shared" si="124"/>
        <v>872.96</v>
      </c>
      <c r="I1327" s="10">
        <f t="shared" si="125"/>
        <v>3888.6400000000003</v>
      </c>
    </row>
    <row r="1328" spans="1:9" x14ac:dyDescent="0.25">
      <c r="A1328" s="6">
        <v>1862</v>
      </c>
      <c r="B1328" s="5" t="str">
        <f>VLOOKUP(A1328, EmployeeMaster!$A:$D, 3, FALSE)</f>
        <v>Sales</v>
      </c>
      <c r="C1328" s="8">
        <v>9907</v>
      </c>
      <c r="D1328" s="8">
        <f t="shared" si="120"/>
        <v>1981.4</v>
      </c>
      <c r="E1328" s="8">
        <f t="shared" si="121"/>
        <v>1188.8399999999999</v>
      </c>
      <c r="F1328" s="8">
        <f t="shared" si="122"/>
        <v>990.7</v>
      </c>
      <c r="G1328" s="8">
        <f t="shared" si="123"/>
        <v>11888.4</v>
      </c>
      <c r="H1328" s="8">
        <f t="shared" si="124"/>
        <v>2179.54</v>
      </c>
      <c r="I1328" s="10">
        <f t="shared" si="125"/>
        <v>9708.86</v>
      </c>
    </row>
    <row r="1329" spans="1:9" x14ac:dyDescent="0.25">
      <c r="A1329" s="6">
        <v>1863</v>
      </c>
      <c r="B1329" s="5" t="str">
        <f>VLOOKUP(A1329, EmployeeMaster!$A:$D, 3, FALSE)</f>
        <v>Sales</v>
      </c>
      <c r="C1329" s="8">
        <v>13225</v>
      </c>
      <c r="D1329" s="8">
        <f t="shared" si="120"/>
        <v>2645</v>
      </c>
      <c r="E1329" s="8">
        <f t="shared" si="121"/>
        <v>1587</v>
      </c>
      <c r="F1329" s="8">
        <f t="shared" si="122"/>
        <v>1322.5</v>
      </c>
      <c r="G1329" s="8">
        <f t="shared" si="123"/>
        <v>15870</v>
      </c>
      <c r="H1329" s="8">
        <f t="shared" si="124"/>
        <v>2909.5</v>
      </c>
      <c r="I1329" s="10">
        <f t="shared" si="125"/>
        <v>12960.5</v>
      </c>
    </row>
    <row r="1330" spans="1:9" x14ac:dyDescent="0.25">
      <c r="A1330" s="6">
        <v>1864</v>
      </c>
      <c r="B1330" s="5" t="str">
        <f>VLOOKUP(A1330, EmployeeMaster!$A:$D, 3, FALSE)</f>
        <v>Sales</v>
      </c>
      <c r="C1330" s="8">
        <v>3540</v>
      </c>
      <c r="D1330" s="8">
        <f t="shared" si="120"/>
        <v>708</v>
      </c>
      <c r="E1330" s="8">
        <f t="shared" si="121"/>
        <v>424.8</v>
      </c>
      <c r="F1330" s="8">
        <f t="shared" si="122"/>
        <v>354</v>
      </c>
      <c r="G1330" s="8">
        <f t="shared" si="123"/>
        <v>4248</v>
      </c>
      <c r="H1330" s="8">
        <f t="shared" si="124"/>
        <v>778.8</v>
      </c>
      <c r="I1330" s="10">
        <f t="shared" si="125"/>
        <v>3469.2</v>
      </c>
    </row>
    <row r="1331" spans="1:9" x14ac:dyDescent="0.25">
      <c r="A1331" s="6">
        <v>1865</v>
      </c>
      <c r="B1331" s="5" t="str">
        <f>VLOOKUP(A1331, EmployeeMaster!$A:$D, 3, FALSE)</f>
        <v>Human Resources</v>
      </c>
      <c r="C1331" s="8">
        <v>2804</v>
      </c>
      <c r="D1331" s="8">
        <f t="shared" si="120"/>
        <v>560.80000000000007</v>
      </c>
      <c r="E1331" s="8">
        <f t="shared" si="121"/>
        <v>336.47999999999996</v>
      </c>
      <c r="F1331" s="8">
        <f t="shared" si="122"/>
        <v>280.40000000000003</v>
      </c>
      <c r="G1331" s="8">
        <f t="shared" si="123"/>
        <v>3364.8</v>
      </c>
      <c r="H1331" s="8">
        <f t="shared" si="124"/>
        <v>616.88</v>
      </c>
      <c r="I1331" s="10">
        <f t="shared" si="125"/>
        <v>2747.92</v>
      </c>
    </row>
    <row r="1332" spans="1:9" x14ac:dyDescent="0.25">
      <c r="A1332" s="6">
        <v>1866</v>
      </c>
      <c r="B1332" s="5" t="str">
        <f>VLOOKUP(A1332, EmployeeMaster!$A:$D, 3, FALSE)</f>
        <v>Research &amp; Development</v>
      </c>
      <c r="C1332" s="8">
        <v>19392</v>
      </c>
      <c r="D1332" s="8">
        <f t="shared" si="120"/>
        <v>3878.4</v>
      </c>
      <c r="E1332" s="8">
        <f t="shared" si="121"/>
        <v>2327.04</v>
      </c>
      <c r="F1332" s="8">
        <f t="shared" si="122"/>
        <v>1939.2</v>
      </c>
      <c r="G1332" s="8">
        <f t="shared" si="123"/>
        <v>23270.400000000001</v>
      </c>
      <c r="H1332" s="8">
        <f t="shared" si="124"/>
        <v>4266.24</v>
      </c>
      <c r="I1332" s="10">
        <f t="shared" si="125"/>
        <v>19004.160000000003</v>
      </c>
    </row>
    <row r="1333" spans="1:9" x14ac:dyDescent="0.25">
      <c r="A1333" s="6">
        <v>1867</v>
      </c>
      <c r="B1333" s="5" t="str">
        <f>VLOOKUP(A1333, EmployeeMaster!$A:$D, 3, FALSE)</f>
        <v>Research &amp; Development</v>
      </c>
      <c r="C1333" s="8">
        <v>19665</v>
      </c>
      <c r="D1333" s="8">
        <f t="shared" si="120"/>
        <v>3933</v>
      </c>
      <c r="E1333" s="8">
        <f t="shared" si="121"/>
        <v>2359.7999999999997</v>
      </c>
      <c r="F1333" s="8">
        <f t="shared" si="122"/>
        <v>1966.5</v>
      </c>
      <c r="G1333" s="8">
        <f t="shared" si="123"/>
        <v>23598</v>
      </c>
      <c r="H1333" s="8">
        <f t="shared" si="124"/>
        <v>4326.2999999999993</v>
      </c>
      <c r="I1333" s="10">
        <f t="shared" si="125"/>
        <v>19271.7</v>
      </c>
    </row>
    <row r="1334" spans="1:9" x14ac:dyDescent="0.25">
      <c r="A1334" s="6">
        <v>1868</v>
      </c>
      <c r="B1334" s="5" t="str">
        <f>VLOOKUP(A1334, EmployeeMaster!$A:$D, 3, FALSE)</f>
        <v>Research &amp; Development</v>
      </c>
      <c r="C1334" s="8">
        <v>2439</v>
      </c>
      <c r="D1334" s="8">
        <f t="shared" si="120"/>
        <v>487.8</v>
      </c>
      <c r="E1334" s="8">
        <f t="shared" si="121"/>
        <v>292.68</v>
      </c>
      <c r="F1334" s="8">
        <f t="shared" si="122"/>
        <v>243.9</v>
      </c>
      <c r="G1334" s="8">
        <f t="shared" si="123"/>
        <v>2926.8</v>
      </c>
      <c r="H1334" s="8">
        <f t="shared" si="124"/>
        <v>536.58000000000004</v>
      </c>
      <c r="I1334" s="10">
        <f t="shared" si="125"/>
        <v>2390.2200000000003</v>
      </c>
    </row>
    <row r="1335" spans="1:9" x14ac:dyDescent="0.25">
      <c r="A1335" s="6">
        <v>1869</v>
      </c>
      <c r="B1335" s="5" t="str">
        <f>VLOOKUP(A1335, EmployeeMaster!$A:$D, 3, FALSE)</f>
        <v>Sales</v>
      </c>
      <c r="C1335" s="8">
        <v>7314</v>
      </c>
      <c r="D1335" s="8">
        <f t="shared" si="120"/>
        <v>1462.8000000000002</v>
      </c>
      <c r="E1335" s="8">
        <f t="shared" si="121"/>
        <v>877.68</v>
      </c>
      <c r="F1335" s="8">
        <f t="shared" si="122"/>
        <v>731.40000000000009</v>
      </c>
      <c r="G1335" s="8">
        <f t="shared" si="123"/>
        <v>8776.7999999999993</v>
      </c>
      <c r="H1335" s="8">
        <f t="shared" si="124"/>
        <v>1609.08</v>
      </c>
      <c r="I1335" s="10">
        <f t="shared" si="125"/>
        <v>7167.7199999999993</v>
      </c>
    </row>
    <row r="1336" spans="1:9" x14ac:dyDescent="0.25">
      <c r="A1336" s="6">
        <v>1870</v>
      </c>
      <c r="B1336" s="5" t="str">
        <f>VLOOKUP(A1336, EmployeeMaster!$A:$D, 3, FALSE)</f>
        <v>Research &amp; Development</v>
      </c>
      <c r="C1336" s="8">
        <v>4774</v>
      </c>
      <c r="D1336" s="8">
        <f t="shared" si="120"/>
        <v>954.80000000000007</v>
      </c>
      <c r="E1336" s="8">
        <f t="shared" si="121"/>
        <v>572.88</v>
      </c>
      <c r="F1336" s="8">
        <f t="shared" si="122"/>
        <v>477.40000000000003</v>
      </c>
      <c r="G1336" s="8">
        <f t="shared" si="123"/>
        <v>5728.8</v>
      </c>
      <c r="H1336" s="8">
        <f t="shared" si="124"/>
        <v>1050.28</v>
      </c>
      <c r="I1336" s="10">
        <f t="shared" si="125"/>
        <v>4678.5200000000004</v>
      </c>
    </row>
    <row r="1337" spans="1:9" x14ac:dyDescent="0.25">
      <c r="A1337" s="6">
        <v>1871</v>
      </c>
      <c r="B1337" s="5" t="str">
        <f>VLOOKUP(A1337, EmployeeMaster!$A:$D, 3, FALSE)</f>
        <v>Research &amp; Development</v>
      </c>
      <c r="C1337" s="8">
        <v>3902</v>
      </c>
      <c r="D1337" s="8">
        <f t="shared" si="120"/>
        <v>780.40000000000009</v>
      </c>
      <c r="E1337" s="8">
        <f t="shared" si="121"/>
        <v>468.24</v>
      </c>
      <c r="F1337" s="8">
        <f t="shared" si="122"/>
        <v>390.20000000000005</v>
      </c>
      <c r="G1337" s="8">
        <f t="shared" si="123"/>
        <v>4682.3999999999996</v>
      </c>
      <c r="H1337" s="8">
        <f t="shared" si="124"/>
        <v>858.44</v>
      </c>
      <c r="I1337" s="10">
        <f t="shared" si="125"/>
        <v>3823.9599999999996</v>
      </c>
    </row>
    <row r="1338" spans="1:9" x14ac:dyDescent="0.25">
      <c r="A1338" s="6">
        <v>1873</v>
      </c>
      <c r="B1338" s="5" t="str">
        <f>VLOOKUP(A1338, EmployeeMaster!$A:$D, 3, FALSE)</f>
        <v>Research &amp; Development</v>
      </c>
      <c r="C1338" s="8">
        <v>2662</v>
      </c>
      <c r="D1338" s="8">
        <f t="shared" si="120"/>
        <v>532.4</v>
      </c>
      <c r="E1338" s="8">
        <f t="shared" si="121"/>
        <v>319.44</v>
      </c>
      <c r="F1338" s="8">
        <f t="shared" si="122"/>
        <v>266.2</v>
      </c>
      <c r="G1338" s="8">
        <f t="shared" si="123"/>
        <v>3194.4</v>
      </c>
      <c r="H1338" s="8">
        <f t="shared" si="124"/>
        <v>585.64</v>
      </c>
      <c r="I1338" s="10">
        <f t="shared" si="125"/>
        <v>2608.7600000000002</v>
      </c>
    </row>
    <row r="1339" spans="1:9" x14ac:dyDescent="0.25">
      <c r="A1339" s="6">
        <v>1875</v>
      </c>
      <c r="B1339" s="5" t="str">
        <f>VLOOKUP(A1339, EmployeeMaster!$A:$D, 3, FALSE)</f>
        <v>Sales</v>
      </c>
      <c r="C1339" s="8">
        <v>2856</v>
      </c>
      <c r="D1339" s="8">
        <f t="shared" si="120"/>
        <v>571.20000000000005</v>
      </c>
      <c r="E1339" s="8">
        <f t="shared" si="121"/>
        <v>342.71999999999997</v>
      </c>
      <c r="F1339" s="8">
        <f t="shared" si="122"/>
        <v>285.60000000000002</v>
      </c>
      <c r="G1339" s="8">
        <f t="shared" si="123"/>
        <v>3427.2</v>
      </c>
      <c r="H1339" s="8">
        <f t="shared" si="124"/>
        <v>628.31999999999994</v>
      </c>
      <c r="I1339" s="10">
        <f t="shared" si="125"/>
        <v>2798.88</v>
      </c>
    </row>
    <row r="1340" spans="1:9" x14ac:dyDescent="0.25">
      <c r="A1340" s="6">
        <v>1876</v>
      </c>
      <c r="B1340" s="5" t="str">
        <f>VLOOKUP(A1340, EmployeeMaster!$A:$D, 3, FALSE)</f>
        <v>Sales</v>
      </c>
      <c r="C1340" s="8">
        <v>1081</v>
      </c>
      <c r="D1340" s="8">
        <f t="shared" si="120"/>
        <v>216.20000000000002</v>
      </c>
      <c r="E1340" s="8">
        <f t="shared" si="121"/>
        <v>129.72</v>
      </c>
      <c r="F1340" s="8">
        <f t="shared" si="122"/>
        <v>108.10000000000001</v>
      </c>
      <c r="G1340" s="8">
        <f t="shared" si="123"/>
        <v>1297.2</v>
      </c>
      <c r="H1340" s="8">
        <f t="shared" si="124"/>
        <v>237.82</v>
      </c>
      <c r="I1340" s="10">
        <f t="shared" si="125"/>
        <v>1059.3800000000001</v>
      </c>
    </row>
    <row r="1341" spans="1:9" x14ac:dyDescent="0.25">
      <c r="A1341" s="6">
        <v>1878</v>
      </c>
      <c r="B1341" s="5" t="str">
        <f>VLOOKUP(A1341, EmployeeMaster!$A:$D, 3, FALSE)</f>
        <v>Research &amp; Development</v>
      </c>
      <c r="C1341" s="8">
        <v>2472</v>
      </c>
      <c r="D1341" s="8">
        <f t="shared" si="120"/>
        <v>494.40000000000003</v>
      </c>
      <c r="E1341" s="8">
        <f t="shared" si="121"/>
        <v>296.64</v>
      </c>
      <c r="F1341" s="8">
        <f t="shared" si="122"/>
        <v>247.20000000000002</v>
      </c>
      <c r="G1341" s="8">
        <f t="shared" si="123"/>
        <v>2966.4</v>
      </c>
      <c r="H1341" s="8">
        <f t="shared" si="124"/>
        <v>543.84</v>
      </c>
      <c r="I1341" s="10">
        <f t="shared" si="125"/>
        <v>2422.56</v>
      </c>
    </row>
    <row r="1342" spans="1:9" x14ac:dyDescent="0.25">
      <c r="A1342" s="6">
        <v>1880</v>
      </c>
      <c r="B1342" s="5" t="str">
        <f>VLOOKUP(A1342, EmployeeMaster!$A:$D, 3, FALSE)</f>
        <v>Sales</v>
      </c>
      <c r="C1342" s="8">
        <v>5673</v>
      </c>
      <c r="D1342" s="8">
        <f t="shared" si="120"/>
        <v>1134.6000000000001</v>
      </c>
      <c r="E1342" s="8">
        <f t="shared" si="121"/>
        <v>680.76</v>
      </c>
      <c r="F1342" s="8">
        <f t="shared" si="122"/>
        <v>567.30000000000007</v>
      </c>
      <c r="G1342" s="8">
        <f t="shared" si="123"/>
        <v>6807.6</v>
      </c>
      <c r="H1342" s="8">
        <f t="shared" si="124"/>
        <v>1248.06</v>
      </c>
      <c r="I1342" s="10">
        <f t="shared" si="125"/>
        <v>5559.5400000000009</v>
      </c>
    </row>
    <row r="1343" spans="1:9" x14ac:dyDescent="0.25">
      <c r="A1343" s="6">
        <v>1881</v>
      </c>
      <c r="B1343" s="5" t="str">
        <f>VLOOKUP(A1343, EmployeeMaster!$A:$D, 3, FALSE)</f>
        <v>Research &amp; Development</v>
      </c>
      <c r="C1343" s="8">
        <v>4197</v>
      </c>
      <c r="D1343" s="8">
        <f t="shared" si="120"/>
        <v>839.40000000000009</v>
      </c>
      <c r="E1343" s="8">
        <f t="shared" si="121"/>
        <v>503.64</v>
      </c>
      <c r="F1343" s="8">
        <f t="shared" si="122"/>
        <v>419.70000000000005</v>
      </c>
      <c r="G1343" s="8">
        <f t="shared" si="123"/>
        <v>5036.3999999999996</v>
      </c>
      <c r="H1343" s="8">
        <f t="shared" si="124"/>
        <v>923.34</v>
      </c>
      <c r="I1343" s="10">
        <f t="shared" si="125"/>
        <v>4113.0599999999995</v>
      </c>
    </row>
    <row r="1344" spans="1:9" x14ac:dyDescent="0.25">
      <c r="A1344" s="6">
        <v>1882</v>
      </c>
      <c r="B1344" s="5" t="str">
        <f>VLOOKUP(A1344, EmployeeMaster!$A:$D, 3, FALSE)</f>
        <v>Sales</v>
      </c>
      <c r="C1344" s="8">
        <v>9713</v>
      </c>
      <c r="D1344" s="8">
        <f t="shared" si="120"/>
        <v>1942.6000000000001</v>
      </c>
      <c r="E1344" s="8">
        <f t="shared" si="121"/>
        <v>1165.56</v>
      </c>
      <c r="F1344" s="8">
        <f t="shared" si="122"/>
        <v>971.30000000000007</v>
      </c>
      <c r="G1344" s="8">
        <f t="shared" si="123"/>
        <v>11655.6</v>
      </c>
      <c r="H1344" s="8">
        <f t="shared" si="124"/>
        <v>2136.86</v>
      </c>
      <c r="I1344" s="10">
        <f t="shared" si="125"/>
        <v>9518.74</v>
      </c>
    </row>
    <row r="1345" spans="1:9" x14ac:dyDescent="0.25">
      <c r="A1345" s="6">
        <v>1883</v>
      </c>
      <c r="B1345" s="5" t="str">
        <f>VLOOKUP(A1345, EmployeeMaster!$A:$D, 3, FALSE)</f>
        <v>Research &amp; Development</v>
      </c>
      <c r="C1345" s="8">
        <v>2062</v>
      </c>
      <c r="D1345" s="8">
        <f t="shared" si="120"/>
        <v>412.40000000000003</v>
      </c>
      <c r="E1345" s="8">
        <f t="shared" si="121"/>
        <v>247.44</v>
      </c>
      <c r="F1345" s="8">
        <f t="shared" si="122"/>
        <v>206.20000000000002</v>
      </c>
      <c r="G1345" s="8">
        <f t="shared" si="123"/>
        <v>2474.4</v>
      </c>
      <c r="H1345" s="8">
        <f t="shared" si="124"/>
        <v>453.64</v>
      </c>
      <c r="I1345" s="10">
        <f t="shared" si="125"/>
        <v>2020.7600000000002</v>
      </c>
    </row>
    <row r="1346" spans="1:9" x14ac:dyDescent="0.25">
      <c r="A1346" s="6">
        <v>1885</v>
      </c>
      <c r="B1346" s="5" t="str">
        <f>VLOOKUP(A1346, EmployeeMaster!$A:$D, 3, FALSE)</f>
        <v>Research &amp; Development</v>
      </c>
      <c r="C1346" s="8">
        <v>4284</v>
      </c>
      <c r="D1346" s="8">
        <f t="shared" si="120"/>
        <v>856.80000000000007</v>
      </c>
      <c r="E1346" s="8">
        <f t="shared" si="121"/>
        <v>514.07999999999993</v>
      </c>
      <c r="F1346" s="8">
        <f t="shared" si="122"/>
        <v>428.40000000000003</v>
      </c>
      <c r="G1346" s="8">
        <f t="shared" si="123"/>
        <v>5140.8</v>
      </c>
      <c r="H1346" s="8">
        <f t="shared" si="124"/>
        <v>942.48</v>
      </c>
      <c r="I1346" s="10">
        <f t="shared" si="125"/>
        <v>4198.32</v>
      </c>
    </row>
    <row r="1347" spans="1:9" x14ac:dyDescent="0.25">
      <c r="A1347" s="6">
        <v>1886</v>
      </c>
      <c r="B1347" s="5" t="str">
        <f>VLOOKUP(A1347, EmployeeMaster!$A:$D, 3, FALSE)</f>
        <v>Research &amp; Development</v>
      </c>
      <c r="C1347" s="8">
        <v>4788</v>
      </c>
      <c r="D1347" s="8">
        <f t="shared" ref="D1347:D1410" si="126">C1347*20%</f>
        <v>957.6</v>
      </c>
      <c r="E1347" s="8">
        <f t="shared" ref="E1347:E1410" si="127">C1347*12%</f>
        <v>574.55999999999995</v>
      </c>
      <c r="F1347" s="8">
        <f t="shared" ref="F1347:F1410" si="128">C1347*10%</f>
        <v>478.8</v>
      </c>
      <c r="G1347" s="8">
        <f t="shared" ref="G1347:G1410" si="129">C1347+D1347</f>
        <v>5745.6</v>
      </c>
      <c r="H1347" s="8">
        <f t="shared" ref="H1347:H1410" si="130">E1347+F1347</f>
        <v>1053.3599999999999</v>
      </c>
      <c r="I1347" s="10">
        <f t="shared" ref="I1347:I1410" si="131">G1347-H1347</f>
        <v>4692.2400000000007</v>
      </c>
    </row>
    <row r="1348" spans="1:9" x14ac:dyDescent="0.25">
      <c r="A1348" s="6">
        <v>1888</v>
      </c>
      <c r="B1348" s="5" t="str">
        <f>VLOOKUP(A1348, EmployeeMaster!$A:$D, 3, FALSE)</f>
        <v>Research &amp; Development</v>
      </c>
      <c r="C1348" s="8">
        <v>5906</v>
      </c>
      <c r="D1348" s="8">
        <f t="shared" si="126"/>
        <v>1181.2</v>
      </c>
      <c r="E1348" s="8">
        <f t="shared" si="127"/>
        <v>708.72</v>
      </c>
      <c r="F1348" s="8">
        <f t="shared" si="128"/>
        <v>590.6</v>
      </c>
      <c r="G1348" s="8">
        <f t="shared" si="129"/>
        <v>7087.2</v>
      </c>
      <c r="H1348" s="8">
        <f t="shared" si="130"/>
        <v>1299.3200000000002</v>
      </c>
      <c r="I1348" s="10">
        <f t="shared" si="131"/>
        <v>5787.8799999999992</v>
      </c>
    </row>
    <row r="1349" spans="1:9" x14ac:dyDescent="0.25">
      <c r="A1349" s="6">
        <v>1890</v>
      </c>
      <c r="B1349" s="5" t="str">
        <f>VLOOKUP(A1349, EmployeeMaster!$A:$D, 3, FALSE)</f>
        <v>Human Resources</v>
      </c>
      <c r="C1349" s="8">
        <v>3886</v>
      </c>
      <c r="D1349" s="8">
        <f t="shared" si="126"/>
        <v>777.2</v>
      </c>
      <c r="E1349" s="8">
        <f t="shared" si="127"/>
        <v>466.32</v>
      </c>
      <c r="F1349" s="8">
        <f t="shared" si="128"/>
        <v>388.6</v>
      </c>
      <c r="G1349" s="8">
        <f t="shared" si="129"/>
        <v>4663.2</v>
      </c>
      <c r="H1349" s="8">
        <f t="shared" si="130"/>
        <v>854.92000000000007</v>
      </c>
      <c r="I1349" s="10">
        <f t="shared" si="131"/>
        <v>3808.2799999999997</v>
      </c>
    </row>
    <row r="1350" spans="1:9" x14ac:dyDescent="0.25">
      <c r="A1350" s="6">
        <v>1892</v>
      </c>
      <c r="B1350" s="5" t="str">
        <f>VLOOKUP(A1350, EmployeeMaster!$A:$D, 3, FALSE)</f>
        <v>Research &amp; Development</v>
      </c>
      <c r="C1350" s="8">
        <v>16823</v>
      </c>
      <c r="D1350" s="8">
        <f t="shared" si="126"/>
        <v>3364.6000000000004</v>
      </c>
      <c r="E1350" s="8">
        <f t="shared" si="127"/>
        <v>2018.76</v>
      </c>
      <c r="F1350" s="8">
        <f t="shared" si="128"/>
        <v>1682.3000000000002</v>
      </c>
      <c r="G1350" s="8">
        <f t="shared" si="129"/>
        <v>20187.599999999999</v>
      </c>
      <c r="H1350" s="8">
        <f t="shared" si="130"/>
        <v>3701.0600000000004</v>
      </c>
      <c r="I1350" s="10">
        <f t="shared" si="131"/>
        <v>16486.539999999997</v>
      </c>
    </row>
    <row r="1351" spans="1:9" x14ac:dyDescent="0.25">
      <c r="A1351" s="6">
        <v>1893</v>
      </c>
      <c r="B1351" s="5" t="str">
        <f>VLOOKUP(A1351, EmployeeMaster!$A:$D, 3, FALSE)</f>
        <v>Research &amp; Development</v>
      </c>
      <c r="C1351" s="8">
        <v>2933</v>
      </c>
      <c r="D1351" s="8">
        <f t="shared" si="126"/>
        <v>586.6</v>
      </c>
      <c r="E1351" s="8">
        <f t="shared" si="127"/>
        <v>351.96</v>
      </c>
      <c r="F1351" s="8">
        <f t="shared" si="128"/>
        <v>293.3</v>
      </c>
      <c r="G1351" s="8">
        <f t="shared" si="129"/>
        <v>3519.6</v>
      </c>
      <c r="H1351" s="8">
        <f t="shared" si="130"/>
        <v>645.26</v>
      </c>
      <c r="I1351" s="10">
        <f t="shared" si="131"/>
        <v>2874.34</v>
      </c>
    </row>
    <row r="1352" spans="1:9" x14ac:dyDescent="0.25">
      <c r="A1352" s="6">
        <v>1898</v>
      </c>
      <c r="B1352" s="5" t="str">
        <f>VLOOKUP(A1352, EmployeeMaster!$A:$D, 3, FALSE)</f>
        <v>Sales</v>
      </c>
      <c r="C1352" s="8">
        <v>6500</v>
      </c>
      <c r="D1352" s="8">
        <f t="shared" si="126"/>
        <v>1300</v>
      </c>
      <c r="E1352" s="8">
        <f t="shared" si="127"/>
        <v>780</v>
      </c>
      <c r="F1352" s="8">
        <f t="shared" si="128"/>
        <v>650</v>
      </c>
      <c r="G1352" s="8">
        <f t="shared" si="129"/>
        <v>7800</v>
      </c>
      <c r="H1352" s="8">
        <f t="shared" si="130"/>
        <v>1430</v>
      </c>
      <c r="I1352" s="10">
        <f t="shared" si="131"/>
        <v>6370</v>
      </c>
    </row>
    <row r="1353" spans="1:9" x14ac:dyDescent="0.25">
      <c r="A1353" s="6">
        <v>1900</v>
      </c>
      <c r="B1353" s="5" t="str">
        <f>VLOOKUP(A1353, EmployeeMaster!$A:$D, 3, FALSE)</f>
        <v>Research &amp; Development</v>
      </c>
      <c r="C1353" s="8">
        <v>17174</v>
      </c>
      <c r="D1353" s="8">
        <f t="shared" si="126"/>
        <v>3434.8</v>
      </c>
      <c r="E1353" s="8">
        <f t="shared" si="127"/>
        <v>2060.88</v>
      </c>
      <c r="F1353" s="8">
        <f t="shared" si="128"/>
        <v>1717.4</v>
      </c>
      <c r="G1353" s="8">
        <f t="shared" si="129"/>
        <v>20608.8</v>
      </c>
      <c r="H1353" s="8">
        <f t="shared" si="130"/>
        <v>3778.28</v>
      </c>
      <c r="I1353" s="10">
        <f t="shared" si="131"/>
        <v>16830.52</v>
      </c>
    </row>
    <row r="1354" spans="1:9" x14ac:dyDescent="0.25">
      <c r="A1354" s="6">
        <v>1903</v>
      </c>
      <c r="B1354" s="5" t="str">
        <f>VLOOKUP(A1354, EmployeeMaster!$A:$D, 3, FALSE)</f>
        <v>Research &amp; Development</v>
      </c>
      <c r="C1354" s="8">
        <v>5033</v>
      </c>
      <c r="D1354" s="8">
        <f t="shared" si="126"/>
        <v>1006.6</v>
      </c>
      <c r="E1354" s="8">
        <f t="shared" si="127"/>
        <v>603.95999999999992</v>
      </c>
      <c r="F1354" s="8">
        <f t="shared" si="128"/>
        <v>503.3</v>
      </c>
      <c r="G1354" s="8">
        <f t="shared" si="129"/>
        <v>6039.6</v>
      </c>
      <c r="H1354" s="8">
        <f t="shared" si="130"/>
        <v>1107.26</v>
      </c>
      <c r="I1354" s="10">
        <f t="shared" si="131"/>
        <v>4932.34</v>
      </c>
    </row>
    <row r="1355" spans="1:9" x14ac:dyDescent="0.25">
      <c r="A1355" s="6">
        <v>1905</v>
      </c>
      <c r="B1355" s="5" t="str">
        <f>VLOOKUP(A1355, EmployeeMaster!$A:$D, 3, FALSE)</f>
        <v>Research &amp; Development</v>
      </c>
      <c r="C1355" s="8">
        <v>2307</v>
      </c>
      <c r="D1355" s="8">
        <f t="shared" si="126"/>
        <v>461.40000000000003</v>
      </c>
      <c r="E1355" s="8">
        <f t="shared" si="127"/>
        <v>276.83999999999997</v>
      </c>
      <c r="F1355" s="8">
        <f t="shared" si="128"/>
        <v>230.70000000000002</v>
      </c>
      <c r="G1355" s="8">
        <f t="shared" si="129"/>
        <v>2768.4</v>
      </c>
      <c r="H1355" s="8">
        <f t="shared" si="130"/>
        <v>507.53999999999996</v>
      </c>
      <c r="I1355" s="10">
        <f t="shared" si="131"/>
        <v>2260.86</v>
      </c>
    </row>
    <row r="1356" spans="1:9" x14ac:dyDescent="0.25">
      <c r="A1356" s="6">
        <v>1907</v>
      </c>
      <c r="B1356" s="5" t="str">
        <f>VLOOKUP(A1356, EmployeeMaster!$A:$D, 3, FALSE)</f>
        <v>Research &amp; Development</v>
      </c>
      <c r="C1356" s="8">
        <v>2587</v>
      </c>
      <c r="D1356" s="8">
        <f t="shared" si="126"/>
        <v>517.4</v>
      </c>
      <c r="E1356" s="8">
        <f t="shared" si="127"/>
        <v>310.44</v>
      </c>
      <c r="F1356" s="8">
        <f t="shared" si="128"/>
        <v>258.7</v>
      </c>
      <c r="G1356" s="8">
        <f t="shared" si="129"/>
        <v>3104.4</v>
      </c>
      <c r="H1356" s="8">
        <f t="shared" si="130"/>
        <v>569.14</v>
      </c>
      <c r="I1356" s="10">
        <f t="shared" si="131"/>
        <v>2535.2600000000002</v>
      </c>
    </row>
    <row r="1357" spans="1:9" x14ac:dyDescent="0.25">
      <c r="A1357" s="6">
        <v>1908</v>
      </c>
      <c r="B1357" s="5" t="str">
        <f>VLOOKUP(A1357, EmployeeMaster!$A:$D, 3, FALSE)</f>
        <v>Sales</v>
      </c>
      <c r="C1357" s="8">
        <v>5507</v>
      </c>
      <c r="D1357" s="8">
        <f t="shared" si="126"/>
        <v>1101.4000000000001</v>
      </c>
      <c r="E1357" s="8">
        <f t="shared" si="127"/>
        <v>660.84</v>
      </c>
      <c r="F1357" s="8">
        <f t="shared" si="128"/>
        <v>550.70000000000005</v>
      </c>
      <c r="G1357" s="8">
        <f t="shared" si="129"/>
        <v>6608.4</v>
      </c>
      <c r="H1357" s="8">
        <f t="shared" si="130"/>
        <v>1211.54</v>
      </c>
      <c r="I1357" s="10">
        <f t="shared" si="131"/>
        <v>5396.86</v>
      </c>
    </row>
    <row r="1358" spans="1:9" x14ac:dyDescent="0.25">
      <c r="A1358" s="6">
        <v>1909</v>
      </c>
      <c r="B1358" s="5" t="str">
        <f>VLOOKUP(A1358, EmployeeMaster!$A:$D, 3, FALSE)</f>
        <v>Sales</v>
      </c>
      <c r="C1358" s="8">
        <v>4393</v>
      </c>
      <c r="D1358" s="8">
        <f t="shared" si="126"/>
        <v>878.6</v>
      </c>
      <c r="E1358" s="8">
        <f t="shared" si="127"/>
        <v>527.16</v>
      </c>
      <c r="F1358" s="8">
        <f t="shared" si="128"/>
        <v>439.3</v>
      </c>
      <c r="G1358" s="8">
        <f t="shared" si="129"/>
        <v>5271.6</v>
      </c>
      <c r="H1358" s="8">
        <f t="shared" si="130"/>
        <v>966.46</v>
      </c>
      <c r="I1358" s="10">
        <f t="shared" si="131"/>
        <v>4305.1400000000003</v>
      </c>
    </row>
    <row r="1359" spans="1:9" x14ac:dyDescent="0.25">
      <c r="A1359" s="6">
        <v>1911</v>
      </c>
      <c r="B1359" s="5" t="str">
        <f>VLOOKUP(A1359, EmployeeMaster!$A:$D, 3, FALSE)</f>
        <v>Research &amp; Development</v>
      </c>
      <c r="C1359" s="8">
        <v>13348</v>
      </c>
      <c r="D1359" s="8">
        <f t="shared" si="126"/>
        <v>2669.6000000000004</v>
      </c>
      <c r="E1359" s="8">
        <f t="shared" si="127"/>
        <v>1601.76</v>
      </c>
      <c r="F1359" s="8">
        <f t="shared" si="128"/>
        <v>1334.8000000000002</v>
      </c>
      <c r="G1359" s="8">
        <f t="shared" si="129"/>
        <v>16017.6</v>
      </c>
      <c r="H1359" s="8">
        <f t="shared" si="130"/>
        <v>2936.5600000000004</v>
      </c>
      <c r="I1359" s="10">
        <f t="shared" si="131"/>
        <v>13081.04</v>
      </c>
    </row>
    <row r="1360" spans="1:9" x14ac:dyDescent="0.25">
      <c r="A1360" s="6">
        <v>1912</v>
      </c>
      <c r="B1360" s="5" t="str">
        <f>VLOOKUP(A1360, EmployeeMaster!$A:$D, 3, FALSE)</f>
        <v>Sales</v>
      </c>
      <c r="C1360" s="8">
        <v>6583</v>
      </c>
      <c r="D1360" s="8">
        <f t="shared" si="126"/>
        <v>1316.6000000000001</v>
      </c>
      <c r="E1360" s="8">
        <f t="shared" si="127"/>
        <v>789.95999999999992</v>
      </c>
      <c r="F1360" s="8">
        <f t="shared" si="128"/>
        <v>658.30000000000007</v>
      </c>
      <c r="G1360" s="8">
        <f t="shared" si="129"/>
        <v>7899.6</v>
      </c>
      <c r="H1360" s="8">
        <f t="shared" si="130"/>
        <v>1448.26</v>
      </c>
      <c r="I1360" s="10">
        <f t="shared" si="131"/>
        <v>6451.34</v>
      </c>
    </row>
    <row r="1361" spans="1:9" x14ac:dyDescent="0.25">
      <c r="A1361" s="6">
        <v>1915</v>
      </c>
      <c r="B1361" s="5" t="str">
        <f>VLOOKUP(A1361, EmployeeMaster!$A:$D, 3, FALSE)</f>
        <v>Sales</v>
      </c>
      <c r="C1361" s="8">
        <v>8103</v>
      </c>
      <c r="D1361" s="8">
        <f t="shared" si="126"/>
        <v>1620.6000000000001</v>
      </c>
      <c r="E1361" s="8">
        <f t="shared" si="127"/>
        <v>972.36</v>
      </c>
      <c r="F1361" s="8">
        <f t="shared" si="128"/>
        <v>810.30000000000007</v>
      </c>
      <c r="G1361" s="8">
        <f t="shared" si="129"/>
        <v>9723.6</v>
      </c>
      <c r="H1361" s="8">
        <f t="shared" si="130"/>
        <v>1782.66</v>
      </c>
      <c r="I1361" s="10">
        <f t="shared" si="131"/>
        <v>7940.9400000000005</v>
      </c>
    </row>
    <row r="1362" spans="1:9" x14ac:dyDescent="0.25">
      <c r="A1362" s="6">
        <v>1916</v>
      </c>
      <c r="B1362" s="5" t="str">
        <f>VLOOKUP(A1362, EmployeeMaster!$A:$D, 3, FALSE)</f>
        <v>Research &amp; Development</v>
      </c>
      <c r="C1362" s="8">
        <v>3978</v>
      </c>
      <c r="D1362" s="8">
        <f t="shared" si="126"/>
        <v>795.6</v>
      </c>
      <c r="E1362" s="8">
        <f t="shared" si="127"/>
        <v>477.35999999999996</v>
      </c>
      <c r="F1362" s="8">
        <f t="shared" si="128"/>
        <v>397.8</v>
      </c>
      <c r="G1362" s="8">
        <f t="shared" si="129"/>
        <v>4773.6000000000004</v>
      </c>
      <c r="H1362" s="8">
        <f t="shared" si="130"/>
        <v>875.16</v>
      </c>
      <c r="I1362" s="10">
        <f t="shared" si="131"/>
        <v>3898.4400000000005</v>
      </c>
    </row>
    <row r="1363" spans="1:9" x14ac:dyDescent="0.25">
      <c r="A1363" s="6">
        <v>1918</v>
      </c>
      <c r="B1363" s="5" t="str">
        <f>VLOOKUP(A1363, EmployeeMaster!$A:$D, 3, FALSE)</f>
        <v>Research &amp; Development</v>
      </c>
      <c r="C1363" s="8">
        <v>2544</v>
      </c>
      <c r="D1363" s="8">
        <f t="shared" si="126"/>
        <v>508.8</v>
      </c>
      <c r="E1363" s="8">
        <f t="shared" si="127"/>
        <v>305.27999999999997</v>
      </c>
      <c r="F1363" s="8">
        <f t="shared" si="128"/>
        <v>254.4</v>
      </c>
      <c r="G1363" s="8">
        <f t="shared" si="129"/>
        <v>3052.8</v>
      </c>
      <c r="H1363" s="8">
        <f t="shared" si="130"/>
        <v>559.67999999999995</v>
      </c>
      <c r="I1363" s="10">
        <f t="shared" si="131"/>
        <v>2493.1200000000003</v>
      </c>
    </row>
    <row r="1364" spans="1:9" x14ac:dyDescent="0.25">
      <c r="A1364" s="6">
        <v>1922</v>
      </c>
      <c r="B1364" s="5" t="str">
        <f>VLOOKUP(A1364, EmployeeMaster!$A:$D, 3, FALSE)</f>
        <v>Research &amp; Development</v>
      </c>
      <c r="C1364" s="8">
        <v>5399</v>
      </c>
      <c r="D1364" s="8">
        <f t="shared" si="126"/>
        <v>1079.8</v>
      </c>
      <c r="E1364" s="8">
        <f t="shared" si="127"/>
        <v>647.88</v>
      </c>
      <c r="F1364" s="8">
        <f t="shared" si="128"/>
        <v>539.9</v>
      </c>
      <c r="G1364" s="8">
        <f t="shared" si="129"/>
        <v>6478.8</v>
      </c>
      <c r="H1364" s="8">
        <f t="shared" si="130"/>
        <v>1187.78</v>
      </c>
      <c r="I1364" s="10">
        <f t="shared" si="131"/>
        <v>5291.02</v>
      </c>
    </row>
    <row r="1365" spans="1:9" x14ac:dyDescent="0.25">
      <c r="A1365" s="6">
        <v>1924</v>
      </c>
      <c r="B1365" s="5" t="str">
        <f>VLOOKUP(A1365, EmployeeMaster!$A:$D, 3, FALSE)</f>
        <v>Sales</v>
      </c>
      <c r="C1365" s="8">
        <v>5487</v>
      </c>
      <c r="D1365" s="8">
        <f t="shared" si="126"/>
        <v>1097.4000000000001</v>
      </c>
      <c r="E1365" s="8">
        <f t="shared" si="127"/>
        <v>658.43999999999994</v>
      </c>
      <c r="F1365" s="8">
        <f t="shared" si="128"/>
        <v>548.70000000000005</v>
      </c>
      <c r="G1365" s="8">
        <f t="shared" si="129"/>
        <v>6584.4</v>
      </c>
      <c r="H1365" s="8">
        <f t="shared" si="130"/>
        <v>1207.1399999999999</v>
      </c>
      <c r="I1365" s="10">
        <f t="shared" si="131"/>
        <v>5377.26</v>
      </c>
    </row>
    <row r="1366" spans="1:9" x14ac:dyDescent="0.25">
      <c r="A1366" s="6">
        <v>1927</v>
      </c>
      <c r="B1366" s="5" t="str">
        <f>VLOOKUP(A1366, EmployeeMaster!$A:$D, 3, FALSE)</f>
        <v>Sales</v>
      </c>
      <c r="C1366" s="8">
        <v>6834</v>
      </c>
      <c r="D1366" s="8">
        <f t="shared" si="126"/>
        <v>1366.8000000000002</v>
      </c>
      <c r="E1366" s="8">
        <f t="shared" si="127"/>
        <v>820.07999999999993</v>
      </c>
      <c r="F1366" s="8">
        <f t="shared" si="128"/>
        <v>683.40000000000009</v>
      </c>
      <c r="G1366" s="8">
        <f t="shared" si="129"/>
        <v>8200.7999999999993</v>
      </c>
      <c r="H1366" s="8">
        <f t="shared" si="130"/>
        <v>1503.48</v>
      </c>
      <c r="I1366" s="10">
        <f t="shared" si="131"/>
        <v>6697.32</v>
      </c>
    </row>
    <row r="1367" spans="1:9" x14ac:dyDescent="0.25">
      <c r="A1367" s="6">
        <v>1928</v>
      </c>
      <c r="B1367" s="5" t="str">
        <f>VLOOKUP(A1367, EmployeeMaster!$A:$D, 3, FALSE)</f>
        <v>Sales</v>
      </c>
      <c r="C1367" s="8">
        <v>1091</v>
      </c>
      <c r="D1367" s="8">
        <f t="shared" si="126"/>
        <v>218.20000000000002</v>
      </c>
      <c r="E1367" s="8">
        <f t="shared" si="127"/>
        <v>130.91999999999999</v>
      </c>
      <c r="F1367" s="8">
        <f t="shared" si="128"/>
        <v>109.10000000000001</v>
      </c>
      <c r="G1367" s="8">
        <f t="shared" si="129"/>
        <v>1309.2</v>
      </c>
      <c r="H1367" s="8">
        <f t="shared" si="130"/>
        <v>240.01999999999998</v>
      </c>
      <c r="I1367" s="10">
        <f t="shared" si="131"/>
        <v>1069.18</v>
      </c>
    </row>
    <row r="1368" spans="1:9" x14ac:dyDescent="0.25">
      <c r="A1368" s="6">
        <v>1929</v>
      </c>
      <c r="B1368" s="5" t="str">
        <f>VLOOKUP(A1368, EmployeeMaster!$A:$D, 3, FALSE)</f>
        <v>Sales</v>
      </c>
      <c r="C1368" s="8">
        <v>5736</v>
      </c>
      <c r="D1368" s="8">
        <f t="shared" si="126"/>
        <v>1147.2</v>
      </c>
      <c r="E1368" s="8">
        <f t="shared" si="127"/>
        <v>688.31999999999994</v>
      </c>
      <c r="F1368" s="8">
        <f t="shared" si="128"/>
        <v>573.6</v>
      </c>
      <c r="G1368" s="8">
        <f t="shared" si="129"/>
        <v>6883.2</v>
      </c>
      <c r="H1368" s="8">
        <f t="shared" si="130"/>
        <v>1261.92</v>
      </c>
      <c r="I1368" s="10">
        <f t="shared" si="131"/>
        <v>5621.28</v>
      </c>
    </row>
    <row r="1369" spans="1:9" x14ac:dyDescent="0.25">
      <c r="A1369" s="6">
        <v>1931</v>
      </c>
      <c r="B1369" s="5" t="str">
        <f>VLOOKUP(A1369, EmployeeMaster!$A:$D, 3, FALSE)</f>
        <v>Research &amp; Development</v>
      </c>
      <c r="C1369" s="8">
        <v>2226</v>
      </c>
      <c r="D1369" s="8">
        <f t="shared" si="126"/>
        <v>445.20000000000005</v>
      </c>
      <c r="E1369" s="8">
        <f t="shared" si="127"/>
        <v>267.12</v>
      </c>
      <c r="F1369" s="8">
        <f t="shared" si="128"/>
        <v>222.60000000000002</v>
      </c>
      <c r="G1369" s="8">
        <f t="shared" si="129"/>
        <v>2671.2</v>
      </c>
      <c r="H1369" s="8">
        <f t="shared" si="130"/>
        <v>489.72</v>
      </c>
      <c r="I1369" s="10">
        <f t="shared" si="131"/>
        <v>2181.4799999999996</v>
      </c>
    </row>
    <row r="1370" spans="1:9" x14ac:dyDescent="0.25">
      <c r="A1370" s="6">
        <v>1932</v>
      </c>
      <c r="B1370" s="5" t="str">
        <f>VLOOKUP(A1370, EmployeeMaster!$A:$D, 3, FALSE)</f>
        <v>Research &amp; Development</v>
      </c>
      <c r="C1370" s="8">
        <v>5747</v>
      </c>
      <c r="D1370" s="8">
        <f t="shared" si="126"/>
        <v>1149.4000000000001</v>
      </c>
      <c r="E1370" s="8">
        <f t="shared" si="127"/>
        <v>689.64</v>
      </c>
      <c r="F1370" s="8">
        <f t="shared" si="128"/>
        <v>574.70000000000005</v>
      </c>
      <c r="G1370" s="8">
        <f t="shared" si="129"/>
        <v>6896.4</v>
      </c>
      <c r="H1370" s="8">
        <f t="shared" si="130"/>
        <v>1264.3400000000001</v>
      </c>
      <c r="I1370" s="10">
        <f t="shared" si="131"/>
        <v>5632.0599999999995</v>
      </c>
    </row>
    <row r="1371" spans="1:9" x14ac:dyDescent="0.25">
      <c r="A1371" s="6">
        <v>1933</v>
      </c>
      <c r="B1371" s="5" t="str">
        <f>VLOOKUP(A1371, EmployeeMaster!$A:$D, 3, FALSE)</f>
        <v>Sales</v>
      </c>
      <c r="C1371" s="8">
        <v>9854</v>
      </c>
      <c r="D1371" s="8">
        <f t="shared" si="126"/>
        <v>1970.8000000000002</v>
      </c>
      <c r="E1371" s="8">
        <f t="shared" si="127"/>
        <v>1182.48</v>
      </c>
      <c r="F1371" s="8">
        <f t="shared" si="128"/>
        <v>985.40000000000009</v>
      </c>
      <c r="G1371" s="8">
        <f t="shared" si="129"/>
        <v>11824.8</v>
      </c>
      <c r="H1371" s="8">
        <f t="shared" si="130"/>
        <v>2167.88</v>
      </c>
      <c r="I1371" s="10">
        <f t="shared" si="131"/>
        <v>9656.9199999999983</v>
      </c>
    </row>
    <row r="1372" spans="1:9" x14ac:dyDescent="0.25">
      <c r="A1372" s="6">
        <v>1934</v>
      </c>
      <c r="B1372" s="5" t="str">
        <f>VLOOKUP(A1372, EmployeeMaster!$A:$D, 3, FALSE)</f>
        <v>Research &amp; Development</v>
      </c>
      <c r="C1372" s="8">
        <v>5467</v>
      </c>
      <c r="D1372" s="8">
        <f t="shared" si="126"/>
        <v>1093.4000000000001</v>
      </c>
      <c r="E1372" s="8">
        <f t="shared" si="127"/>
        <v>656.04</v>
      </c>
      <c r="F1372" s="8">
        <f t="shared" si="128"/>
        <v>546.70000000000005</v>
      </c>
      <c r="G1372" s="8">
        <f t="shared" si="129"/>
        <v>6560.4</v>
      </c>
      <c r="H1372" s="8">
        <f t="shared" si="130"/>
        <v>1202.74</v>
      </c>
      <c r="I1372" s="10">
        <f t="shared" si="131"/>
        <v>5357.66</v>
      </c>
    </row>
    <row r="1373" spans="1:9" x14ac:dyDescent="0.25">
      <c r="A1373" s="6">
        <v>1935</v>
      </c>
      <c r="B1373" s="5" t="str">
        <f>VLOOKUP(A1373, EmployeeMaster!$A:$D, 3, FALSE)</f>
        <v>Sales</v>
      </c>
      <c r="C1373" s="8">
        <v>5380</v>
      </c>
      <c r="D1373" s="8">
        <f t="shared" si="126"/>
        <v>1076</v>
      </c>
      <c r="E1373" s="8">
        <f t="shared" si="127"/>
        <v>645.6</v>
      </c>
      <c r="F1373" s="8">
        <f t="shared" si="128"/>
        <v>538</v>
      </c>
      <c r="G1373" s="8">
        <f t="shared" si="129"/>
        <v>6456</v>
      </c>
      <c r="H1373" s="8">
        <f t="shared" si="130"/>
        <v>1183.5999999999999</v>
      </c>
      <c r="I1373" s="10">
        <f t="shared" si="131"/>
        <v>5272.4</v>
      </c>
    </row>
    <row r="1374" spans="1:9" x14ac:dyDescent="0.25">
      <c r="A1374" s="6">
        <v>1936</v>
      </c>
      <c r="B1374" s="5" t="str">
        <f>VLOOKUP(A1374, EmployeeMaster!$A:$D, 3, FALSE)</f>
        <v>Research &amp; Development</v>
      </c>
      <c r="C1374" s="8">
        <v>5151</v>
      </c>
      <c r="D1374" s="8">
        <f t="shared" si="126"/>
        <v>1030.2</v>
      </c>
      <c r="E1374" s="8">
        <f t="shared" si="127"/>
        <v>618.12</v>
      </c>
      <c r="F1374" s="8">
        <f t="shared" si="128"/>
        <v>515.1</v>
      </c>
      <c r="G1374" s="8">
        <f t="shared" si="129"/>
        <v>6181.2</v>
      </c>
      <c r="H1374" s="8">
        <f t="shared" si="130"/>
        <v>1133.22</v>
      </c>
      <c r="I1374" s="10">
        <f t="shared" si="131"/>
        <v>5047.9799999999996</v>
      </c>
    </row>
    <row r="1375" spans="1:9" x14ac:dyDescent="0.25">
      <c r="A1375" s="6">
        <v>1937</v>
      </c>
      <c r="B1375" s="5" t="str">
        <f>VLOOKUP(A1375, EmployeeMaster!$A:$D, 3, FALSE)</f>
        <v>Research &amp; Development</v>
      </c>
      <c r="C1375" s="8">
        <v>2133</v>
      </c>
      <c r="D1375" s="8">
        <f t="shared" si="126"/>
        <v>426.6</v>
      </c>
      <c r="E1375" s="8">
        <f t="shared" si="127"/>
        <v>255.95999999999998</v>
      </c>
      <c r="F1375" s="8">
        <f t="shared" si="128"/>
        <v>213.3</v>
      </c>
      <c r="G1375" s="8">
        <f t="shared" si="129"/>
        <v>2559.6</v>
      </c>
      <c r="H1375" s="8">
        <f t="shared" si="130"/>
        <v>469.26</v>
      </c>
      <c r="I1375" s="10">
        <f t="shared" si="131"/>
        <v>2090.34</v>
      </c>
    </row>
    <row r="1376" spans="1:9" x14ac:dyDescent="0.25">
      <c r="A1376" s="6">
        <v>1938</v>
      </c>
      <c r="B1376" s="5" t="str">
        <f>VLOOKUP(A1376, EmployeeMaster!$A:$D, 3, FALSE)</f>
        <v>Sales</v>
      </c>
      <c r="C1376" s="8">
        <v>17875</v>
      </c>
      <c r="D1376" s="8">
        <f t="shared" si="126"/>
        <v>3575</v>
      </c>
      <c r="E1376" s="8">
        <f t="shared" si="127"/>
        <v>2145</v>
      </c>
      <c r="F1376" s="8">
        <f t="shared" si="128"/>
        <v>1787.5</v>
      </c>
      <c r="G1376" s="8">
        <f t="shared" si="129"/>
        <v>21450</v>
      </c>
      <c r="H1376" s="8">
        <f t="shared" si="130"/>
        <v>3932.5</v>
      </c>
      <c r="I1376" s="10">
        <f t="shared" si="131"/>
        <v>17517.5</v>
      </c>
    </row>
    <row r="1377" spans="1:9" x14ac:dyDescent="0.25">
      <c r="A1377" s="6">
        <v>1939</v>
      </c>
      <c r="B1377" s="5" t="str">
        <f>VLOOKUP(A1377, EmployeeMaster!$A:$D, 3, FALSE)</f>
        <v>Research &amp; Development</v>
      </c>
      <c r="C1377" s="8">
        <v>2432</v>
      </c>
      <c r="D1377" s="8">
        <f t="shared" si="126"/>
        <v>486.40000000000003</v>
      </c>
      <c r="E1377" s="8">
        <f t="shared" si="127"/>
        <v>291.83999999999997</v>
      </c>
      <c r="F1377" s="8">
        <f t="shared" si="128"/>
        <v>243.20000000000002</v>
      </c>
      <c r="G1377" s="8">
        <f t="shared" si="129"/>
        <v>2918.4</v>
      </c>
      <c r="H1377" s="8">
        <f t="shared" si="130"/>
        <v>535.04</v>
      </c>
      <c r="I1377" s="10">
        <f t="shared" si="131"/>
        <v>2383.36</v>
      </c>
    </row>
    <row r="1378" spans="1:9" x14ac:dyDescent="0.25">
      <c r="A1378" s="6">
        <v>1940</v>
      </c>
      <c r="B1378" s="5" t="str">
        <f>VLOOKUP(A1378, EmployeeMaster!$A:$D, 3, FALSE)</f>
        <v>Research &amp; Development</v>
      </c>
      <c r="C1378" s="8">
        <v>4771</v>
      </c>
      <c r="D1378" s="8">
        <f t="shared" si="126"/>
        <v>954.2</v>
      </c>
      <c r="E1378" s="8">
        <f t="shared" si="127"/>
        <v>572.52</v>
      </c>
      <c r="F1378" s="8">
        <f t="shared" si="128"/>
        <v>477.1</v>
      </c>
      <c r="G1378" s="8">
        <f t="shared" si="129"/>
        <v>5725.2</v>
      </c>
      <c r="H1378" s="8">
        <f t="shared" si="130"/>
        <v>1049.6199999999999</v>
      </c>
      <c r="I1378" s="10">
        <f t="shared" si="131"/>
        <v>4675.58</v>
      </c>
    </row>
    <row r="1379" spans="1:9" x14ac:dyDescent="0.25">
      <c r="A1379" s="6">
        <v>1941</v>
      </c>
      <c r="B1379" s="5" t="str">
        <f>VLOOKUP(A1379, EmployeeMaster!$A:$D, 3, FALSE)</f>
        <v>Research &amp; Development</v>
      </c>
      <c r="C1379" s="8">
        <v>19161</v>
      </c>
      <c r="D1379" s="8">
        <f t="shared" si="126"/>
        <v>3832.2000000000003</v>
      </c>
      <c r="E1379" s="8">
        <f t="shared" si="127"/>
        <v>2299.3199999999997</v>
      </c>
      <c r="F1379" s="8">
        <f t="shared" si="128"/>
        <v>1916.1000000000001</v>
      </c>
      <c r="G1379" s="8">
        <f t="shared" si="129"/>
        <v>22993.200000000001</v>
      </c>
      <c r="H1379" s="8">
        <f t="shared" si="130"/>
        <v>4215.42</v>
      </c>
      <c r="I1379" s="10">
        <f t="shared" si="131"/>
        <v>18777.78</v>
      </c>
    </row>
    <row r="1380" spans="1:9" x14ac:dyDescent="0.25">
      <c r="A1380" s="6">
        <v>1943</v>
      </c>
      <c r="B1380" s="5" t="str">
        <f>VLOOKUP(A1380, EmployeeMaster!$A:$D, 3, FALSE)</f>
        <v>Sales</v>
      </c>
      <c r="C1380" s="8">
        <v>5087</v>
      </c>
      <c r="D1380" s="8">
        <f t="shared" si="126"/>
        <v>1017.4000000000001</v>
      </c>
      <c r="E1380" s="8">
        <f t="shared" si="127"/>
        <v>610.43999999999994</v>
      </c>
      <c r="F1380" s="8">
        <f t="shared" si="128"/>
        <v>508.70000000000005</v>
      </c>
      <c r="G1380" s="8">
        <f t="shared" si="129"/>
        <v>6104.4</v>
      </c>
      <c r="H1380" s="8">
        <f t="shared" si="130"/>
        <v>1119.1399999999999</v>
      </c>
      <c r="I1380" s="10">
        <f t="shared" si="131"/>
        <v>4985.26</v>
      </c>
    </row>
    <row r="1381" spans="1:9" x14ac:dyDescent="0.25">
      <c r="A1381" s="6">
        <v>1944</v>
      </c>
      <c r="B1381" s="5" t="str">
        <f>VLOOKUP(A1381, EmployeeMaster!$A:$D, 3, FALSE)</f>
        <v>Human Resources</v>
      </c>
      <c r="C1381" s="8">
        <v>2863</v>
      </c>
      <c r="D1381" s="8">
        <f t="shared" si="126"/>
        <v>572.6</v>
      </c>
      <c r="E1381" s="8">
        <f t="shared" si="127"/>
        <v>343.56</v>
      </c>
      <c r="F1381" s="8">
        <f t="shared" si="128"/>
        <v>286.3</v>
      </c>
      <c r="G1381" s="8">
        <f t="shared" si="129"/>
        <v>3435.6</v>
      </c>
      <c r="H1381" s="8">
        <f t="shared" si="130"/>
        <v>629.86</v>
      </c>
      <c r="I1381" s="10">
        <f t="shared" si="131"/>
        <v>2805.74</v>
      </c>
    </row>
    <row r="1382" spans="1:9" x14ac:dyDescent="0.25">
      <c r="A1382" s="6">
        <v>1945</v>
      </c>
      <c r="B1382" s="5" t="str">
        <f>VLOOKUP(A1382, EmployeeMaster!$A:$D, 3, FALSE)</f>
        <v>Sales</v>
      </c>
      <c r="C1382" s="8">
        <v>5561</v>
      </c>
      <c r="D1382" s="8">
        <f t="shared" si="126"/>
        <v>1112.2</v>
      </c>
      <c r="E1382" s="8">
        <f t="shared" si="127"/>
        <v>667.31999999999994</v>
      </c>
      <c r="F1382" s="8">
        <f t="shared" si="128"/>
        <v>556.1</v>
      </c>
      <c r="G1382" s="8">
        <f t="shared" si="129"/>
        <v>6673.2</v>
      </c>
      <c r="H1382" s="8">
        <f t="shared" si="130"/>
        <v>1223.42</v>
      </c>
      <c r="I1382" s="10">
        <f t="shared" si="131"/>
        <v>5449.78</v>
      </c>
    </row>
    <row r="1383" spans="1:9" x14ac:dyDescent="0.25">
      <c r="A1383" s="6">
        <v>1947</v>
      </c>
      <c r="B1383" s="5" t="str">
        <f>VLOOKUP(A1383, EmployeeMaster!$A:$D, 3, FALSE)</f>
        <v>Research &amp; Development</v>
      </c>
      <c r="C1383" s="8">
        <v>2144</v>
      </c>
      <c r="D1383" s="8">
        <f t="shared" si="126"/>
        <v>428.8</v>
      </c>
      <c r="E1383" s="8">
        <f t="shared" si="127"/>
        <v>257.27999999999997</v>
      </c>
      <c r="F1383" s="8">
        <f t="shared" si="128"/>
        <v>214.4</v>
      </c>
      <c r="G1383" s="8">
        <f t="shared" si="129"/>
        <v>2572.8000000000002</v>
      </c>
      <c r="H1383" s="8">
        <f t="shared" si="130"/>
        <v>471.67999999999995</v>
      </c>
      <c r="I1383" s="10">
        <f t="shared" si="131"/>
        <v>2101.1200000000003</v>
      </c>
    </row>
    <row r="1384" spans="1:9" x14ac:dyDescent="0.25">
      <c r="A1384" s="6">
        <v>1948</v>
      </c>
      <c r="B1384" s="5" t="str">
        <f>VLOOKUP(A1384, EmployeeMaster!$A:$D, 3, FALSE)</f>
        <v>Research &amp; Development</v>
      </c>
      <c r="C1384" s="8">
        <v>3065</v>
      </c>
      <c r="D1384" s="8">
        <f t="shared" si="126"/>
        <v>613</v>
      </c>
      <c r="E1384" s="8">
        <f t="shared" si="127"/>
        <v>367.8</v>
      </c>
      <c r="F1384" s="8">
        <f t="shared" si="128"/>
        <v>306.5</v>
      </c>
      <c r="G1384" s="8">
        <f t="shared" si="129"/>
        <v>3678</v>
      </c>
      <c r="H1384" s="8">
        <f t="shared" si="130"/>
        <v>674.3</v>
      </c>
      <c r="I1384" s="10">
        <f t="shared" si="131"/>
        <v>3003.7</v>
      </c>
    </row>
    <row r="1385" spans="1:9" x14ac:dyDescent="0.25">
      <c r="A1385" s="6">
        <v>1949</v>
      </c>
      <c r="B1385" s="5" t="str">
        <f>VLOOKUP(A1385, EmployeeMaster!$A:$D, 3, FALSE)</f>
        <v>Research &amp; Development</v>
      </c>
      <c r="C1385" s="8">
        <v>2810</v>
      </c>
      <c r="D1385" s="8">
        <f t="shared" si="126"/>
        <v>562</v>
      </c>
      <c r="E1385" s="8">
        <f t="shared" si="127"/>
        <v>337.2</v>
      </c>
      <c r="F1385" s="8">
        <f t="shared" si="128"/>
        <v>281</v>
      </c>
      <c r="G1385" s="8">
        <f t="shared" si="129"/>
        <v>3372</v>
      </c>
      <c r="H1385" s="8">
        <f t="shared" si="130"/>
        <v>618.20000000000005</v>
      </c>
      <c r="I1385" s="10">
        <f t="shared" si="131"/>
        <v>2753.8</v>
      </c>
    </row>
    <row r="1386" spans="1:9" x14ac:dyDescent="0.25">
      <c r="A1386" s="6">
        <v>1950</v>
      </c>
      <c r="B1386" s="5" t="str">
        <f>VLOOKUP(A1386, EmployeeMaster!$A:$D, 3, FALSE)</f>
        <v>Sales</v>
      </c>
      <c r="C1386" s="8">
        <v>9888</v>
      </c>
      <c r="D1386" s="8">
        <f t="shared" si="126"/>
        <v>1977.6000000000001</v>
      </c>
      <c r="E1386" s="8">
        <f t="shared" si="127"/>
        <v>1186.56</v>
      </c>
      <c r="F1386" s="8">
        <f t="shared" si="128"/>
        <v>988.80000000000007</v>
      </c>
      <c r="G1386" s="8">
        <f t="shared" si="129"/>
        <v>11865.6</v>
      </c>
      <c r="H1386" s="8">
        <f t="shared" si="130"/>
        <v>2175.36</v>
      </c>
      <c r="I1386" s="10">
        <f t="shared" si="131"/>
        <v>9690.24</v>
      </c>
    </row>
    <row r="1387" spans="1:9" x14ac:dyDescent="0.25">
      <c r="A1387" s="6">
        <v>1951</v>
      </c>
      <c r="B1387" s="5" t="str">
        <f>VLOOKUP(A1387, EmployeeMaster!$A:$D, 3, FALSE)</f>
        <v>Sales</v>
      </c>
      <c r="C1387" s="8">
        <v>8628</v>
      </c>
      <c r="D1387" s="8">
        <f t="shared" si="126"/>
        <v>1725.6000000000001</v>
      </c>
      <c r="E1387" s="8">
        <f t="shared" si="127"/>
        <v>1035.3599999999999</v>
      </c>
      <c r="F1387" s="8">
        <f t="shared" si="128"/>
        <v>862.80000000000007</v>
      </c>
      <c r="G1387" s="8">
        <f t="shared" si="129"/>
        <v>10353.6</v>
      </c>
      <c r="H1387" s="8">
        <f t="shared" si="130"/>
        <v>1898.1599999999999</v>
      </c>
      <c r="I1387" s="10">
        <f t="shared" si="131"/>
        <v>8455.44</v>
      </c>
    </row>
    <row r="1388" spans="1:9" x14ac:dyDescent="0.25">
      <c r="A1388" s="6">
        <v>1952</v>
      </c>
      <c r="B1388" s="5" t="str">
        <f>VLOOKUP(A1388, EmployeeMaster!$A:$D, 3, FALSE)</f>
        <v>Research &amp; Development</v>
      </c>
      <c r="C1388" s="8">
        <v>2867</v>
      </c>
      <c r="D1388" s="8">
        <f t="shared" si="126"/>
        <v>573.4</v>
      </c>
      <c r="E1388" s="8">
        <f t="shared" si="127"/>
        <v>344.03999999999996</v>
      </c>
      <c r="F1388" s="8">
        <f t="shared" si="128"/>
        <v>286.7</v>
      </c>
      <c r="G1388" s="8">
        <f t="shared" si="129"/>
        <v>3440.4</v>
      </c>
      <c r="H1388" s="8">
        <f t="shared" si="130"/>
        <v>630.74</v>
      </c>
      <c r="I1388" s="10">
        <f t="shared" si="131"/>
        <v>2809.66</v>
      </c>
    </row>
    <row r="1389" spans="1:9" x14ac:dyDescent="0.25">
      <c r="A1389" s="6">
        <v>1954</v>
      </c>
      <c r="B1389" s="5" t="str">
        <f>VLOOKUP(A1389, EmployeeMaster!$A:$D, 3, FALSE)</f>
        <v>Research &amp; Development</v>
      </c>
      <c r="C1389" s="8">
        <v>5373</v>
      </c>
      <c r="D1389" s="8">
        <f t="shared" si="126"/>
        <v>1074.6000000000001</v>
      </c>
      <c r="E1389" s="8">
        <f t="shared" si="127"/>
        <v>644.76</v>
      </c>
      <c r="F1389" s="8">
        <f t="shared" si="128"/>
        <v>537.30000000000007</v>
      </c>
      <c r="G1389" s="8">
        <f t="shared" si="129"/>
        <v>6447.6</v>
      </c>
      <c r="H1389" s="8">
        <f t="shared" si="130"/>
        <v>1182.06</v>
      </c>
      <c r="I1389" s="10">
        <f t="shared" si="131"/>
        <v>5265.5400000000009</v>
      </c>
    </row>
    <row r="1390" spans="1:9" x14ac:dyDescent="0.25">
      <c r="A1390" s="6">
        <v>1955</v>
      </c>
      <c r="B1390" s="5" t="str">
        <f>VLOOKUP(A1390, EmployeeMaster!$A:$D, 3, FALSE)</f>
        <v>Research &amp; Development</v>
      </c>
      <c r="C1390" s="8">
        <v>6667</v>
      </c>
      <c r="D1390" s="8">
        <f t="shared" si="126"/>
        <v>1333.4</v>
      </c>
      <c r="E1390" s="8">
        <f t="shared" si="127"/>
        <v>800.04</v>
      </c>
      <c r="F1390" s="8">
        <f t="shared" si="128"/>
        <v>666.7</v>
      </c>
      <c r="G1390" s="8">
        <f t="shared" si="129"/>
        <v>8000.4</v>
      </c>
      <c r="H1390" s="8">
        <f t="shared" si="130"/>
        <v>1466.74</v>
      </c>
      <c r="I1390" s="10">
        <f t="shared" si="131"/>
        <v>6533.66</v>
      </c>
    </row>
    <row r="1391" spans="1:9" x14ac:dyDescent="0.25">
      <c r="A1391" s="6">
        <v>1956</v>
      </c>
      <c r="B1391" s="5" t="str">
        <f>VLOOKUP(A1391, EmployeeMaster!$A:$D, 3, FALSE)</f>
        <v>Research &amp; Development</v>
      </c>
      <c r="C1391" s="8">
        <v>5003</v>
      </c>
      <c r="D1391" s="8">
        <f t="shared" si="126"/>
        <v>1000.6</v>
      </c>
      <c r="E1391" s="8">
        <f t="shared" si="127"/>
        <v>600.36</v>
      </c>
      <c r="F1391" s="8">
        <f t="shared" si="128"/>
        <v>500.3</v>
      </c>
      <c r="G1391" s="8">
        <f t="shared" si="129"/>
        <v>6003.6</v>
      </c>
      <c r="H1391" s="8">
        <f t="shared" si="130"/>
        <v>1100.6600000000001</v>
      </c>
      <c r="I1391" s="10">
        <f t="shared" si="131"/>
        <v>4902.9400000000005</v>
      </c>
    </row>
    <row r="1392" spans="1:9" x14ac:dyDescent="0.25">
      <c r="A1392" s="6">
        <v>1960</v>
      </c>
      <c r="B1392" s="5" t="str">
        <f>VLOOKUP(A1392, EmployeeMaster!$A:$D, 3, FALSE)</f>
        <v>Research &amp; Development</v>
      </c>
      <c r="C1392" s="8">
        <v>2367</v>
      </c>
      <c r="D1392" s="8">
        <f t="shared" si="126"/>
        <v>473.40000000000003</v>
      </c>
      <c r="E1392" s="8">
        <f t="shared" si="127"/>
        <v>284.03999999999996</v>
      </c>
      <c r="F1392" s="8">
        <f t="shared" si="128"/>
        <v>236.70000000000002</v>
      </c>
      <c r="G1392" s="8">
        <f t="shared" si="129"/>
        <v>2840.4</v>
      </c>
      <c r="H1392" s="8">
        <f t="shared" si="130"/>
        <v>520.74</v>
      </c>
      <c r="I1392" s="10">
        <f t="shared" si="131"/>
        <v>2319.66</v>
      </c>
    </row>
    <row r="1393" spans="1:9" x14ac:dyDescent="0.25">
      <c r="A1393" s="6">
        <v>1961</v>
      </c>
      <c r="B1393" s="5" t="str">
        <f>VLOOKUP(A1393, EmployeeMaster!$A:$D, 3, FALSE)</f>
        <v>Sales</v>
      </c>
      <c r="C1393" s="8">
        <v>2858</v>
      </c>
      <c r="D1393" s="8">
        <f t="shared" si="126"/>
        <v>571.6</v>
      </c>
      <c r="E1393" s="8">
        <f t="shared" si="127"/>
        <v>342.96</v>
      </c>
      <c r="F1393" s="8">
        <f t="shared" si="128"/>
        <v>285.8</v>
      </c>
      <c r="G1393" s="8">
        <f t="shared" si="129"/>
        <v>3429.6</v>
      </c>
      <c r="H1393" s="8">
        <f t="shared" si="130"/>
        <v>628.76</v>
      </c>
      <c r="I1393" s="10">
        <f t="shared" si="131"/>
        <v>2800.84</v>
      </c>
    </row>
    <row r="1394" spans="1:9" x14ac:dyDescent="0.25">
      <c r="A1394" s="6">
        <v>1962</v>
      </c>
      <c r="B1394" s="5" t="str">
        <f>VLOOKUP(A1394, EmployeeMaster!$A:$D, 3, FALSE)</f>
        <v>Sales</v>
      </c>
      <c r="C1394" s="8">
        <v>5204</v>
      </c>
      <c r="D1394" s="8">
        <f t="shared" si="126"/>
        <v>1040.8</v>
      </c>
      <c r="E1394" s="8">
        <f t="shared" si="127"/>
        <v>624.48</v>
      </c>
      <c r="F1394" s="8">
        <f t="shared" si="128"/>
        <v>520.4</v>
      </c>
      <c r="G1394" s="8">
        <f t="shared" si="129"/>
        <v>6244.8</v>
      </c>
      <c r="H1394" s="8">
        <f t="shared" si="130"/>
        <v>1144.8800000000001</v>
      </c>
      <c r="I1394" s="10">
        <f t="shared" si="131"/>
        <v>5099.92</v>
      </c>
    </row>
    <row r="1395" spans="1:9" x14ac:dyDescent="0.25">
      <c r="A1395" s="6">
        <v>1965</v>
      </c>
      <c r="B1395" s="5" t="str">
        <f>VLOOKUP(A1395, EmployeeMaster!$A:$D, 3, FALSE)</f>
        <v>Sales</v>
      </c>
      <c r="C1395" s="8">
        <v>4105</v>
      </c>
      <c r="D1395" s="8">
        <f t="shared" si="126"/>
        <v>821</v>
      </c>
      <c r="E1395" s="8">
        <f t="shared" si="127"/>
        <v>492.59999999999997</v>
      </c>
      <c r="F1395" s="8">
        <f t="shared" si="128"/>
        <v>410.5</v>
      </c>
      <c r="G1395" s="8">
        <f t="shared" si="129"/>
        <v>4926</v>
      </c>
      <c r="H1395" s="8">
        <f t="shared" si="130"/>
        <v>903.09999999999991</v>
      </c>
      <c r="I1395" s="10">
        <f t="shared" si="131"/>
        <v>4022.9</v>
      </c>
    </row>
    <row r="1396" spans="1:9" x14ac:dyDescent="0.25">
      <c r="A1396" s="6">
        <v>1966</v>
      </c>
      <c r="B1396" s="5" t="str">
        <f>VLOOKUP(A1396, EmployeeMaster!$A:$D, 3, FALSE)</f>
        <v>Research &amp; Development</v>
      </c>
      <c r="C1396" s="8">
        <v>9679</v>
      </c>
      <c r="D1396" s="8">
        <f t="shared" si="126"/>
        <v>1935.8000000000002</v>
      </c>
      <c r="E1396" s="8">
        <f t="shared" si="127"/>
        <v>1161.48</v>
      </c>
      <c r="F1396" s="8">
        <f t="shared" si="128"/>
        <v>967.90000000000009</v>
      </c>
      <c r="G1396" s="8">
        <f t="shared" si="129"/>
        <v>11614.8</v>
      </c>
      <c r="H1396" s="8">
        <f t="shared" si="130"/>
        <v>2129.38</v>
      </c>
      <c r="I1396" s="10">
        <f t="shared" si="131"/>
        <v>9485.4199999999983</v>
      </c>
    </row>
    <row r="1397" spans="1:9" x14ac:dyDescent="0.25">
      <c r="A1397" s="6">
        <v>1967</v>
      </c>
      <c r="B1397" s="5" t="str">
        <f>VLOOKUP(A1397, EmployeeMaster!$A:$D, 3, FALSE)</f>
        <v>Sales</v>
      </c>
      <c r="C1397" s="8">
        <v>5617</v>
      </c>
      <c r="D1397" s="8">
        <f t="shared" si="126"/>
        <v>1123.4000000000001</v>
      </c>
      <c r="E1397" s="8">
        <f t="shared" si="127"/>
        <v>674.04</v>
      </c>
      <c r="F1397" s="8">
        <f t="shared" si="128"/>
        <v>561.70000000000005</v>
      </c>
      <c r="G1397" s="8">
        <f t="shared" si="129"/>
        <v>6740.4</v>
      </c>
      <c r="H1397" s="8">
        <f t="shared" si="130"/>
        <v>1235.74</v>
      </c>
      <c r="I1397" s="10">
        <f t="shared" si="131"/>
        <v>5504.66</v>
      </c>
    </row>
    <row r="1398" spans="1:9" x14ac:dyDescent="0.25">
      <c r="A1398" s="6">
        <v>1968</v>
      </c>
      <c r="B1398" s="5" t="str">
        <f>VLOOKUP(A1398, EmployeeMaster!$A:$D, 3, FALSE)</f>
        <v>Sales</v>
      </c>
      <c r="C1398" s="8">
        <v>10448</v>
      </c>
      <c r="D1398" s="8">
        <f t="shared" si="126"/>
        <v>2089.6</v>
      </c>
      <c r="E1398" s="8">
        <f t="shared" si="127"/>
        <v>1253.76</v>
      </c>
      <c r="F1398" s="8">
        <f t="shared" si="128"/>
        <v>1044.8</v>
      </c>
      <c r="G1398" s="8">
        <f t="shared" si="129"/>
        <v>12537.6</v>
      </c>
      <c r="H1398" s="8">
        <f t="shared" si="130"/>
        <v>2298.56</v>
      </c>
      <c r="I1398" s="10">
        <f t="shared" si="131"/>
        <v>10239.040000000001</v>
      </c>
    </row>
    <row r="1399" spans="1:9" x14ac:dyDescent="0.25">
      <c r="A1399" s="6">
        <v>1969</v>
      </c>
      <c r="B1399" s="5" t="str">
        <f>VLOOKUP(A1399, EmployeeMaster!$A:$D, 3, FALSE)</f>
        <v>Research &amp; Development</v>
      </c>
      <c r="C1399" s="8">
        <v>2897</v>
      </c>
      <c r="D1399" s="8">
        <f t="shared" si="126"/>
        <v>579.4</v>
      </c>
      <c r="E1399" s="8">
        <f t="shared" si="127"/>
        <v>347.64</v>
      </c>
      <c r="F1399" s="8">
        <f t="shared" si="128"/>
        <v>289.7</v>
      </c>
      <c r="G1399" s="8">
        <f t="shared" si="129"/>
        <v>3476.4</v>
      </c>
      <c r="H1399" s="8">
        <f t="shared" si="130"/>
        <v>637.33999999999992</v>
      </c>
      <c r="I1399" s="10">
        <f t="shared" si="131"/>
        <v>2839.0600000000004</v>
      </c>
    </row>
    <row r="1400" spans="1:9" x14ac:dyDescent="0.25">
      <c r="A1400" s="6">
        <v>1970</v>
      </c>
      <c r="B1400" s="5" t="str">
        <f>VLOOKUP(A1400, EmployeeMaster!$A:$D, 3, FALSE)</f>
        <v>Research &amp; Development</v>
      </c>
      <c r="C1400" s="8">
        <v>5968</v>
      </c>
      <c r="D1400" s="8">
        <f t="shared" si="126"/>
        <v>1193.6000000000001</v>
      </c>
      <c r="E1400" s="8">
        <f t="shared" si="127"/>
        <v>716.16</v>
      </c>
      <c r="F1400" s="8">
        <f t="shared" si="128"/>
        <v>596.80000000000007</v>
      </c>
      <c r="G1400" s="8">
        <f t="shared" si="129"/>
        <v>7161.6</v>
      </c>
      <c r="H1400" s="8">
        <f t="shared" si="130"/>
        <v>1312.96</v>
      </c>
      <c r="I1400" s="10">
        <f t="shared" si="131"/>
        <v>5848.64</v>
      </c>
    </row>
    <row r="1401" spans="1:9" x14ac:dyDescent="0.25">
      <c r="A1401" s="6">
        <v>1971</v>
      </c>
      <c r="B1401" s="5" t="str">
        <f>VLOOKUP(A1401, EmployeeMaster!$A:$D, 3, FALSE)</f>
        <v>Research &amp; Development</v>
      </c>
      <c r="C1401" s="8">
        <v>7510</v>
      </c>
      <c r="D1401" s="8">
        <f t="shared" si="126"/>
        <v>1502</v>
      </c>
      <c r="E1401" s="8">
        <f t="shared" si="127"/>
        <v>901.19999999999993</v>
      </c>
      <c r="F1401" s="8">
        <f t="shared" si="128"/>
        <v>751</v>
      </c>
      <c r="G1401" s="8">
        <f t="shared" si="129"/>
        <v>9012</v>
      </c>
      <c r="H1401" s="8">
        <f t="shared" si="130"/>
        <v>1652.1999999999998</v>
      </c>
      <c r="I1401" s="10">
        <f t="shared" si="131"/>
        <v>7359.8</v>
      </c>
    </row>
    <row r="1402" spans="1:9" x14ac:dyDescent="0.25">
      <c r="A1402" s="6">
        <v>1972</v>
      </c>
      <c r="B1402" s="5" t="str">
        <f>VLOOKUP(A1402, EmployeeMaster!$A:$D, 3, FALSE)</f>
        <v>Human Resources</v>
      </c>
      <c r="C1402" s="8">
        <v>2991</v>
      </c>
      <c r="D1402" s="8">
        <f t="shared" si="126"/>
        <v>598.20000000000005</v>
      </c>
      <c r="E1402" s="8">
        <f t="shared" si="127"/>
        <v>358.91999999999996</v>
      </c>
      <c r="F1402" s="8">
        <f t="shared" si="128"/>
        <v>299.10000000000002</v>
      </c>
      <c r="G1402" s="8">
        <f t="shared" si="129"/>
        <v>3589.2</v>
      </c>
      <c r="H1402" s="8">
        <f t="shared" si="130"/>
        <v>658.02</v>
      </c>
      <c r="I1402" s="10">
        <f t="shared" si="131"/>
        <v>2931.18</v>
      </c>
    </row>
    <row r="1403" spans="1:9" x14ac:dyDescent="0.25">
      <c r="A1403" s="6">
        <v>1973</v>
      </c>
      <c r="B1403" s="5" t="str">
        <f>VLOOKUP(A1403, EmployeeMaster!$A:$D, 3, FALSE)</f>
        <v>Human Resources</v>
      </c>
      <c r="C1403" s="8">
        <v>19636</v>
      </c>
      <c r="D1403" s="8">
        <f t="shared" si="126"/>
        <v>3927.2000000000003</v>
      </c>
      <c r="E1403" s="8">
        <f t="shared" si="127"/>
        <v>2356.3199999999997</v>
      </c>
      <c r="F1403" s="8">
        <f t="shared" si="128"/>
        <v>1963.6000000000001</v>
      </c>
      <c r="G1403" s="8">
        <f t="shared" si="129"/>
        <v>23563.200000000001</v>
      </c>
      <c r="H1403" s="8">
        <f t="shared" si="130"/>
        <v>4319.92</v>
      </c>
      <c r="I1403" s="10">
        <f t="shared" si="131"/>
        <v>19243.28</v>
      </c>
    </row>
    <row r="1404" spans="1:9" x14ac:dyDescent="0.25">
      <c r="A1404" s="6">
        <v>1974</v>
      </c>
      <c r="B1404" s="5" t="str">
        <f>VLOOKUP(A1404, EmployeeMaster!$A:$D, 3, FALSE)</f>
        <v>Research &amp; Development</v>
      </c>
      <c r="C1404" s="8">
        <v>1129</v>
      </c>
      <c r="D1404" s="8">
        <f t="shared" si="126"/>
        <v>225.8</v>
      </c>
      <c r="E1404" s="8">
        <f t="shared" si="127"/>
        <v>135.47999999999999</v>
      </c>
      <c r="F1404" s="8">
        <f t="shared" si="128"/>
        <v>112.9</v>
      </c>
      <c r="G1404" s="8">
        <f t="shared" si="129"/>
        <v>1354.8</v>
      </c>
      <c r="H1404" s="8">
        <f t="shared" si="130"/>
        <v>248.38</v>
      </c>
      <c r="I1404" s="10">
        <f t="shared" si="131"/>
        <v>1106.42</v>
      </c>
    </row>
    <row r="1405" spans="1:9" x14ac:dyDescent="0.25">
      <c r="A1405" s="6">
        <v>1975</v>
      </c>
      <c r="B1405" s="5" t="str">
        <f>VLOOKUP(A1405, EmployeeMaster!$A:$D, 3, FALSE)</f>
        <v>Sales</v>
      </c>
      <c r="C1405" s="8">
        <v>13341</v>
      </c>
      <c r="D1405" s="8">
        <f t="shared" si="126"/>
        <v>2668.2000000000003</v>
      </c>
      <c r="E1405" s="8">
        <f t="shared" si="127"/>
        <v>1600.9199999999998</v>
      </c>
      <c r="F1405" s="8">
        <f t="shared" si="128"/>
        <v>1334.1000000000001</v>
      </c>
      <c r="G1405" s="8">
        <f t="shared" si="129"/>
        <v>16009.2</v>
      </c>
      <c r="H1405" s="8">
        <f t="shared" si="130"/>
        <v>2935.02</v>
      </c>
      <c r="I1405" s="10">
        <f t="shared" si="131"/>
        <v>13074.18</v>
      </c>
    </row>
    <row r="1406" spans="1:9" x14ac:dyDescent="0.25">
      <c r="A1406" s="6">
        <v>1976</v>
      </c>
      <c r="B1406" s="5" t="str">
        <f>VLOOKUP(A1406, EmployeeMaster!$A:$D, 3, FALSE)</f>
        <v>Research &amp; Development</v>
      </c>
      <c r="C1406" s="8">
        <v>4332</v>
      </c>
      <c r="D1406" s="8">
        <f t="shared" si="126"/>
        <v>866.40000000000009</v>
      </c>
      <c r="E1406" s="8">
        <f t="shared" si="127"/>
        <v>519.84</v>
      </c>
      <c r="F1406" s="8">
        <f t="shared" si="128"/>
        <v>433.20000000000005</v>
      </c>
      <c r="G1406" s="8">
        <f t="shared" si="129"/>
        <v>5198.3999999999996</v>
      </c>
      <c r="H1406" s="8">
        <f t="shared" si="130"/>
        <v>953.04000000000008</v>
      </c>
      <c r="I1406" s="10">
        <f t="shared" si="131"/>
        <v>4245.3599999999997</v>
      </c>
    </row>
    <row r="1407" spans="1:9" x14ac:dyDescent="0.25">
      <c r="A1407" s="6">
        <v>1979</v>
      </c>
      <c r="B1407" s="5" t="str">
        <f>VLOOKUP(A1407, EmployeeMaster!$A:$D, 3, FALSE)</f>
        <v>Research &amp; Development</v>
      </c>
      <c r="C1407" s="8">
        <v>11031</v>
      </c>
      <c r="D1407" s="8">
        <f t="shared" si="126"/>
        <v>2206.2000000000003</v>
      </c>
      <c r="E1407" s="8">
        <f t="shared" si="127"/>
        <v>1323.72</v>
      </c>
      <c r="F1407" s="8">
        <f t="shared" si="128"/>
        <v>1103.1000000000001</v>
      </c>
      <c r="G1407" s="8">
        <f t="shared" si="129"/>
        <v>13237.2</v>
      </c>
      <c r="H1407" s="8">
        <f t="shared" si="130"/>
        <v>2426.8200000000002</v>
      </c>
      <c r="I1407" s="10">
        <f t="shared" si="131"/>
        <v>10810.380000000001</v>
      </c>
    </row>
    <row r="1408" spans="1:9" x14ac:dyDescent="0.25">
      <c r="A1408" s="6">
        <v>1980</v>
      </c>
      <c r="B1408" s="5" t="str">
        <f>VLOOKUP(A1408, EmployeeMaster!$A:$D, 3, FALSE)</f>
        <v>Research &amp; Development</v>
      </c>
      <c r="C1408" s="8">
        <v>4440</v>
      </c>
      <c r="D1408" s="8">
        <f t="shared" si="126"/>
        <v>888</v>
      </c>
      <c r="E1408" s="8">
        <f t="shared" si="127"/>
        <v>532.79999999999995</v>
      </c>
      <c r="F1408" s="8">
        <f t="shared" si="128"/>
        <v>444</v>
      </c>
      <c r="G1408" s="8">
        <f t="shared" si="129"/>
        <v>5328</v>
      </c>
      <c r="H1408" s="8">
        <f t="shared" si="130"/>
        <v>976.8</v>
      </c>
      <c r="I1408" s="10">
        <f t="shared" si="131"/>
        <v>4351.2</v>
      </c>
    </row>
    <row r="1409" spans="1:9" x14ac:dyDescent="0.25">
      <c r="A1409" s="6">
        <v>1981</v>
      </c>
      <c r="B1409" s="5" t="str">
        <f>VLOOKUP(A1409, EmployeeMaster!$A:$D, 3, FALSE)</f>
        <v>Research &amp; Development</v>
      </c>
      <c r="C1409" s="8">
        <v>4617</v>
      </c>
      <c r="D1409" s="8">
        <f t="shared" si="126"/>
        <v>923.40000000000009</v>
      </c>
      <c r="E1409" s="8">
        <f t="shared" si="127"/>
        <v>554.04</v>
      </c>
      <c r="F1409" s="8">
        <f t="shared" si="128"/>
        <v>461.70000000000005</v>
      </c>
      <c r="G1409" s="8">
        <f t="shared" si="129"/>
        <v>5540.4</v>
      </c>
      <c r="H1409" s="8">
        <f t="shared" si="130"/>
        <v>1015.74</v>
      </c>
      <c r="I1409" s="10">
        <f t="shared" si="131"/>
        <v>4524.66</v>
      </c>
    </row>
    <row r="1410" spans="1:9" x14ac:dyDescent="0.25">
      <c r="A1410" s="6">
        <v>1982</v>
      </c>
      <c r="B1410" s="5" t="str">
        <f>VLOOKUP(A1410, EmployeeMaster!$A:$D, 3, FALSE)</f>
        <v>Research &amp; Development</v>
      </c>
      <c r="C1410" s="8">
        <v>2647</v>
      </c>
      <c r="D1410" s="8">
        <f t="shared" si="126"/>
        <v>529.4</v>
      </c>
      <c r="E1410" s="8">
        <f t="shared" si="127"/>
        <v>317.64</v>
      </c>
      <c r="F1410" s="8">
        <f t="shared" si="128"/>
        <v>264.7</v>
      </c>
      <c r="G1410" s="8">
        <f t="shared" si="129"/>
        <v>3176.4</v>
      </c>
      <c r="H1410" s="8">
        <f t="shared" si="130"/>
        <v>582.33999999999992</v>
      </c>
      <c r="I1410" s="10">
        <f t="shared" si="131"/>
        <v>2594.0600000000004</v>
      </c>
    </row>
    <row r="1411" spans="1:9" x14ac:dyDescent="0.25">
      <c r="A1411" s="6">
        <v>1985</v>
      </c>
      <c r="B1411" s="5" t="str">
        <f>VLOOKUP(A1411, EmployeeMaster!$A:$D, 3, FALSE)</f>
        <v>Research &amp; Development</v>
      </c>
      <c r="C1411" s="8">
        <v>6323</v>
      </c>
      <c r="D1411" s="8">
        <f t="shared" ref="D1411:D1471" si="132">C1411*20%</f>
        <v>1264.6000000000001</v>
      </c>
      <c r="E1411" s="8">
        <f t="shared" ref="E1411:E1471" si="133">C1411*12%</f>
        <v>758.76</v>
      </c>
      <c r="F1411" s="8">
        <f t="shared" ref="F1411:F1471" si="134">C1411*10%</f>
        <v>632.30000000000007</v>
      </c>
      <c r="G1411" s="8">
        <f t="shared" ref="G1411:G1471" si="135">C1411+D1411</f>
        <v>7587.6</v>
      </c>
      <c r="H1411" s="8">
        <f t="shared" ref="H1411:H1471" si="136">E1411+F1411</f>
        <v>1391.06</v>
      </c>
      <c r="I1411" s="10">
        <f t="shared" ref="I1411:I1471" si="137">G1411-H1411</f>
        <v>6196.5400000000009</v>
      </c>
    </row>
    <row r="1412" spans="1:9" x14ac:dyDescent="0.25">
      <c r="A1412" s="6">
        <v>1986</v>
      </c>
      <c r="B1412" s="5" t="str">
        <f>VLOOKUP(A1412, EmployeeMaster!$A:$D, 3, FALSE)</f>
        <v>Sales</v>
      </c>
      <c r="C1412" s="8">
        <v>5677</v>
      </c>
      <c r="D1412" s="8">
        <f t="shared" si="132"/>
        <v>1135.4000000000001</v>
      </c>
      <c r="E1412" s="8">
        <f t="shared" si="133"/>
        <v>681.24</v>
      </c>
      <c r="F1412" s="8">
        <f t="shared" si="134"/>
        <v>567.70000000000005</v>
      </c>
      <c r="G1412" s="8">
        <f t="shared" si="135"/>
        <v>6812.4</v>
      </c>
      <c r="H1412" s="8">
        <f t="shared" si="136"/>
        <v>1248.94</v>
      </c>
      <c r="I1412" s="10">
        <f t="shared" si="137"/>
        <v>5563.4599999999991</v>
      </c>
    </row>
    <row r="1413" spans="1:9" x14ac:dyDescent="0.25">
      <c r="A1413" s="6">
        <v>1987</v>
      </c>
      <c r="B1413" s="5" t="str">
        <f>VLOOKUP(A1413, EmployeeMaster!$A:$D, 3, FALSE)</f>
        <v>Human Resources</v>
      </c>
      <c r="C1413" s="8">
        <v>2187</v>
      </c>
      <c r="D1413" s="8">
        <f t="shared" si="132"/>
        <v>437.40000000000003</v>
      </c>
      <c r="E1413" s="8">
        <f t="shared" si="133"/>
        <v>262.44</v>
      </c>
      <c r="F1413" s="8">
        <f t="shared" si="134"/>
        <v>218.70000000000002</v>
      </c>
      <c r="G1413" s="8">
        <f t="shared" si="135"/>
        <v>2624.4</v>
      </c>
      <c r="H1413" s="8">
        <f t="shared" si="136"/>
        <v>481.14</v>
      </c>
      <c r="I1413" s="10">
        <f t="shared" si="137"/>
        <v>2143.2600000000002</v>
      </c>
    </row>
    <row r="1414" spans="1:9" x14ac:dyDescent="0.25">
      <c r="A1414" s="6">
        <v>1989</v>
      </c>
      <c r="B1414" s="5" t="str">
        <f>VLOOKUP(A1414, EmployeeMaster!$A:$D, 3, FALSE)</f>
        <v>Research &amp; Development</v>
      </c>
      <c r="C1414" s="8">
        <v>3748</v>
      </c>
      <c r="D1414" s="8">
        <f t="shared" si="132"/>
        <v>749.6</v>
      </c>
      <c r="E1414" s="8">
        <f t="shared" si="133"/>
        <v>449.76</v>
      </c>
      <c r="F1414" s="8">
        <f t="shared" si="134"/>
        <v>374.8</v>
      </c>
      <c r="G1414" s="8">
        <f t="shared" si="135"/>
        <v>4497.6000000000004</v>
      </c>
      <c r="H1414" s="8">
        <f t="shared" si="136"/>
        <v>824.56</v>
      </c>
      <c r="I1414" s="10">
        <f t="shared" si="137"/>
        <v>3673.0400000000004</v>
      </c>
    </row>
    <row r="1415" spans="1:9" x14ac:dyDescent="0.25">
      <c r="A1415" s="6">
        <v>1992</v>
      </c>
      <c r="B1415" s="5" t="str">
        <f>VLOOKUP(A1415, EmployeeMaster!$A:$D, 3, FALSE)</f>
        <v>Research &amp; Development</v>
      </c>
      <c r="C1415" s="8">
        <v>3977</v>
      </c>
      <c r="D1415" s="8">
        <f t="shared" si="132"/>
        <v>795.40000000000009</v>
      </c>
      <c r="E1415" s="8">
        <f t="shared" si="133"/>
        <v>477.24</v>
      </c>
      <c r="F1415" s="8">
        <f t="shared" si="134"/>
        <v>397.70000000000005</v>
      </c>
      <c r="G1415" s="8">
        <f t="shared" si="135"/>
        <v>4772.3999999999996</v>
      </c>
      <c r="H1415" s="8">
        <f t="shared" si="136"/>
        <v>874.94</v>
      </c>
      <c r="I1415" s="10">
        <f t="shared" si="137"/>
        <v>3897.4599999999996</v>
      </c>
    </row>
    <row r="1416" spans="1:9" x14ac:dyDescent="0.25">
      <c r="A1416" s="6">
        <v>1993</v>
      </c>
      <c r="B1416" s="5" t="str">
        <f>VLOOKUP(A1416, EmployeeMaster!$A:$D, 3, FALSE)</f>
        <v>Research &amp; Development</v>
      </c>
      <c r="C1416" s="8">
        <v>8633</v>
      </c>
      <c r="D1416" s="8">
        <f t="shared" si="132"/>
        <v>1726.6000000000001</v>
      </c>
      <c r="E1416" s="8">
        <f t="shared" si="133"/>
        <v>1035.96</v>
      </c>
      <c r="F1416" s="8">
        <f t="shared" si="134"/>
        <v>863.30000000000007</v>
      </c>
      <c r="G1416" s="8">
        <f t="shared" si="135"/>
        <v>10359.6</v>
      </c>
      <c r="H1416" s="8">
        <f t="shared" si="136"/>
        <v>1899.2600000000002</v>
      </c>
      <c r="I1416" s="10">
        <f t="shared" si="137"/>
        <v>8460.34</v>
      </c>
    </row>
    <row r="1417" spans="1:9" x14ac:dyDescent="0.25">
      <c r="A1417" s="6">
        <v>1994</v>
      </c>
      <c r="B1417" s="5" t="str">
        <f>VLOOKUP(A1417, EmployeeMaster!$A:$D, 3, FALSE)</f>
        <v>Research &amp; Development</v>
      </c>
      <c r="C1417" s="8">
        <v>2008</v>
      </c>
      <c r="D1417" s="8">
        <f t="shared" si="132"/>
        <v>401.6</v>
      </c>
      <c r="E1417" s="8">
        <f t="shared" si="133"/>
        <v>240.95999999999998</v>
      </c>
      <c r="F1417" s="8">
        <f t="shared" si="134"/>
        <v>200.8</v>
      </c>
      <c r="G1417" s="8">
        <f t="shared" si="135"/>
        <v>2409.6</v>
      </c>
      <c r="H1417" s="8">
        <f t="shared" si="136"/>
        <v>441.76</v>
      </c>
      <c r="I1417" s="10">
        <f t="shared" si="137"/>
        <v>1967.84</v>
      </c>
    </row>
    <row r="1418" spans="1:9" x14ac:dyDescent="0.25">
      <c r="A1418" s="6">
        <v>1995</v>
      </c>
      <c r="B1418" s="5" t="str">
        <f>VLOOKUP(A1418, EmployeeMaster!$A:$D, 3, FALSE)</f>
        <v>Sales</v>
      </c>
      <c r="C1418" s="8">
        <v>4440</v>
      </c>
      <c r="D1418" s="8">
        <f t="shared" si="132"/>
        <v>888</v>
      </c>
      <c r="E1418" s="8">
        <f t="shared" si="133"/>
        <v>532.79999999999995</v>
      </c>
      <c r="F1418" s="8">
        <f t="shared" si="134"/>
        <v>444</v>
      </c>
      <c r="G1418" s="8">
        <f t="shared" si="135"/>
        <v>5328</v>
      </c>
      <c r="H1418" s="8">
        <f t="shared" si="136"/>
        <v>976.8</v>
      </c>
      <c r="I1418" s="10">
        <f t="shared" si="137"/>
        <v>4351.2</v>
      </c>
    </row>
    <row r="1419" spans="1:9" x14ac:dyDescent="0.25">
      <c r="A1419" s="6">
        <v>1996</v>
      </c>
      <c r="B1419" s="5" t="str">
        <f>VLOOKUP(A1419, EmployeeMaster!$A:$D, 3, FALSE)</f>
        <v>Sales</v>
      </c>
      <c r="C1419" s="8">
        <v>3067</v>
      </c>
      <c r="D1419" s="8">
        <f t="shared" si="132"/>
        <v>613.4</v>
      </c>
      <c r="E1419" s="8">
        <f t="shared" si="133"/>
        <v>368.03999999999996</v>
      </c>
      <c r="F1419" s="8">
        <f t="shared" si="134"/>
        <v>306.7</v>
      </c>
      <c r="G1419" s="8">
        <f t="shared" si="135"/>
        <v>3680.4</v>
      </c>
      <c r="H1419" s="8">
        <f t="shared" si="136"/>
        <v>674.74</v>
      </c>
      <c r="I1419" s="10">
        <f t="shared" si="137"/>
        <v>3005.66</v>
      </c>
    </row>
    <row r="1420" spans="1:9" x14ac:dyDescent="0.25">
      <c r="A1420" s="6">
        <v>1997</v>
      </c>
      <c r="B1420" s="5" t="str">
        <f>VLOOKUP(A1420, EmployeeMaster!$A:$D, 3, FALSE)</f>
        <v>Research &amp; Development</v>
      </c>
      <c r="C1420" s="8">
        <v>5321</v>
      </c>
      <c r="D1420" s="8">
        <f t="shared" si="132"/>
        <v>1064.2</v>
      </c>
      <c r="E1420" s="8">
        <f t="shared" si="133"/>
        <v>638.52</v>
      </c>
      <c r="F1420" s="8">
        <f t="shared" si="134"/>
        <v>532.1</v>
      </c>
      <c r="G1420" s="8">
        <f t="shared" si="135"/>
        <v>6385.2</v>
      </c>
      <c r="H1420" s="8">
        <f t="shared" si="136"/>
        <v>1170.6199999999999</v>
      </c>
      <c r="I1420" s="10">
        <f t="shared" si="137"/>
        <v>5214.58</v>
      </c>
    </row>
    <row r="1421" spans="1:9" x14ac:dyDescent="0.25">
      <c r="A1421" s="6">
        <v>1998</v>
      </c>
      <c r="B1421" s="5" t="str">
        <f>VLOOKUP(A1421, EmployeeMaster!$A:$D, 3, FALSE)</f>
        <v>Research &amp; Development</v>
      </c>
      <c r="C1421" s="8">
        <v>5410</v>
      </c>
      <c r="D1421" s="8">
        <f t="shared" si="132"/>
        <v>1082</v>
      </c>
      <c r="E1421" s="8">
        <f t="shared" si="133"/>
        <v>649.19999999999993</v>
      </c>
      <c r="F1421" s="8">
        <f t="shared" si="134"/>
        <v>541</v>
      </c>
      <c r="G1421" s="8">
        <f t="shared" si="135"/>
        <v>6492</v>
      </c>
      <c r="H1421" s="8">
        <f t="shared" si="136"/>
        <v>1190.1999999999998</v>
      </c>
      <c r="I1421" s="10">
        <f t="shared" si="137"/>
        <v>5301.8</v>
      </c>
    </row>
    <row r="1422" spans="1:9" x14ac:dyDescent="0.25">
      <c r="A1422" s="6">
        <v>1999</v>
      </c>
      <c r="B1422" s="5" t="str">
        <f>VLOOKUP(A1422, EmployeeMaster!$A:$D, 3, FALSE)</f>
        <v>Research &amp; Development</v>
      </c>
      <c r="C1422" s="8">
        <v>2782</v>
      </c>
      <c r="D1422" s="8">
        <f t="shared" si="132"/>
        <v>556.4</v>
      </c>
      <c r="E1422" s="8">
        <f t="shared" si="133"/>
        <v>333.84</v>
      </c>
      <c r="F1422" s="8">
        <f t="shared" si="134"/>
        <v>278.2</v>
      </c>
      <c r="G1422" s="8">
        <f t="shared" si="135"/>
        <v>3338.4</v>
      </c>
      <c r="H1422" s="8">
        <f t="shared" si="136"/>
        <v>612.04</v>
      </c>
      <c r="I1422" s="10">
        <f t="shared" si="137"/>
        <v>2726.36</v>
      </c>
    </row>
    <row r="1423" spans="1:9" x14ac:dyDescent="0.25">
      <c r="A1423" s="6">
        <v>2000</v>
      </c>
      <c r="B1423" s="5" t="str">
        <f>VLOOKUP(A1423, EmployeeMaster!$A:$D, 3, FALSE)</f>
        <v>Research &amp; Development</v>
      </c>
      <c r="C1423" s="8">
        <v>11957</v>
      </c>
      <c r="D1423" s="8">
        <f t="shared" si="132"/>
        <v>2391.4</v>
      </c>
      <c r="E1423" s="8">
        <f t="shared" si="133"/>
        <v>1434.84</v>
      </c>
      <c r="F1423" s="8">
        <f t="shared" si="134"/>
        <v>1195.7</v>
      </c>
      <c r="G1423" s="8">
        <f t="shared" si="135"/>
        <v>14348.4</v>
      </c>
      <c r="H1423" s="8">
        <f t="shared" si="136"/>
        <v>2630.54</v>
      </c>
      <c r="I1423" s="10">
        <f t="shared" si="137"/>
        <v>11717.86</v>
      </c>
    </row>
    <row r="1424" spans="1:9" x14ac:dyDescent="0.25">
      <c r="A1424" s="6">
        <v>2003</v>
      </c>
      <c r="B1424" s="5" t="str">
        <f>VLOOKUP(A1424, EmployeeMaster!$A:$D, 3, FALSE)</f>
        <v>Research &amp; Development</v>
      </c>
      <c r="C1424" s="8">
        <v>2660</v>
      </c>
      <c r="D1424" s="8">
        <f t="shared" si="132"/>
        <v>532</v>
      </c>
      <c r="E1424" s="8">
        <f t="shared" si="133"/>
        <v>319.2</v>
      </c>
      <c r="F1424" s="8">
        <f t="shared" si="134"/>
        <v>266</v>
      </c>
      <c r="G1424" s="8">
        <f t="shared" si="135"/>
        <v>3192</v>
      </c>
      <c r="H1424" s="8">
        <f t="shared" si="136"/>
        <v>585.20000000000005</v>
      </c>
      <c r="I1424" s="10">
        <f t="shared" si="137"/>
        <v>2606.8000000000002</v>
      </c>
    </row>
    <row r="1425" spans="1:9" x14ac:dyDescent="0.25">
      <c r="A1425" s="6">
        <v>2007</v>
      </c>
      <c r="B1425" s="5" t="str">
        <f>VLOOKUP(A1425, EmployeeMaster!$A:$D, 3, FALSE)</f>
        <v>Research &amp; Development</v>
      </c>
      <c r="C1425" s="8">
        <v>3375</v>
      </c>
      <c r="D1425" s="8">
        <f t="shared" si="132"/>
        <v>675</v>
      </c>
      <c r="E1425" s="8">
        <f t="shared" si="133"/>
        <v>405</v>
      </c>
      <c r="F1425" s="8">
        <f t="shared" si="134"/>
        <v>337.5</v>
      </c>
      <c r="G1425" s="8">
        <f t="shared" si="135"/>
        <v>4050</v>
      </c>
      <c r="H1425" s="8">
        <f t="shared" si="136"/>
        <v>742.5</v>
      </c>
      <c r="I1425" s="10">
        <f t="shared" si="137"/>
        <v>3307.5</v>
      </c>
    </row>
    <row r="1426" spans="1:9" x14ac:dyDescent="0.25">
      <c r="A1426" s="6">
        <v>2008</v>
      </c>
      <c r="B1426" s="5" t="str">
        <f>VLOOKUP(A1426, EmployeeMaster!$A:$D, 3, FALSE)</f>
        <v>Research &amp; Development</v>
      </c>
      <c r="C1426" s="8">
        <v>5098</v>
      </c>
      <c r="D1426" s="8">
        <f t="shared" si="132"/>
        <v>1019.6</v>
      </c>
      <c r="E1426" s="8">
        <f t="shared" si="133"/>
        <v>611.76</v>
      </c>
      <c r="F1426" s="8">
        <f t="shared" si="134"/>
        <v>509.8</v>
      </c>
      <c r="G1426" s="8">
        <f t="shared" si="135"/>
        <v>6117.6</v>
      </c>
      <c r="H1426" s="8">
        <f t="shared" si="136"/>
        <v>1121.56</v>
      </c>
      <c r="I1426" s="10">
        <f t="shared" si="137"/>
        <v>4996.0400000000009</v>
      </c>
    </row>
    <row r="1427" spans="1:9" x14ac:dyDescent="0.25">
      <c r="A1427" s="6">
        <v>2009</v>
      </c>
      <c r="B1427" s="5" t="str">
        <f>VLOOKUP(A1427, EmployeeMaster!$A:$D, 3, FALSE)</f>
        <v>Research &amp; Development</v>
      </c>
      <c r="C1427" s="8">
        <v>4878</v>
      </c>
      <c r="D1427" s="8">
        <f t="shared" si="132"/>
        <v>975.6</v>
      </c>
      <c r="E1427" s="8">
        <f t="shared" si="133"/>
        <v>585.36</v>
      </c>
      <c r="F1427" s="8">
        <f t="shared" si="134"/>
        <v>487.8</v>
      </c>
      <c r="G1427" s="8">
        <f t="shared" si="135"/>
        <v>5853.6</v>
      </c>
      <c r="H1427" s="8">
        <f t="shared" si="136"/>
        <v>1073.1600000000001</v>
      </c>
      <c r="I1427" s="10">
        <f t="shared" si="137"/>
        <v>4780.4400000000005</v>
      </c>
    </row>
    <row r="1428" spans="1:9" x14ac:dyDescent="0.25">
      <c r="A1428" s="6">
        <v>2010</v>
      </c>
      <c r="B1428" s="5" t="str">
        <f>VLOOKUP(A1428, EmployeeMaster!$A:$D, 3, FALSE)</f>
        <v>Research &amp; Development</v>
      </c>
      <c r="C1428" s="8">
        <v>2837</v>
      </c>
      <c r="D1428" s="8">
        <f t="shared" si="132"/>
        <v>567.4</v>
      </c>
      <c r="E1428" s="8">
        <f t="shared" si="133"/>
        <v>340.44</v>
      </c>
      <c r="F1428" s="8">
        <f t="shared" si="134"/>
        <v>283.7</v>
      </c>
      <c r="G1428" s="8">
        <f t="shared" si="135"/>
        <v>3404.4</v>
      </c>
      <c r="H1428" s="8">
        <f t="shared" si="136"/>
        <v>624.14</v>
      </c>
      <c r="I1428" s="10">
        <f t="shared" si="137"/>
        <v>2780.26</v>
      </c>
    </row>
    <row r="1429" spans="1:9" x14ac:dyDescent="0.25">
      <c r="A1429" s="6">
        <v>2012</v>
      </c>
      <c r="B1429" s="5" t="str">
        <f>VLOOKUP(A1429, EmployeeMaster!$A:$D, 3, FALSE)</f>
        <v>Research &amp; Development</v>
      </c>
      <c r="C1429" s="8">
        <v>2406</v>
      </c>
      <c r="D1429" s="8">
        <f t="shared" si="132"/>
        <v>481.20000000000005</v>
      </c>
      <c r="E1429" s="8">
        <f t="shared" si="133"/>
        <v>288.71999999999997</v>
      </c>
      <c r="F1429" s="8">
        <f t="shared" si="134"/>
        <v>240.60000000000002</v>
      </c>
      <c r="G1429" s="8">
        <f t="shared" si="135"/>
        <v>2887.2</v>
      </c>
      <c r="H1429" s="8">
        <f t="shared" si="136"/>
        <v>529.31999999999994</v>
      </c>
      <c r="I1429" s="10">
        <f t="shared" si="137"/>
        <v>2357.88</v>
      </c>
    </row>
    <row r="1430" spans="1:9" x14ac:dyDescent="0.25">
      <c r="A1430" s="6">
        <v>2013</v>
      </c>
      <c r="B1430" s="5" t="str">
        <f>VLOOKUP(A1430, EmployeeMaster!$A:$D, 3, FALSE)</f>
        <v>Sales</v>
      </c>
      <c r="C1430" s="8">
        <v>2269</v>
      </c>
      <c r="D1430" s="8">
        <f t="shared" si="132"/>
        <v>453.8</v>
      </c>
      <c r="E1430" s="8">
        <f t="shared" si="133"/>
        <v>272.27999999999997</v>
      </c>
      <c r="F1430" s="8">
        <f t="shared" si="134"/>
        <v>226.9</v>
      </c>
      <c r="G1430" s="8">
        <f t="shared" si="135"/>
        <v>2722.8</v>
      </c>
      <c r="H1430" s="8">
        <f t="shared" si="136"/>
        <v>499.17999999999995</v>
      </c>
      <c r="I1430" s="10">
        <f t="shared" si="137"/>
        <v>2223.6200000000003</v>
      </c>
    </row>
    <row r="1431" spans="1:9" x14ac:dyDescent="0.25">
      <c r="A1431" s="6">
        <v>2014</v>
      </c>
      <c r="B1431" s="5" t="str">
        <f>VLOOKUP(A1431, EmployeeMaster!$A:$D, 3, FALSE)</f>
        <v>Research &amp; Development</v>
      </c>
      <c r="C1431" s="8">
        <v>4108</v>
      </c>
      <c r="D1431" s="8">
        <f t="shared" si="132"/>
        <v>821.6</v>
      </c>
      <c r="E1431" s="8">
        <f t="shared" si="133"/>
        <v>492.96</v>
      </c>
      <c r="F1431" s="8">
        <f t="shared" si="134"/>
        <v>410.8</v>
      </c>
      <c r="G1431" s="8">
        <f t="shared" si="135"/>
        <v>4929.6000000000004</v>
      </c>
      <c r="H1431" s="8">
        <f t="shared" si="136"/>
        <v>903.76</v>
      </c>
      <c r="I1431" s="10">
        <f t="shared" si="137"/>
        <v>4025.84</v>
      </c>
    </row>
    <row r="1432" spans="1:9" x14ac:dyDescent="0.25">
      <c r="A1432" s="6">
        <v>2015</v>
      </c>
      <c r="B1432" s="5" t="str">
        <f>VLOOKUP(A1432, EmployeeMaster!$A:$D, 3, FALSE)</f>
        <v>Research &amp; Development</v>
      </c>
      <c r="C1432" s="8">
        <v>13206</v>
      </c>
      <c r="D1432" s="8">
        <f t="shared" si="132"/>
        <v>2641.2000000000003</v>
      </c>
      <c r="E1432" s="8">
        <f t="shared" si="133"/>
        <v>1584.72</v>
      </c>
      <c r="F1432" s="8">
        <f t="shared" si="134"/>
        <v>1320.6000000000001</v>
      </c>
      <c r="G1432" s="8">
        <f t="shared" si="135"/>
        <v>15847.2</v>
      </c>
      <c r="H1432" s="8">
        <f t="shared" si="136"/>
        <v>2905.32</v>
      </c>
      <c r="I1432" s="10">
        <f t="shared" si="137"/>
        <v>12941.880000000001</v>
      </c>
    </row>
    <row r="1433" spans="1:9" x14ac:dyDescent="0.25">
      <c r="A1433" s="6">
        <v>2016</v>
      </c>
      <c r="B1433" s="5" t="str">
        <f>VLOOKUP(A1433, EmployeeMaster!$A:$D, 3, FALSE)</f>
        <v>Sales</v>
      </c>
      <c r="C1433" s="8">
        <v>10422</v>
      </c>
      <c r="D1433" s="8">
        <f t="shared" si="132"/>
        <v>2084.4</v>
      </c>
      <c r="E1433" s="8">
        <f t="shared" si="133"/>
        <v>1250.6399999999999</v>
      </c>
      <c r="F1433" s="8">
        <f t="shared" si="134"/>
        <v>1042.2</v>
      </c>
      <c r="G1433" s="8">
        <f t="shared" si="135"/>
        <v>12506.4</v>
      </c>
      <c r="H1433" s="8">
        <f t="shared" si="136"/>
        <v>2292.84</v>
      </c>
      <c r="I1433" s="10">
        <f t="shared" si="137"/>
        <v>10213.56</v>
      </c>
    </row>
    <row r="1434" spans="1:9" x14ac:dyDescent="0.25">
      <c r="A1434" s="6">
        <v>2017</v>
      </c>
      <c r="B1434" s="5" t="str">
        <f>VLOOKUP(A1434, EmployeeMaster!$A:$D, 3, FALSE)</f>
        <v>Research &amp; Development</v>
      </c>
      <c r="C1434" s="8">
        <v>13744</v>
      </c>
      <c r="D1434" s="8">
        <f t="shared" si="132"/>
        <v>2748.8</v>
      </c>
      <c r="E1434" s="8">
        <f t="shared" si="133"/>
        <v>1649.28</v>
      </c>
      <c r="F1434" s="8">
        <f t="shared" si="134"/>
        <v>1374.4</v>
      </c>
      <c r="G1434" s="8">
        <f t="shared" si="135"/>
        <v>16492.8</v>
      </c>
      <c r="H1434" s="8">
        <f t="shared" si="136"/>
        <v>3023.6800000000003</v>
      </c>
      <c r="I1434" s="10">
        <f t="shared" si="137"/>
        <v>13469.119999999999</v>
      </c>
    </row>
    <row r="1435" spans="1:9" x14ac:dyDescent="0.25">
      <c r="A1435" s="6">
        <v>2018</v>
      </c>
      <c r="B1435" s="5" t="str">
        <f>VLOOKUP(A1435, EmployeeMaster!$A:$D, 3, FALSE)</f>
        <v>Sales</v>
      </c>
      <c r="C1435" s="8">
        <v>4907</v>
      </c>
      <c r="D1435" s="8">
        <f t="shared" si="132"/>
        <v>981.40000000000009</v>
      </c>
      <c r="E1435" s="8">
        <f t="shared" si="133"/>
        <v>588.84</v>
      </c>
      <c r="F1435" s="8">
        <f t="shared" si="134"/>
        <v>490.70000000000005</v>
      </c>
      <c r="G1435" s="8">
        <f t="shared" si="135"/>
        <v>5888.4</v>
      </c>
      <c r="H1435" s="8">
        <f t="shared" si="136"/>
        <v>1079.54</v>
      </c>
      <c r="I1435" s="10">
        <f t="shared" si="137"/>
        <v>4808.8599999999997</v>
      </c>
    </row>
    <row r="1436" spans="1:9" x14ac:dyDescent="0.25">
      <c r="A1436" s="6">
        <v>2019</v>
      </c>
      <c r="B1436" s="5" t="str">
        <f>VLOOKUP(A1436, EmployeeMaster!$A:$D, 3, FALSE)</f>
        <v>Sales</v>
      </c>
      <c r="C1436" s="8">
        <v>3482</v>
      </c>
      <c r="D1436" s="8">
        <f t="shared" si="132"/>
        <v>696.40000000000009</v>
      </c>
      <c r="E1436" s="8">
        <f t="shared" si="133"/>
        <v>417.84</v>
      </c>
      <c r="F1436" s="8">
        <f t="shared" si="134"/>
        <v>348.20000000000005</v>
      </c>
      <c r="G1436" s="8">
        <f t="shared" si="135"/>
        <v>4178.3999999999996</v>
      </c>
      <c r="H1436" s="8">
        <f t="shared" si="136"/>
        <v>766.04</v>
      </c>
      <c r="I1436" s="10">
        <f t="shared" si="137"/>
        <v>3412.3599999999997</v>
      </c>
    </row>
    <row r="1437" spans="1:9" x14ac:dyDescent="0.25">
      <c r="A1437" s="6">
        <v>2020</v>
      </c>
      <c r="B1437" s="5" t="str">
        <f>VLOOKUP(A1437, EmployeeMaster!$A:$D, 3, FALSE)</f>
        <v>Research &amp; Development</v>
      </c>
      <c r="C1437" s="8">
        <v>2436</v>
      </c>
      <c r="D1437" s="8">
        <f t="shared" si="132"/>
        <v>487.20000000000005</v>
      </c>
      <c r="E1437" s="8">
        <f t="shared" si="133"/>
        <v>292.32</v>
      </c>
      <c r="F1437" s="8">
        <f t="shared" si="134"/>
        <v>243.60000000000002</v>
      </c>
      <c r="G1437" s="8">
        <f t="shared" si="135"/>
        <v>2923.2</v>
      </c>
      <c r="H1437" s="8">
        <f t="shared" si="136"/>
        <v>535.92000000000007</v>
      </c>
      <c r="I1437" s="10">
        <f t="shared" si="137"/>
        <v>2387.2799999999997</v>
      </c>
    </row>
    <row r="1438" spans="1:9" x14ac:dyDescent="0.25">
      <c r="A1438" s="6">
        <v>2021</v>
      </c>
      <c r="B1438" s="5" t="str">
        <f>VLOOKUP(A1438, EmployeeMaster!$A:$D, 3, FALSE)</f>
        <v>Sales</v>
      </c>
      <c r="C1438" s="8">
        <v>2380</v>
      </c>
      <c r="D1438" s="8">
        <f t="shared" si="132"/>
        <v>476</v>
      </c>
      <c r="E1438" s="8">
        <f t="shared" si="133"/>
        <v>285.59999999999997</v>
      </c>
      <c r="F1438" s="8">
        <f t="shared" si="134"/>
        <v>238</v>
      </c>
      <c r="G1438" s="8">
        <f t="shared" si="135"/>
        <v>2856</v>
      </c>
      <c r="H1438" s="8">
        <f t="shared" si="136"/>
        <v>523.59999999999991</v>
      </c>
      <c r="I1438" s="10">
        <f t="shared" si="137"/>
        <v>2332.4</v>
      </c>
    </row>
    <row r="1439" spans="1:9" x14ac:dyDescent="0.25">
      <c r="A1439" s="6">
        <v>2022</v>
      </c>
      <c r="B1439" s="5" t="str">
        <f>VLOOKUP(A1439, EmployeeMaster!$A:$D, 3, FALSE)</f>
        <v>Research &amp; Development</v>
      </c>
      <c r="C1439" s="8">
        <v>19431</v>
      </c>
      <c r="D1439" s="8">
        <f t="shared" si="132"/>
        <v>3886.2000000000003</v>
      </c>
      <c r="E1439" s="8">
        <f t="shared" si="133"/>
        <v>2331.7199999999998</v>
      </c>
      <c r="F1439" s="8">
        <f t="shared" si="134"/>
        <v>1943.1000000000001</v>
      </c>
      <c r="G1439" s="8">
        <f t="shared" si="135"/>
        <v>23317.200000000001</v>
      </c>
      <c r="H1439" s="8">
        <f t="shared" si="136"/>
        <v>4274.82</v>
      </c>
      <c r="I1439" s="10">
        <f t="shared" si="137"/>
        <v>19042.38</v>
      </c>
    </row>
    <row r="1440" spans="1:9" x14ac:dyDescent="0.25">
      <c r="A1440" s="6">
        <v>2023</v>
      </c>
      <c r="B1440" s="5" t="str">
        <f>VLOOKUP(A1440, EmployeeMaster!$A:$D, 3, FALSE)</f>
        <v>Sales</v>
      </c>
      <c r="C1440" s="8">
        <v>1790</v>
      </c>
      <c r="D1440" s="8">
        <f t="shared" si="132"/>
        <v>358</v>
      </c>
      <c r="E1440" s="8">
        <f t="shared" si="133"/>
        <v>214.79999999999998</v>
      </c>
      <c r="F1440" s="8">
        <f t="shared" si="134"/>
        <v>179</v>
      </c>
      <c r="G1440" s="8">
        <f t="shared" si="135"/>
        <v>2148</v>
      </c>
      <c r="H1440" s="8">
        <f t="shared" si="136"/>
        <v>393.79999999999995</v>
      </c>
      <c r="I1440" s="10">
        <f t="shared" si="137"/>
        <v>1754.2</v>
      </c>
    </row>
    <row r="1441" spans="1:9" x14ac:dyDescent="0.25">
      <c r="A1441" s="6">
        <v>2024</v>
      </c>
      <c r="B1441" s="5" t="str">
        <f>VLOOKUP(A1441, EmployeeMaster!$A:$D, 3, FALSE)</f>
        <v>Sales</v>
      </c>
      <c r="C1441" s="8">
        <v>7644</v>
      </c>
      <c r="D1441" s="8">
        <f t="shared" si="132"/>
        <v>1528.8000000000002</v>
      </c>
      <c r="E1441" s="8">
        <f t="shared" si="133"/>
        <v>917.28</v>
      </c>
      <c r="F1441" s="8">
        <f t="shared" si="134"/>
        <v>764.40000000000009</v>
      </c>
      <c r="G1441" s="8">
        <f t="shared" si="135"/>
        <v>9172.7999999999993</v>
      </c>
      <c r="H1441" s="8">
        <f t="shared" si="136"/>
        <v>1681.68</v>
      </c>
      <c r="I1441" s="10">
        <f t="shared" si="137"/>
        <v>7491.119999999999</v>
      </c>
    </row>
    <row r="1442" spans="1:9" x14ac:dyDescent="0.25">
      <c r="A1442" s="6">
        <v>2025</v>
      </c>
      <c r="B1442" s="5" t="str">
        <f>VLOOKUP(A1442, EmployeeMaster!$A:$D, 3, FALSE)</f>
        <v>Research &amp; Development</v>
      </c>
      <c r="C1442" s="8">
        <v>5131</v>
      </c>
      <c r="D1442" s="8">
        <f t="shared" si="132"/>
        <v>1026.2</v>
      </c>
      <c r="E1442" s="8">
        <f t="shared" si="133"/>
        <v>615.72</v>
      </c>
      <c r="F1442" s="8">
        <f t="shared" si="134"/>
        <v>513.1</v>
      </c>
      <c r="G1442" s="8">
        <f t="shared" si="135"/>
        <v>6157.2</v>
      </c>
      <c r="H1442" s="8">
        <f t="shared" si="136"/>
        <v>1128.8200000000002</v>
      </c>
      <c r="I1442" s="10">
        <f t="shared" si="137"/>
        <v>5028.3799999999992</v>
      </c>
    </row>
    <row r="1443" spans="1:9" x14ac:dyDescent="0.25">
      <c r="A1443" s="6">
        <v>2026</v>
      </c>
      <c r="B1443" s="5" t="str">
        <f>VLOOKUP(A1443, EmployeeMaster!$A:$D, 3, FALSE)</f>
        <v>Research &amp; Development</v>
      </c>
      <c r="C1443" s="8">
        <v>6306</v>
      </c>
      <c r="D1443" s="8">
        <f t="shared" si="132"/>
        <v>1261.2</v>
      </c>
      <c r="E1443" s="8">
        <f t="shared" si="133"/>
        <v>756.72</v>
      </c>
      <c r="F1443" s="8">
        <f t="shared" si="134"/>
        <v>630.6</v>
      </c>
      <c r="G1443" s="8">
        <f t="shared" si="135"/>
        <v>7567.2</v>
      </c>
      <c r="H1443" s="8">
        <f t="shared" si="136"/>
        <v>1387.3200000000002</v>
      </c>
      <c r="I1443" s="10">
        <f t="shared" si="137"/>
        <v>6179.8799999999992</v>
      </c>
    </row>
    <row r="1444" spans="1:9" x14ac:dyDescent="0.25">
      <c r="A1444" s="6">
        <v>2027</v>
      </c>
      <c r="B1444" s="5" t="str">
        <f>VLOOKUP(A1444, EmployeeMaster!$A:$D, 3, FALSE)</f>
        <v>Research &amp; Development</v>
      </c>
      <c r="C1444" s="8">
        <v>4787</v>
      </c>
      <c r="D1444" s="8">
        <f t="shared" si="132"/>
        <v>957.40000000000009</v>
      </c>
      <c r="E1444" s="8">
        <f t="shared" si="133"/>
        <v>574.43999999999994</v>
      </c>
      <c r="F1444" s="8">
        <f t="shared" si="134"/>
        <v>478.70000000000005</v>
      </c>
      <c r="G1444" s="8">
        <f t="shared" si="135"/>
        <v>5744.4</v>
      </c>
      <c r="H1444" s="8">
        <f t="shared" si="136"/>
        <v>1053.1399999999999</v>
      </c>
      <c r="I1444" s="10">
        <f t="shared" si="137"/>
        <v>4691.26</v>
      </c>
    </row>
    <row r="1445" spans="1:9" x14ac:dyDescent="0.25">
      <c r="A1445" s="6">
        <v>2031</v>
      </c>
      <c r="B1445" s="5" t="str">
        <f>VLOOKUP(A1445, EmployeeMaster!$A:$D, 3, FALSE)</f>
        <v>Research &amp; Development</v>
      </c>
      <c r="C1445" s="8">
        <v>18880</v>
      </c>
      <c r="D1445" s="8">
        <f t="shared" si="132"/>
        <v>3776</v>
      </c>
      <c r="E1445" s="8">
        <f t="shared" si="133"/>
        <v>2265.6</v>
      </c>
      <c r="F1445" s="8">
        <f t="shared" si="134"/>
        <v>1888</v>
      </c>
      <c r="G1445" s="8">
        <f t="shared" si="135"/>
        <v>22656</v>
      </c>
      <c r="H1445" s="8">
        <f t="shared" si="136"/>
        <v>4153.6000000000004</v>
      </c>
      <c r="I1445" s="10">
        <f t="shared" si="137"/>
        <v>18502.400000000001</v>
      </c>
    </row>
    <row r="1446" spans="1:9" x14ac:dyDescent="0.25">
      <c r="A1446" s="6">
        <v>2032</v>
      </c>
      <c r="B1446" s="5" t="str">
        <f>VLOOKUP(A1446, EmployeeMaster!$A:$D, 3, FALSE)</f>
        <v>Research &amp; Development</v>
      </c>
      <c r="C1446" s="8">
        <v>2339</v>
      </c>
      <c r="D1446" s="8">
        <f t="shared" si="132"/>
        <v>467.8</v>
      </c>
      <c r="E1446" s="8">
        <f t="shared" si="133"/>
        <v>280.68</v>
      </c>
      <c r="F1446" s="8">
        <f t="shared" si="134"/>
        <v>233.9</v>
      </c>
      <c r="G1446" s="8">
        <f t="shared" si="135"/>
        <v>2806.8</v>
      </c>
      <c r="H1446" s="8">
        <f t="shared" si="136"/>
        <v>514.58000000000004</v>
      </c>
      <c r="I1446" s="10">
        <f t="shared" si="137"/>
        <v>2292.2200000000003</v>
      </c>
    </row>
    <row r="1447" spans="1:9" x14ac:dyDescent="0.25">
      <c r="A1447" s="6">
        <v>2034</v>
      </c>
      <c r="B1447" s="5" t="str">
        <f>VLOOKUP(A1447, EmployeeMaster!$A:$D, 3, FALSE)</f>
        <v>Research &amp; Development</v>
      </c>
      <c r="C1447" s="8">
        <v>13570</v>
      </c>
      <c r="D1447" s="8">
        <f t="shared" si="132"/>
        <v>2714</v>
      </c>
      <c r="E1447" s="8">
        <f t="shared" si="133"/>
        <v>1628.3999999999999</v>
      </c>
      <c r="F1447" s="8">
        <f t="shared" si="134"/>
        <v>1357</v>
      </c>
      <c r="G1447" s="8">
        <f t="shared" si="135"/>
        <v>16284</v>
      </c>
      <c r="H1447" s="8">
        <f t="shared" si="136"/>
        <v>2985.3999999999996</v>
      </c>
      <c r="I1447" s="10">
        <f t="shared" si="137"/>
        <v>13298.6</v>
      </c>
    </row>
    <row r="1448" spans="1:9" x14ac:dyDescent="0.25">
      <c r="A1448" s="6">
        <v>2035</v>
      </c>
      <c r="B1448" s="5" t="str">
        <f>VLOOKUP(A1448, EmployeeMaster!$A:$D, 3, FALSE)</f>
        <v>Sales</v>
      </c>
      <c r="C1448" s="8">
        <v>6712</v>
      </c>
      <c r="D1448" s="8">
        <f t="shared" si="132"/>
        <v>1342.4</v>
      </c>
      <c r="E1448" s="8">
        <f t="shared" si="133"/>
        <v>805.43999999999994</v>
      </c>
      <c r="F1448" s="8">
        <f t="shared" si="134"/>
        <v>671.2</v>
      </c>
      <c r="G1448" s="8">
        <f t="shared" si="135"/>
        <v>8054.4</v>
      </c>
      <c r="H1448" s="8">
        <f t="shared" si="136"/>
        <v>1476.6399999999999</v>
      </c>
      <c r="I1448" s="10">
        <f t="shared" si="137"/>
        <v>6577.76</v>
      </c>
    </row>
    <row r="1449" spans="1:9" x14ac:dyDescent="0.25">
      <c r="A1449" s="6">
        <v>2036</v>
      </c>
      <c r="B1449" s="5" t="str">
        <f>VLOOKUP(A1449, EmployeeMaster!$A:$D, 3, FALSE)</f>
        <v>Sales</v>
      </c>
      <c r="C1449" s="8">
        <v>5406</v>
      </c>
      <c r="D1449" s="8">
        <f t="shared" si="132"/>
        <v>1081.2</v>
      </c>
      <c r="E1449" s="8">
        <f t="shared" si="133"/>
        <v>648.72</v>
      </c>
      <c r="F1449" s="8">
        <f t="shared" si="134"/>
        <v>540.6</v>
      </c>
      <c r="G1449" s="8">
        <f t="shared" si="135"/>
        <v>6487.2</v>
      </c>
      <c r="H1449" s="8">
        <f t="shared" si="136"/>
        <v>1189.3200000000002</v>
      </c>
      <c r="I1449" s="10">
        <f t="shared" si="137"/>
        <v>5297.8799999999992</v>
      </c>
    </row>
    <row r="1450" spans="1:9" x14ac:dyDescent="0.25">
      <c r="A1450" s="6">
        <v>2037</v>
      </c>
      <c r="B1450" s="5" t="str">
        <f>VLOOKUP(A1450, EmployeeMaster!$A:$D, 3, FALSE)</f>
        <v>Sales</v>
      </c>
      <c r="C1450" s="8">
        <v>8938</v>
      </c>
      <c r="D1450" s="8">
        <f t="shared" si="132"/>
        <v>1787.6000000000001</v>
      </c>
      <c r="E1450" s="8">
        <f t="shared" si="133"/>
        <v>1072.56</v>
      </c>
      <c r="F1450" s="8">
        <f t="shared" si="134"/>
        <v>893.80000000000007</v>
      </c>
      <c r="G1450" s="8">
        <f t="shared" si="135"/>
        <v>10725.6</v>
      </c>
      <c r="H1450" s="8">
        <f t="shared" si="136"/>
        <v>1966.3600000000001</v>
      </c>
      <c r="I1450" s="10">
        <f t="shared" si="137"/>
        <v>8759.24</v>
      </c>
    </row>
    <row r="1451" spans="1:9" x14ac:dyDescent="0.25">
      <c r="A1451" s="6">
        <v>2038</v>
      </c>
      <c r="B1451" s="5" t="str">
        <f>VLOOKUP(A1451, EmployeeMaster!$A:$D, 3, FALSE)</f>
        <v>Research &amp; Development</v>
      </c>
      <c r="C1451" s="8">
        <v>2439</v>
      </c>
      <c r="D1451" s="8">
        <f t="shared" si="132"/>
        <v>487.8</v>
      </c>
      <c r="E1451" s="8">
        <f t="shared" si="133"/>
        <v>292.68</v>
      </c>
      <c r="F1451" s="8">
        <f t="shared" si="134"/>
        <v>243.9</v>
      </c>
      <c r="G1451" s="8">
        <f t="shared" si="135"/>
        <v>2926.8</v>
      </c>
      <c r="H1451" s="8">
        <f t="shared" si="136"/>
        <v>536.58000000000004</v>
      </c>
      <c r="I1451" s="10">
        <f t="shared" si="137"/>
        <v>2390.2200000000003</v>
      </c>
    </row>
    <row r="1452" spans="1:9" x14ac:dyDescent="0.25">
      <c r="A1452" s="6">
        <v>2040</v>
      </c>
      <c r="B1452" s="5" t="str">
        <f>VLOOKUP(A1452, EmployeeMaster!$A:$D, 3, FALSE)</f>
        <v>Human Resources</v>
      </c>
      <c r="C1452" s="8">
        <v>8837</v>
      </c>
      <c r="D1452" s="8">
        <f t="shared" si="132"/>
        <v>1767.4</v>
      </c>
      <c r="E1452" s="8">
        <f t="shared" si="133"/>
        <v>1060.44</v>
      </c>
      <c r="F1452" s="8">
        <f t="shared" si="134"/>
        <v>883.7</v>
      </c>
      <c r="G1452" s="8">
        <f t="shared" si="135"/>
        <v>10604.4</v>
      </c>
      <c r="H1452" s="8">
        <f t="shared" si="136"/>
        <v>1944.14</v>
      </c>
      <c r="I1452" s="10">
        <f t="shared" si="137"/>
        <v>8660.26</v>
      </c>
    </row>
    <row r="1453" spans="1:9" x14ac:dyDescent="0.25">
      <c r="A1453" s="6">
        <v>2041</v>
      </c>
      <c r="B1453" s="5" t="str">
        <f>VLOOKUP(A1453, EmployeeMaster!$A:$D, 3, FALSE)</f>
        <v>Sales</v>
      </c>
      <c r="C1453" s="8">
        <v>5343</v>
      </c>
      <c r="D1453" s="8">
        <f t="shared" si="132"/>
        <v>1068.6000000000001</v>
      </c>
      <c r="E1453" s="8">
        <f t="shared" si="133"/>
        <v>641.16</v>
      </c>
      <c r="F1453" s="8">
        <f t="shared" si="134"/>
        <v>534.30000000000007</v>
      </c>
      <c r="G1453" s="8">
        <f t="shared" si="135"/>
        <v>6411.6</v>
      </c>
      <c r="H1453" s="8">
        <f t="shared" si="136"/>
        <v>1175.46</v>
      </c>
      <c r="I1453" s="10">
        <f t="shared" si="137"/>
        <v>5236.1400000000003</v>
      </c>
    </row>
    <row r="1454" spans="1:9" x14ac:dyDescent="0.25">
      <c r="A1454" s="6">
        <v>2044</v>
      </c>
      <c r="B1454" s="5" t="str">
        <f>VLOOKUP(A1454, EmployeeMaster!$A:$D, 3, FALSE)</f>
        <v>Sales</v>
      </c>
      <c r="C1454" s="8">
        <v>6728</v>
      </c>
      <c r="D1454" s="8">
        <f t="shared" si="132"/>
        <v>1345.6000000000001</v>
      </c>
      <c r="E1454" s="8">
        <f t="shared" si="133"/>
        <v>807.36</v>
      </c>
      <c r="F1454" s="8">
        <f t="shared" si="134"/>
        <v>672.80000000000007</v>
      </c>
      <c r="G1454" s="8">
        <f t="shared" si="135"/>
        <v>8073.6</v>
      </c>
      <c r="H1454" s="8">
        <f t="shared" si="136"/>
        <v>1480.16</v>
      </c>
      <c r="I1454" s="10">
        <f t="shared" si="137"/>
        <v>6593.4400000000005</v>
      </c>
    </row>
    <row r="1455" spans="1:9" x14ac:dyDescent="0.25">
      <c r="A1455" s="6">
        <v>2045</v>
      </c>
      <c r="B1455" s="5" t="str">
        <f>VLOOKUP(A1455, EmployeeMaster!$A:$D, 3, FALSE)</f>
        <v>Sales</v>
      </c>
      <c r="C1455" s="8">
        <v>6652</v>
      </c>
      <c r="D1455" s="8">
        <f t="shared" si="132"/>
        <v>1330.4</v>
      </c>
      <c r="E1455" s="8">
        <f t="shared" si="133"/>
        <v>798.24</v>
      </c>
      <c r="F1455" s="8">
        <f t="shared" si="134"/>
        <v>665.2</v>
      </c>
      <c r="G1455" s="8">
        <f t="shared" si="135"/>
        <v>7982.4</v>
      </c>
      <c r="H1455" s="8">
        <f t="shared" si="136"/>
        <v>1463.44</v>
      </c>
      <c r="I1455" s="10">
        <f t="shared" si="137"/>
        <v>6518.9599999999991</v>
      </c>
    </row>
    <row r="1456" spans="1:9" x14ac:dyDescent="0.25">
      <c r="A1456" s="6">
        <v>2046</v>
      </c>
      <c r="B1456" s="5" t="str">
        <f>VLOOKUP(A1456, EmployeeMaster!$A:$D, 3, FALSE)</f>
        <v>Sales</v>
      </c>
      <c r="C1456" s="8">
        <v>4850</v>
      </c>
      <c r="D1456" s="8">
        <f t="shared" si="132"/>
        <v>970</v>
      </c>
      <c r="E1456" s="8">
        <f t="shared" si="133"/>
        <v>582</v>
      </c>
      <c r="F1456" s="8">
        <f t="shared" si="134"/>
        <v>485</v>
      </c>
      <c r="G1456" s="8">
        <f t="shared" si="135"/>
        <v>5820</v>
      </c>
      <c r="H1456" s="8">
        <f t="shared" si="136"/>
        <v>1067</v>
      </c>
      <c r="I1456" s="10">
        <f t="shared" si="137"/>
        <v>4753</v>
      </c>
    </row>
    <row r="1457" spans="1:9" x14ac:dyDescent="0.25">
      <c r="A1457" s="6">
        <v>2048</v>
      </c>
      <c r="B1457" s="5" t="str">
        <f>VLOOKUP(A1457, EmployeeMaster!$A:$D, 3, FALSE)</f>
        <v>Research &amp; Development</v>
      </c>
      <c r="C1457" s="8">
        <v>2809</v>
      </c>
      <c r="D1457" s="8">
        <f t="shared" si="132"/>
        <v>561.80000000000007</v>
      </c>
      <c r="E1457" s="8">
        <f t="shared" si="133"/>
        <v>337.08</v>
      </c>
      <c r="F1457" s="8">
        <f t="shared" si="134"/>
        <v>280.90000000000003</v>
      </c>
      <c r="G1457" s="8">
        <f t="shared" si="135"/>
        <v>3370.8</v>
      </c>
      <c r="H1457" s="8">
        <f t="shared" si="136"/>
        <v>617.98</v>
      </c>
      <c r="I1457" s="10">
        <f t="shared" si="137"/>
        <v>2752.82</v>
      </c>
    </row>
    <row r="1458" spans="1:9" x14ac:dyDescent="0.25">
      <c r="A1458" s="6">
        <v>2049</v>
      </c>
      <c r="B1458" s="5" t="str">
        <f>VLOOKUP(A1458, EmployeeMaster!$A:$D, 3, FALSE)</f>
        <v>Research &amp; Development</v>
      </c>
      <c r="C1458" s="8">
        <v>5689</v>
      </c>
      <c r="D1458" s="8">
        <f t="shared" si="132"/>
        <v>1137.8</v>
      </c>
      <c r="E1458" s="8">
        <f t="shared" si="133"/>
        <v>682.68</v>
      </c>
      <c r="F1458" s="8">
        <f t="shared" si="134"/>
        <v>568.9</v>
      </c>
      <c r="G1458" s="8">
        <f t="shared" si="135"/>
        <v>6826.8</v>
      </c>
      <c r="H1458" s="8">
        <f t="shared" si="136"/>
        <v>1251.58</v>
      </c>
      <c r="I1458" s="10">
        <f t="shared" si="137"/>
        <v>5575.22</v>
      </c>
    </row>
    <row r="1459" spans="1:9" x14ac:dyDescent="0.25">
      <c r="A1459" s="6">
        <v>2051</v>
      </c>
      <c r="B1459" s="5" t="str">
        <f>VLOOKUP(A1459, EmployeeMaster!$A:$D, 3, FALSE)</f>
        <v>Research &amp; Development</v>
      </c>
      <c r="C1459" s="8">
        <v>2001</v>
      </c>
      <c r="D1459" s="8">
        <f t="shared" si="132"/>
        <v>400.20000000000005</v>
      </c>
      <c r="E1459" s="8">
        <f t="shared" si="133"/>
        <v>240.12</v>
      </c>
      <c r="F1459" s="8">
        <f t="shared" si="134"/>
        <v>200.10000000000002</v>
      </c>
      <c r="G1459" s="8">
        <f t="shared" si="135"/>
        <v>2401.1999999999998</v>
      </c>
      <c r="H1459" s="8">
        <f t="shared" si="136"/>
        <v>440.22</v>
      </c>
      <c r="I1459" s="10">
        <f t="shared" si="137"/>
        <v>1960.9799999999998</v>
      </c>
    </row>
    <row r="1460" spans="1:9" x14ac:dyDescent="0.25">
      <c r="A1460" s="6">
        <v>2052</v>
      </c>
      <c r="B1460" s="5" t="str">
        <f>VLOOKUP(A1460, EmployeeMaster!$A:$D, 3, FALSE)</f>
        <v>Research &amp; Development</v>
      </c>
      <c r="C1460" s="8">
        <v>2977</v>
      </c>
      <c r="D1460" s="8">
        <f t="shared" si="132"/>
        <v>595.4</v>
      </c>
      <c r="E1460" s="8">
        <f t="shared" si="133"/>
        <v>357.24</v>
      </c>
      <c r="F1460" s="8">
        <f t="shared" si="134"/>
        <v>297.7</v>
      </c>
      <c r="G1460" s="8">
        <f t="shared" si="135"/>
        <v>3572.4</v>
      </c>
      <c r="H1460" s="8">
        <f t="shared" si="136"/>
        <v>654.94000000000005</v>
      </c>
      <c r="I1460" s="10">
        <f t="shared" si="137"/>
        <v>2917.46</v>
      </c>
    </row>
    <row r="1461" spans="1:9" x14ac:dyDescent="0.25">
      <c r="A1461" s="6">
        <v>2053</v>
      </c>
      <c r="B1461" s="5" t="str">
        <f>VLOOKUP(A1461, EmployeeMaster!$A:$D, 3, FALSE)</f>
        <v>Research &amp; Development</v>
      </c>
      <c r="C1461" s="8">
        <v>4025</v>
      </c>
      <c r="D1461" s="8">
        <f t="shared" si="132"/>
        <v>805</v>
      </c>
      <c r="E1461" s="8">
        <f t="shared" si="133"/>
        <v>483</v>
      </c>
      <c r="F1461" s="8">
        <f t="shared" si="134"/>
        <v>402.5</v>
      </c>
      <c r="G1461" s="8">
        <f t="shared" si="135"/>
        <v>4830</v>
      </c>
      <c r="H1461" s="8">
        <f t="shared" si="136"/>
        <v>885.5</v>
      </c>
      <c r="I1461" s="10">
        <f t="shared" si="137"/>
        <v>3944.5</v>
      </c>
    </row>
    <row r="1462" spans="1:9" x14ac:dyDescent="0.25">
      <c r="A1462" s="6">
        <v>2054</v>
      </c>
      <c r="B1462" s="5" t="str">
        <f>VLOOKUP(A1462, EmployeeMaster!$A:$D, 3, FALSE)</f>
        <v>Research &amp; Development</v>
      </c>
      <c r="C1462" s="8">
        <v>3785</v>
      </c>
      <c r="D1462" s="8">
        <f t="shared" si="132"/>
        <v>757</v>
      </c>
      <c r="E1462" s="8">
        <f t="shared" si="133"/>
        <v>454.2</v>
      </c>
      <c r="F1462" s="8">
        <f t="shared" si="134"/>
        <v>378.5</v>
      </c>
      <c r="G1462" s="8">
        <f t="shared" si="135"/>
        <v>4542</v>
      </c>
      <c r="H1462" s="8">
        <f t="shared" si="136"/>
        <v>832.7</v>
      </c>
      <c r="I1462" s="10">
        <f t="shared" si="137"/>
        <v>3709.3</v>
      </c>
    </row>
    <row r="1463" spans="1:9" x14ac:dyDescent="0.25">
      <c r="A1463" s="6">
        <v>2055</v>
      </c>
      <c r="B1463" s="5" t="str">
        <f>VLOOKUP(A1463, EmployeeMaster!$A:$D, 3, FALSE)</f>
        <v>Sales</v>
      </c>
      <c r="C1463" s="8">
        <v>10854</v>
      </c>
      <c r="D1463" s="8">
        <f t="shared" si="132"/>
        <v>2170.8000000000002</v>
      </c>
      <c r="E1463" s="8">
        <f t="shared" si="133"/>
        <v>1302.48</v>
      </c>
      <c r="F1463" s="8">
        <f t="shared" si="134"/>
        <v>1085.4000000000001</v>
      </c>
      <c r="G1463" s="8">
        <f t="shared" si="135"/>
        <v>13024.8</v>
      </c>
      <c r="H1463" s="8">
        <f t="shared" si="136"/>
        <v>2387.88</v>
      </c>
      <c r="I1463" s="10">
        <f t="shared" si="137"/>
        <v>10636.919999999998</v>
      </c>
    </row>
    <row r="1464" spans="1:9" x14ac:dyDescent="0.25">
      <c r="A1464" s="6">
        <v>2056</v>
      </c>
      <c r="B1464" s="5" t="str">
        <f>VLOOKUP(A1464, EmployeeMaster!$A:$D, 3, FALSE)</f>
        <v>Sales</v>
      </c>
      <c r="C1464" s="8">
        <v>12031</v>
      </c>
      <c r="D1464" s="8">
        <f t="shared" si="132"/>
        <v>2406.2000000000003</v>
      </c>
      <c r="E1464" s="8">
        <f t="shared" si="133"/>
        <v>1443.72</v>
      </c>
      <c r="F1464" s="8">
        <f t="shared" si="134"/>
        <v>1203.1000000000001</v>
      </c>
      <c r="G1464" s="8">
        <f t="shared" si="135"/>
        <v>14437.2</v>
      </c>
      <c r="H1464" s="8">
        <f t="shared" si="136"/>
        <v>2646.82</v>
      </c>
      <c r="I1464" s="10">
        <f t="shared" si="137"/>
        <v>11790.380000000001</v>
      </c>
    </row>
    <row r="1465" spans="1:9" x14ac:dyDescent="0.25">
      <c r="A1465" s="6">
        <v>2057</v>
      </c>
      <c r="B1465" s="5" t="str">
        <f>VLOOKUP(A1465, EmployeeMaster!$A:$D, 3, FALSE)</f>
        <v>Research &amp; Development</v>
      </c>
      <c r="C1465" s="8">
        <v>9936</v>
      </c>
      <c r="D1465" s="8">
        <f t="shared" si="132"/>
        <v>1987.2</v>
      </c>
      <c r="E1465" s="8">
        <f t="shared" si="133"/>
        <v>1192.32</v>
      </c>
      <c r="F1465" s="8">
        <f t="shared" si="134"/>
        <v>993.6</v>
      </c>
      <c r="G1465" s="8">
        <f t="shared" si="135"/>
        <v>11923.2</v>
      </c>
      <c r="H1465" s="8">
        <f t="shared" si="136"/>
        <v>2185.92</v>
      </c>
      <c r="I1465" s="10">
        <f t="shared" si="137"/>
        <v>9737.2800000000007</v>
      </c>
    </row>
    <row r="1466" spans="1:9" x14ac:dyDescent="0.25">
      <c r="A1466" s="6">
        <v>2060</v>
      </c>
      <c r="B1466" s="5" t="str">
        <f>VLOOKUP(A1466, EmployeeMaster!$A:$D, 3, FALSE)</f>
        <v>Sales</v>
      </c>
      <c r="C1466" s="8">
        <v>2966</v>
      </c>
      <c r="D1466" s="8">
        <f t="shared" si="132"/>
        <v>593.20000000000005</v>
      </c>
      <c r="E1466" s="8">
        <f t="shared" si="133"/>
        <v>355.91999999999996</v>
      </c>
      <c r="F1466" s="8">
        <f t="shared" si="134"/>
        <v>296.60000000000002</v>
      </c>
      <c r="G1466" s="8">
        <f t="shared" si="135"/>
        <v>3559.2</v>
      </c>
      <c r="H1466" s="8">
        <f t="shared" si="136"/>
        <v>652.52</v>
      </c>
      <c r="I1466" s="10">
        <f t="shared" si="137"/>
        <v>2906.68</v>
      </c>
    </row>
    <row r="1467" spans="1:9" x14ac:dyDescent="0.25">
      <c r="A1467" s="6">
        <v>2061</v>
      </c>
      <c r="B1467" s="5" t="str">
        <f>VLOOKUP(A1467, EmployeeMaster!$A:$D, 3, FALSE)</f>
        <v>Research &amp; Development</v>
      </c>
      <c r="C1467" s="8">
        <v>2571</v>
      </c>
      <c r="D1467" s="8">
        <f t="shared" si="132"/>
        <v>514.20000000000005</v>
      </c>
      <c r="E1467" s="8">
        <f t="shared" si="133"/>
        <v>308.52</v>
      </c>
      <c r="F1467" s="8">
        <f t="shared" si="134"/>
        <v>257.10000000000002</v>
      </c>
      <c r="G1467" s="8">
        <f t="shared" si="135"/>
        <v>3085.2</v>
      </c>
      <c r="H1467" s="8">
        <f t="shared" si="136"/>
        <v>565.62</v>
      </c>
      <c r="I1467" s="10">
        <f t="shared" si="137"/>
        <v>2519.58</v>
      </c>
    </row>
    <row r="1468" spans="1:9" x14ac:dyDescent="0.25">
      <c r="A1468" s="6">
        <v>2062</v>
      </c>
      <c r="B1468" s="5" t="str">
        <f>VLOOKUP(A1468, EmployeeMaster!$A:$D, 3, FALSE)</f>
        <v>Research &amp; Development</v>
      </c>
      <c r="C1468" s="8">
        <v>9991</v>
      </c>
      <c r="D1468" s="8">
        <f t="shared" si="132"/>
        <v>1998.2</v>
      </c>
      <c r="E1468" s="8">
        <f t="shared" si="133"/>
        <v>1198.9199999999998</v>
      </c>
      <c r="F1468" s="8">
        <f t="shared" si="134"/>
        <v>999.1</v>
      </c>
      <c r="G1468" s="8">
        <f t="shared" si="135"/>
        <v>11989.2</v>
      </c>
      <c r="H1468" s="8">
        <f t="shared" si="136"/>
        <v>2198.02</v>
      </c>
      <c r="I1468" s="10">
        <f t="shared" si="137"/>
        <v>9791.18</v>
      </c>
    </row>
    <row r="1469" spans="1:9" x14ac:dyDescent="0.25">
      <c r="A1469" s="6">
        <v>2064</v>
      </c>
      <c r="B1469" s="5" t="str">
        <f>VLOOKUP(A1469, EmployeeMaster!$A:$D, 3, FALSE)</f>
        <v>Research &amp; Development</v>
      </c>
      <c r="C1469" s="8">
        <v>6142</v>
      </c>
      <c r="D1469" s="8">
        <f t="shared" si="132"/>
        <v>1228.4000000000001</v>
      </c>
      <c r="E1469" s="8">
        <f t="shared" si="133"/>
        <v>737.04</v>
      </c>
      <c r="F1469" s="8">
        <f t="shared" si="134"/>
        <v>614.20000000000005</v>
      </c>
      <c r="G1469" s="8">
        <f t="shared" si="135"/>
        <v>7370.4</v>
      </c>
      <c r="H1469" s="8">
        <f t="shared" si="136"/>
        <v>1351.24</v>
      </c>
      <c r="I1469" s="10">
        <f t="shared" si="137"/>
        <v>6019.16</v>
      </c>
    </row>
    <row r="1470" spans="1:9" x14ac:dyDescent="0.25">
      <c r="A1470" s="6">
        <v>2065</v>
      </c>
      <c r="B1470" s="5" t="str">
        <f>VLOOKUP(A1470, EmployeeMaster!$A:$D, 3, FALSE)</f>
        <v>Sales</v>
      </c>
      <c r="C1470" s="8">
        <v>5390</v>
      </c>
      <c r="D1470" s="8">
        <f t="shared" si="132"/>
        <v>1078</v>
      </c>
      <c r="E1470" s="8">
        <f t="shared" si="133"/>
        <v>646.79999999999995</v>
      </c>
      <c r="F1470" s="8">
        <f t="shared" si="134"/>
        <v>539</v>
      </c>
      <c r="G1470" s="8">
        <f t="shared" si="135"/>
        <v>6468</v>
      </c>
      <c r="H1470" s="8">
        <f t="shared" si="136"/>
        <v>1185.8</v>
      </c>
      <c r="I1470" s="10">
        <f t="shared" si="137"/>
        <v>5282.2</v>
      </c>
    </row>
    <row r="1471" spans="1:9" x14ac:dyDescent="0.25">
      <c r="A1471" s="6">
        <v>2068</v>
      </c>
      <c r="B1471" s="5" t="str">
        <f>VLOOKUP(A1471, EmployeeMaster!$A:$D, 3, FALSE)</f>
        <v>Research &amp; Development</v>
      </c>
      <c r="C1471" s="8">
        <v>4404</v>
      </c>
      <c r="D1471" s="8">
        <f t="shared" si="132"/>
        <v>880.80000000000007</v>
      </c>
      <c r="E1471" s="8">
        <f t="shared" si="133"/>
        <v>528.48</v>
      </c>
      <c r="F1471" s="8">
        <f t="shared" si="134"/>
        <v>440.40000000000003</v>
      </c>
      <c r="G1471" s="8">
        <f t="shared" si="135"/>
        <v>5284.8</v>
      </c>
      <c r="H1471" s="8">
        <f t="shared" si="136"/>
        <v>968.88000000000011</v>
      </c>
      <c r="I1471" s="10">
        <f t="shared" si="137"/>
        <v>4315.92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26A1B-A265-44E8-B5AB-05E8FF7486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EmployeeMaster</vt:lpstr>
      <vt:lpstr>Pay 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𝓜𝓸𝓱𝓲𝓽 ❄️</dc:creator>
  <cp:lastModifiedBy>𝓜𝓸𝓱𝓲𝓽 ❄️</cp:lastModifiedBy>
  <dcterms:created xsi:type="dcterms:W3CDTF">2025-12-03T21:12:21Z</dcterms:created>
  <dcterms:modified xsi:type="dcterms:W3CDTF">2025-12-04T14:38:11Z</dcterms:modified>
</cp:coreProperties>
</file>